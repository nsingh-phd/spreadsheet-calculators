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3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'Calculator'!P1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'Calculator'!$O$2:$O$3</f>
            </numRef>
          </cat>
          <val>
            <numRef>
              <f>'Calculator'!$P$2:$P$3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'Calculator'!L2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'Calculator'!$L$3:$L$362</f>
            </numRef>
          </val>
          <smooth val="0"/>
        </ser>
        <ser>
          <idx val="1"/>
          <order val="1"/>
          <tx>
            <strRef>
              <f>'Calculator'!K2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'Calculator'!$K$3:$K$362</f>
            </numRef>
          </val>
          <smooth val="0"/>
        </ser>
        <ser>
          <idx val="2"/>
          <order val="2"/>
          <tx>
            <strRef>
              <f>'Calculator'!M2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'Calculator'!$M$3:$M$362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0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13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8" customWidth="1" min="13" max="13"/>
    <col width="0.5" customWidth="1" min="15" max="15"/>
    <col width="0.5" customWidth="1" min="16" max="16"/>
  </cols>
  <sheetData>
    <row r="1">
      <c r="A1" s="1" t="inlineStr">
        <is>
          <t>LOAN DETAILS</t>
        </is>
      </c>
      <c r="H1" s="1" t="inlineStr">
        <is>
          <t>AMORTIZATION SCHEDULE</t>
        </is>
      </c>
      <c r="O1" s="2" t="inlineStr">
        <is>
          <t>Category</t>
        </is>
      </c>
      <c r="P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Payment</t>
        </is>
      </c>
      <c r="K2" s="5" t="inlineStr">
        <is>
          <t>Interest</t>
        </is>
      </c>
      <c r="L2" s="5" t="inlineStr">
        <is>
          <t>Principal</t>
        </is>
      </c>
      <c r="M2" s="5" t="inlineStr">
        <is>
          <t>Ending Balance</t>
        </is>
      </c>
      <c r="O2" s="2" t="inlineStr">
        <is>
          <t>Principal</t>
        </is>
      </c>
      <c r="P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IF(H3&lt;&gt;"",MIN(MonthlyPmt,LoanAmount+K3),"")</f>
        <v/>
      </c>
      <c r="K3" s="9">
        <f>IF(H3&lt;&gt;"",ROUND(LoanAmount*AnnualRate/12,2),"")</f>
        <v/>
      </c>
      <c r="L3" s="9">
        <f>IF(H3&lt;&gt;"",MIN(LoanAmount,(J3-K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M3" s="9">
        <f>IF(H3&lt;&gt;"",ROUND(LoanAmount-L3,2),"")</f>
        <v/>
      </c>
      <c r="O3" s="2" t="inlineStr">
        <is>
          <t>Interest</t>
        </is>
      </c>
      <c r="P3" s="2">
        <f>B13</f>
        <v/>
      </c>
    </row>
    <row r="4">
      <c r="A4" s="3" t="inlineStr">
        <is>
          <t>Loan Term (years)</t>
        </is>
      </c>
      <c r="B4" s="10" t="n">
        <v>30</v>
      </c>
      <c r="H4" s="11">
        <f>IF(AND(M3&gt;0.005,H3&lt;&gt;""),2,"")</f>
        <v/>
      </c>
      <c r="I4" s="12">
        <f>IF(H4&lt;&gt;"",EDATE(StartDate,1),"")</f>
        <v/>
      </c>
      <c r="J4" s="13">
        <f>IF(H4&lt;&gt;"",MIN(MonthlyPmt,M3+K4),"")</f>
        <v/>
      </c>
      <c r="K4" s="13">
        <f>IF(H4&lt;&gt;"",ROUND(M3*AnnualRate/12,2),"")</f>
        <v/>
      </c>
      <c r="L4" s="13">
        <f>IF(H4&lt;&gt;"",MIN(M3,(J4-K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M4" s="13">
        <f>IF(H4&lt;&gt;"",ROUND(M3-L4,2),"")</f>
        <v/>
      </c>
    </row>
    <row r="5">
      <c r="A5" s="3" t="inlineStr">
        <is>
          <t>Start Date</t>
        </is>
      </c>
      <c r="B5" s="14" t="n">
        <v>46023</v>
      </c>
      <c r="H5" s="7">
        <f>IF(AND(M4&gt;0.005,H4&lt;&gt;""),3,"")</f>
        <v/>
      </c>
      <c r="I5" s="8">
        <f>IF(H5&lt;&gt;"",EDATE(StartDate,2),"")</f>
        <v/>
      </c>
      <c r="J5" s="9">
        <f>IF(H5&lt;&gt;"",MIN(MonthlyPmt,M4+K5),"")</f>
        <v/>
      </c>
      <c r="K5" s="9">
        <f>IF(H5&lt;&gt;"",ROUND(M4*AnnualRate/12,2),"")</f>
        <v/>
      </c>
      <c r="L5" s="9">
        <f>IF(H5&lt;&gt;"",MIN(M4,(J5-K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M5" s="9">
        <f>IF(H5&lt;&gt;"",ROUND(M4-L5,2),"")</f>
        <v/>
      </c>
    </row>
    <row r="6">
      <c r="A6" s="3" t="inlineStr">
        <is>
          <t>Monthly Payment</t>
        </is>
      </c>
      <c r="B6" s="15">
        <f>ROUND(-PMT(B3/12,B4*12,B2),2)</f>
        <v/>
      </c>
      <c r="H6" s="11">
        <f>IF(AND(M5&gt;0.005,H5&lt;&gt;""),4,"")</f>
        <v/>
      </c>
      <c r="I6" s="12">
        <f>IF(H6&lt;&gt;"",EDATE(StartDate,3),"")</f>
        <v/>
      </c>
      <c r="J6" s="13">
        <f>IF(H6&lt;&gt;"",MIN(MonthlyPmt,M5+K6),"")</f>
        <v/>
      </c>
      <c r="K6" s="13">
        <f>IF(H6&lt;&gt;"",ROUND(M5*AnnualRate/12,2),"")</f>
        <v/>
      </c>
      <c r="L6" s="13">
        <f>IF(H6&lt;&gt;"",MIN(M5,(J6-K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M6" s="13">
        <f>IF(H6&lt;&gt;"",ROUND(M5-L6,2),"")</f>
        <v/>
      </c>
    </row>
    <row r="7">
      <c r="H7" s="7">
        <f>IF(AND(M6&gt;0.005,H6&lt;&gt;""),5,"")</f>
        <v/>
      </c>
      <c r="I7" s="8">
        <f>IF(H7&lt;&gt;"",EDATE(StartDate,4),"")</f>
        <v/>
      </c>
      <c r="J7" s="9">
        <f>IF(H7&lt;&gt;"",MIN(MonthlyPmt,M6+K7),"")</f>
        <v/>
      </c>
      <c r="K7" s="9">
        <f>IF(H7&lt;&gt;"",ROUND(M6*AnnualRate/12,2),"")</f>
        <v/>
      </c>
      <c r="L7" s="9">
        <f>IF(H7&lt;&gt;"",MIN(M6,(J7-K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M7" s="9">
        <f>IF(H7&lt;&gt;"",ROUND(M6-L7,2),"")</f>
        <v/>
      </c>
    </row>
    <row r="8">
      <c r="A8" s="1" t="inlineStr">
        <is>
          <t>LOAN SUMMARY</t>
        </is>
      </c>
      <c r="H8" s="11">
        <f>IF(AND(M7&gt;0.005,H7&lt;&gt;""),6,"")</f>
        <v/>
      </c>
      <c r="I8" s="12">
        <f>IF(H8&lt;&gt;"",EDATE(StartDate,5),"")</f>
        <v/>
      </c>
      <c r="J8" s="13">
        <f>IF(H8&lt;&gt;"",MIN(MonthlyPmt,M7+K8),"")</f>
        <v/>
      </c>
      <c r="K8" s="13">
        <f>IF(H8&lt;&gt;"",ROUND(M7*AnnualRate/12,2),"")</f>
        <v/>
      </c>
      <c r="L8" s="13">
        <f>IF(H8&lt;&gt;"",MIN(M7,(J8-K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M8" s="13">
        <f>IF(H8&lt;&gt;"",ROUND(M7-L8,2),"")</f>
        <v/>
      </c>
    </row>
    <row r="9">
      <c r="A9" s="3" t="inlineStr">
        <is>
          <t>Original Payoff Date</t>
        </is>
      </c>
      <c r="B9" s="8">
        <f>EDATE(StartDate,TermYears*12-1)</f>
        <v/>
      </c>
      <c r="H9" s="7">
        <f>IF(AND(M8&gt;0.005,H8&lt;&gt;""),7,"")</f>
        <v/>
      </c>
      <c r="I9" s="8">
        <f>IF(H9&lt;&gt;"",EDATE(StartDate,6),"")</f>
        <v/>
      </c>
      <c r="J9" s="9">
        <f>IF(H9&lt;&gt;"",MIN(MonthlyPmt,M8+K9),"")</f>
        <v/>
      </c>
      <c r="K9" s="9">
        <f>IF(H9&lt;&gt;"",ROUND(M8*AnnualRate/12,2),"")</f>
        <v/>
      </c>
      <c r="L9" s="9">
        <f>IF(H9&lt;&gt;"",MIN(M8,(J9-K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M9" s="9">
        <f>IF(H9&lt;&gt;"",ROUND(M8-L9,2),"")</f>
        <v/>
      </c>
    </row>
    <row r="10">
      <c r="A10" s="3" t="inlineStr">
        <is>
          <t>Accelerated Payoff Date</t>
        </is>
      </c>
      <c r="B10" s="8">
        <f>LOOKUP(2,1/(I3:I362&lt;&gt;""),I3:I362)</f>
        <v/>
      </c>
      <c r="H10" s="11">
        <f>IF(AND(M9&gt;0.005,H9&lt;&gt;""),8,"")</f>
        <v/>
      </c>
      <c r="I10" s="12">
        <f>IF(H10&lt;&gt;"",EDATE(StartDate,7),"")</f>
        <v/>
      </c>
      <c r="J10" s="13">
        <f>IF(H10&lt;&gt;"",MIN(MonthlyPmt,M9+K10),"")</f>
        <v/>
      </c>
      <c r="K10" s="13">
        <f>IF(H10&lt;&gt;"",ROUND(M9*AnnualRate/12,2),"")</f>
        <v/>
      </c>
      <c r="L10" s="13">
        <f>IF(H10&lt;&gt;"",MIN(M9,(J10-K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M10" s="13">
        <f>IF(H10&lt;&gt;"",ROUND(M9-L10,2),"")</f>
        <v/>
      </c>
    </row>
    <row r="11">
      <c r="A11" s="3" t="inlineStr">
        <is>
          <t>Accelerated Payoff Time</t>
        </is>
      </c>
      <c r="B11" s="7">
        <f>INT(SUMPRODUCT(1*(ISNUMBER(H3:H362)))/12)&amp;" years, "&amp;MOD(SUMPRODUCT(1*(ISNUMBER(H3:H362))),12)&amp;" months"</f>
        <v/>
      </c>
      <c r="H11" s="7">
        <f>IF(AND(M10&gt;0.005,H10&lt;&gt;""),9,"")</f>
        <v/>
      </c>
      <c r="I11" s="8">
        <f>IF(H11&lt;&gt;"",EDATE(StartDate,8),"")</f>
        <v/>
      </c>
      <c r="J11" s="9">
        <f>IF(H11&lt;&gt;"",MIN(MonthlyPmt,M10+K11),"")</f>
        <v/>
      </c>
      <c r="K11" s="9">
        <f>IF(H11&lt;&gt;"",ROUND(M10*AnnualRate/12,2),"")</f>
        <v/>
      </c>
      <c r="L11" s="9">
        <f>IF(H11&lt;&gt;"",MIN(M10,(J11-K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M11" s="9">
        <f>IF(H11&lt;&gt;"",ROUND(M10-L11,2),"")</f>
        <v/>
      </c>
    </row>
    <row r="12">
      <c r="A12" s="3" t="inlineStr">
        <is>
          <t>Original Total Interest</t>
        </is>
      </c>
      <c r="B12" s="9">
        <f>ROUND(MonthlyPmt*TermYears*12-LoanAmount,2)</f>
        <v/>
      </c>
      <c r="H12" s="11">
        <f>IF(AND(M11&gt;0.005,H11&lt;&gt;""),10,"")</f>
        <v/>
      </c>
      <c r="I12" s="12">
        <f>IF(H12&lt;&gt;"",EDATE(StartDate,9),"")</f>
        <v/>
      </c>
      <c r="J12" s="13">
        <f>IF(H12&lt;&gt;"",MIN(MonthlyPmt,M11+K12),"")</f>
        <v/>
      </c>
      <c r="K12" s="13">
        <f>IF(H12&lt;&gt;"",ROUND(M11*AnnualRate/12,2),"")</f>
        <v/>
      </c>
      <c r="L12" s="13">
        <f>IF(H12&lt;&gt;"",MIN(M11,(J12-K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M12" s="13">
        <f>IF(H12&lt;&gt;"",ROUND(M11-L12,2),"")</f>
        <v/>
      </c>
    </row>
    <row r="13">
      <c r="A13" s="3" t="inlineStr">
        <is>
          <t>Accelerated Total Interest</t>
        </is>
      </c>
      <c r="B13" s="9">
        <f>ROUND(SUM(K3:K362),2)</f>
        <v/>
      </c>
      <c r="H13" s="7">
        <f>IF(AND(M12&gt;0.005,H12&lt;&gt;""),11,"")</f>
        <v/>
      </c>
      <c r="I13" s="8">
        <f>IF(H13&lt;&gt;"",EDATE(StartDate,10),"")</f>
        <v/>
      </c>
      <c r="J13" s="9">
        <f>IF(H13&lt;&gt;"",MIN(MonthlyPmt,M12+K13),"")</f>
        <v/>
      </c>
      <c r="K13" s="9">
        <f>IF(H13&lt;&gt;"",ROUND(M12*AnnualRate/12,2),"")</f>
        <v/>
      </c>
      <c r="L13" s="9">
        <f>IF(H13&lt;&gt;"",MIN(M12,(J13-K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M13" s="9">
        <f>IF(H13&lt;&gt;"",ROUND(M12-L13,2),"")</f>
        <v/>
      </c>
    </row>
    <row r="14">
      <c r="A14" s="3" t="inlineStr">
        <is>
          <t>Interest Saved</t>
        </is>
      </c>
      <c r="B14" s="16">
        <f>B12-B13</f>
        <v/>
      </c>
      <c r="H14" s="11">
        <f>IF(AND(M13&gt;0.005,H13&lt;&gt;""),12,"")</f>
        <v/>
      </c>
      <c r="I14" s="12">
        <f>IF(H14&lt;&gt;"",EDATE(StartDate,11),"")</f>
        <v/>
      </c>
      <c r="J14" s="13">
        <f>IF(H14&lt;&gt;"",MIN(MonthlyPmt,M13+K14),"")</f>
        <v/>
      </c>
      <c r="K14" s="13">
        <f>IF(H14&lt;&gt;"",ROUND(M13*AnnualRate/12,2),"")</f>
        <v/>
      </c>
      <c r="L14" s="13">
        <f>IF(H14&lt;&gt;"",MIN(M13,(J14-K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M14" s="13">
        <f>IF(H14&lt;&gt;"",ROUND(M13-L14,2),"")</f>
        <v/>
      </c>
    </row>
    <row r="15">
      <c r="A15" s="3" t="inlineStr">
        <is>
          <t>Months Saved</t>
        </is>
      </c>
      <c r="B15" s="17">
        <f>TermYears*12-SUMPRODUCT(1*(ISNUMBER(H3:H362)))</f>
        <v/>
      </c>
      <c r="H15" s="7">
        <f>IF(AND(M14&gt;0.005,H14&lt;&gt;""),13,"")</f>
        <v/>
      </c>
      <c r="I15" s="8">
        <f>IF(H15&lt;&gt;"",EDATE(StartDate,12),"")</f>
        <v/>
      </c>
      <c r="J15" s="9">
        <f>IF(H15&lt;&gt;"",MIN(MonthlyPmt,M14+K15),"")</f>
        <v/>
      </c>
      <c r="K15" s="9">
        <f>IF(H15&lt;&gt;"",ROUND(M14*AnnualRate/12,2),"")</f>
        <v/>
      </c>
      <c r="L15" s="9">
        <f>IF(H15&lt;&gt;"",MIN(M14,(J15-K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M15" s="9">
        <f>IF(H15&lt;&gt;"",ROUND(M14-L15,2),"")</f>
        <v/>
      </c>
    </row>
    <row r="16">
      <c r="A16" s="3" t="inlineStr">
        <is>
          <t>Total of Payments (P+I)</t>
        </is>
      </c>
      <c r="B16" s="9">
        <f>ROUND(SUM(J3:J362),2)</f>
        <v/>
      </c>
      <c r="H16" s="11">
        <f>IF(AND(M15&gt;0.005,H15&lt;&gt;""),14,"")</f>
        <v/>
      </c>
      <c r="I16" s="12">
        <f>IF(H16&lt;&gt;"",EDATE(StartDate,13),"")</f>
        <v/>
      </c>
      <c r="J16" s="13">
        <f>IF(H16&lt;&gt;"",MIN(MonthlyPmt,M15+K16),"")</f>
        <v/>
      </c>
      <c r="K16" s="13">
        <f>IF(H16&lt;&gt;"",ROUND(M15*AnnualRate/12,2),"")</f>
        <v/>
      </c>
      <c r="L16" s="13">
        <f>IF(H16&lt;&gt;"",MIN(M15,(J16-K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M16" s="13">
        <f>IF(H16&lt;&gt;"",ROUND(M15-L16,2),"")</f>
        <v/>
      </c>
    </row>
    <row r="17">
      <c r="A17" s="3" t="inlineStr">
        <is>
          <t>Total Extra Payments</t>
        </is>
      </c>
      <c r="B17" s="9">
        <f>ROUND(SUM(L3:L362)-SUM(J3:J362)+SUM(K3:K362),2)</f>
        <v/>
      </c>
      <c r="H17" s="7">
        <f>IF(AND(M16&gt;0.005,H16&lt;&gt;""),15,"")</f>
        <v/>
      </c>
      <c r="I17" s="8">
        <f>IF(H17&lt;&gt;"",EDATE(StartDate,14),"")</f>
        <v/>
      </c>
      <c r="J17" s="9">
        <f>IF(H17&lt;&gt;"",MIN(MonthlyPmt,M16+K17),"")</f>
        <v/>
      </c>
      <c r="K17" s="9">
        <f>IF(H17&lt;&gt;"",ROUND(M16*AnnualRate/12,2),"")</f>
        <v/>
      </c>
      <c r="L17" s="9">
        <f>IF(H17&lt;&gt;"",MIN(M16,(J17-K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M17" s="9">
        <f>IF(H17&lt;&gt;"",ROUND(M16-L17,2),"")</f>
        <v/>
      </c>
    </row>
    <row r="18">
      <c r="H18" s="11">
        <f>IF(AND(M17&gt;0.005,H17&lt;&gt;""),16,"")</f>
        <v/>
      </c>
      <c r="I18" s="12">
        <f>IF(H18&lt;&gt;"",EDATE(StartDate,15),"")</f>
        <v/>
      </c>
      <c r="J18" s="13">
        <f>IF(H18&lt;&gt;"",MIN(MonthlyPmt,M17+K18),"")</f>
        <v/>
      </c>
      <c r="K18" s="13">
        <f>IF(H18&lt;&gt;"",ROUND(M17*AnnualRate/12,2),"")</f>
        <v/>
      </c>
      <c r="L18" s="13">
        <f>IF(H18&lt;&gt;"",MIN(M17,(J18-K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M18" s="13">
        <f>IF(H18&lt;&gt;"",ROUND(M17-L18,2),"")</f>
        <v/>
      </c>
    </row>
    <row r="19">
      <c r="A19" s="1" t="inlineStr">
        <is>
          <t>RECURRING EXTRA PAYMENTS</t>
        </is>
      </c>
      <c r="H19" s="7">
        <f>IF(AND(M18&gt;0.005,H18&lt;&gt;""),17,"")</f>
        <v/>
      </c>
      <c r="I19" s="8">
        <f>IF(H19&lt;&gt;"",EDATE(StartDate,16),"")</f>
        <v/>
      </c>
      <c r="J19" s="9">
        <f>IF(H19&lt;&gt;"",MIN(MonthlyPmt,M18+K19),"")</f>
        <v/>
      </c>
      <c r="K19" s="9">
        <f>IF(H19&lt;&gt;"",ROUND(M18*AnnualRate/12,2),"")</f>
        <v/>
      </c>
      <c r="L19" s="9">
        <f>IF(H19&lt;&gt;"",MIN(M18,(J19-K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M19" s="9">
        <f>IF(H19&lt;&gt;"",ROUND(M18-L19,2),"")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1">
        <f>IF(AND(M19&gt;0.005,H19&lt;&gt;""),18,"")</f>
        <v/>
      </c>
      <c r="I20" s="12">
        <f>IF(H20&lt;&gt;"",EDATE(StartDate,17),"")</f>
        <v/>
      </c>
      <c r="J20" s="13">
        <f>IF(H20&lt;&gt;"",MIN(MonthlyPmt,M19+K20),"")</f>
        <v/>
      </c>
      <c r="K20" s="13">
        <f>IF(H20&lt;&gt;"",ROUND(M19*AnnualRate/12,2),"")</f>
        <v/>
      </c>
      <c r="L20" s="13">
        <f>IF(H20&lt;&gt;"",MIN(M19,(J20-K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M20" s="13">
        <f>IF(H20&lt;&gt;"",ROUND(M19-L20,2),"")</f>
        <v/>
      </c>
    </row>
    <row r="21">
      <c r="A21" s="7" t="n">
        <v>1</v>
      </c>
      <c r="B21" s="14" t="n"/>
      <c r="C21" s="14" t="n"/>
      <c r="D21" s="4" t="n"/>
      <c r="E21" s="18" t="n"/>
      <c r="H21" s="7">
        <f>IF(AND(M20&gt;0.005,H20&lt;&gt;""),19,"")</f>
        <v/>
      </c>
      <c r="I21" s="8">
        <f>IF(H21&lt;&gt;"",EDATE(StartDate,18),"")</f>
        <v/>
      </c>
      <c r="J21" s="9">
        <f>IF(H21&lt;&gt;"",MIN(MonthlyPmt,M20+K21),"")</f>
        <v/>
      </c>
      <c r="K21" s="9">
        <f>IF(H21&lt;&gt;"",ROUND(M20*AnnualRate/12,2),"")</f>
        <v/>
      </c>
      <c r="L21" s="9">
        <f>IF(H21&lt;&gt;"",MIN(M20,(J21-K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M21" s="9">
        <f>IF(H21&lt;&gt;"",ROUND(M20-L21,2),"")</f>
        <v/>
      </c>
    </row>
    <row r="22">
      <c r="A22" s="7" t="n">
        <v>2</v>
      </c>
      <c r="B22" s="14" t="n"/>
      <c r="C22" s="14" t="n"/>
      <c r="D22" s="4" t="n"/>
      <c r="E22" s="18" t="n"/>
      <c r="H22" s="11">
        <f>IF(AND(M21&gt;0.005,H21&lt;&gt;""),20,"")</f>
        <v/>
      </c>
      <c r="I22" s="12">
        <f>IF(H22&lt;&gt;"",EDATE(StartDate,19),"")</f>
        <v/>
      </c>
      <c r="J22" s="13">
        <f>IF(H22&lt;&gt;"",MIN(MonthlyPmt,M21+K22),"")</f>
        <v/>
      </c>
      <c r="K22" s="13">
        <f>IF(H22&lt;&gt;"",ROUND(M21*AnnualRate/12,2),"")</f>
        <v/>
      </c>
      <c r="L22" s="13">
        <f>IF(H22&lt;&gt;"",MIN(M21,(J22-K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M22" s="13">
        <f>IF(H22&lt;&gt;"",ROUND(M21-L22,2),"")</f>
        <v/>
      </c>
    </row>
    <row r="23">
      <c r="A23" s="7" t="n">
        <v>3</v>
      </c>
      <c r="B23" s="14" t="n"/>
      <c r="C23" s="14" t="n"/>
      <c r="D23" s="4" t="n"/>
      <c r="E23" s="18" t="n"/>
      <c r="H23" s="7">
        <f>IF(AND(M22&gt;0.005,H22&lt;&gt;""),21,"")</f>
        <v/>
      </c>
      <c r="I23" s="8">
        <f>IF(H23&lt;&gt;"",EDATE(StartDate,20),"")</f>
        <v/>
      </c>
      <c r="J23" s="9">
        <f>IF(H23&lt;&gt;"",MIN(MonthlyPmt,M22+K23),"")</f>
        <v/>
      </c>
      <c r="K23" s="9">
        <f>IF(H23&lt;&gt;"",ROUND(M22*AnnualRate/12,2),"")</f>
        <v/>
      </c>
      <c r="L23" s="9">
        <f>IF(H23&lt;&gt;"",MIN(M22,(J23-K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M23" s="9">
        <f>IF(H23&lt;&gt;"",ROUND(M22-L23,2),"")</f>
        <v/>
      </c>
    </row>
    <row r="24">
      <c r="A24" s="7" t="n">
        <v>4</v>
      </c>
      <c r="B24" s="14" t="n"/>
      <c r="C24" s="14" t="n"/>
      <c r="D24" s="4" t="n"/>
      <c r="E24" s="18" t="n"/>
      <c r="H24" s="11">
        <f>IF(AND(M23&gt;0.005,H23&lt;&gt;""),22,"")</f>
        <v/>
      </c>
      <c r="I24" s="12">
        <f>IF(H24&lt;&gt;"",EDATE(StartDate,21),"")</f>
        <v/>
      </c>
      <c r="J24" s="13">
        <f>IF(H24&lt;&gt;"",MIN(MonthlyPmt,M23+K24),"")</f>
        <v/>
      </c>
      <c r="K24" s="13">
        <f>IF(H24&lt;&gt;"",ROUND(M23*AnnualRate/12,2),"")</f>
        <v/>
      </c>
      <c r="L24" s="13">
        <f>IF(H24&lt;&gt;"",MIN(M23,(J24-K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M24" s="13">
        <f>IF(H24&lt;&gt;"",ROUND(M23-L24,2),"")</f>
        <v/>
      </c>
    </row>
    <row r="25">
      <c r="A25" s="7" t="n">
        <v>5</v>
      </c>
      <c r="B25" s="14" t="n"/>
      <c r="C25" s="14" t="n"/>
      <c r="D25" s="4" t="n"/>
      <c r="E25" s="18" t="n"/>
      <c r="H25" s="7">
        <f>IF(AND(M24&gt;0.005,H24&lt;&gt;""),23,"")</f>
        <v/>
      </c>
      <c r="I25" s="8">
        <f>IF(H25&lt;&gt;"",EDATE(StartDate,22),"")</f>
        <v/>
      </c>
      <c r="J25" s="9">
        <f>IF(H25&lt;&gt;"",MIN(MonthlyPmt,M24+K25),"")</f>
        <v/>
      </c>
      <c r="K25" s="9">
        <f>IF(H25&lt;&gt;"",ROUND(M24*AnnualRate/12,2),"")</f>
        <v/>
      </c>
      <c r="L25" s="9">
        <f>IF(H25&lt;&gt;"",MIN(M24,(J25-K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M25" s="9">
        <f>IF(H25&lt;&gt;"",ROUND(M24-L25,2),"")</f>
        <v/>
      </c>
    </row>
    <row r="26">
      <c r="A26" s="7" t="n">
        <v>6</v>
      </c>
      <c r="B26" s="14" t="n"/>
      <c r="C26" s="14" t="n"/>
      <c r="D26" s="4" t="n"/>
      <c r="E26" s="18" t="n"/>
      <c r="H26" s="11">
        <f>IF(AND(M25&gt;0.005,H25&lt;&gt;""),24,"")</f>
        <v/>
      </c>
      <c r="I26" s="12">
        <f>IF(H26&lt;&gt;"",EDATE(StartDate,23),"")</f>
        <v/>
      </c>
      <c r="J26" s="13">
        <f>IF(H26&lt;&gt;"",MIN(MonthlyPmt,M25+K26),"")</f>
        <v/>
      </c>
      <c r="K26" s="13">
        <f>IF(H26&lt;&gt;"",ROUND(M25*AnnualRate/12,2),"")</f>
        <v/>
      </c>
      <c r="L26" s="13">
        <f>IF(H26&lt;&gt;"",MIN(M25,(J26-K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M26" s="13">
        <f>IF(H26&lt;&gt;"",ROUND(M25-L26,2),"")</f>
        <v/>
      </c>
    </row>
    <row r="27">
      <c r="A27" s="7" t="n">
        <v>7</v>
      </c>
      <c r="B27" s="14" t="n"/>
      <c r="C27" s="14" t="n"/>
      <c r="D27" s="4" t="n"/>
      <c r="E27" s="18" t="n"/>
      <c r="H27" s="7">
        <f>IF(AND(M26&gt;0.005,H26&lt;&gt;""),25,"")</f>
        <v/>
      </c>
      <c r="I27" s="8">
        <f>IF(H27&lt;&gt;"",EDATE(StartDate,24),"")</f>
        <v/>
      </c>
      <c r="J27" s="9">
        <f>IF(H27&lt;&gt;"",MIN(MonthlyPmt,M26+K27),"")</f>
        <v/>
      </c>
      <c r="K27" s="9">
        <f>IF(H27&lt;&gt;"",ROUND(M26*AnnualRate/12,2),"")</f>
        <v/>
      </c>
      <c r="L27" s="9">
        <f>IF(H27&lt;&gt;"",MIN(M26,(J27-K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M27" s="9">
        <f>IF(H27&lt;&gt;"",ROUND(M26-L27,2),"")</f>
        <v/>
      </c>
    </row>
    <row r="28">
      <c r="A28" s="7" t="n">
        <v>8</v>
      </c>
      <c r="B28" s="14" t="n"/>
      <c r="C28" s="14" t="n"/>
      <c r="D28" s="4" t="n"/>
      <c r="E28" s="18" t="n"/>
      <c r="H28" s="11">
        <f>IF(AND(M27&gt;0.005,H27&lt;&gt;""),26,"")</f>
        <v/>
      </c>
      <c r="I28" s="12">
        <f>IF(H28&lt;&gt;"",EDATE(StartDate,25),"")</f>
        <v/>
      </c>
      <c r="J28" s="13">
        <f>IF(H28&lt;&gt;"",MIN(MonthlyPmt,M27+K28),"")</f>
        <v/>
      </c>
      <c r="K28" s="13">
        <f>IF(H28&lt;&gt;"",ROUND(M27*AnnualRate/12,2),"")</f>
        <v/>
      </c>
      <c r="L28" s="13">
        <f>IF(H28&lt;&gt;"",MIN(M27,(J28-K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M28" s="13">
        <f>IF(H28&lt;&gt;"",ROUND(M27-L28,2),"")</f>
        <v/>
      </c>
    </row>
    <row r="29">
      <c r="A29" s="7" t="n">
        <v>9</v>
      </c>
      <c r="B29" s="14" t="n"/>
      <c r="C29" s="14" t="n"/>
      <c r="D29" s="4" t="n"/>
      <c r="E29" s="18" t="n"/>
      <c r="H29" s="7">
        <f>IF(AND(M28&gt;0.005,H28&lt;&gt;""),27,"")</f>
        <v/>
      </c>
      <c r="I29" s="8">
        <f>IF(H29&lt;&gt;"",EDATE(StartDate,26),"")</f>
        <v/>
      </c>
      <c r="J29" s="9">
        <f>IF(H29&lt;&gt;"",MIN(MonthlyPmt,M28+K29),"")</f>
        <v/>
      </c>
      <c r="K29" s="9">
        <f>IF(H29&lt;&gt;"",ROUND(M28*AnnualRate/12,2),"")</f>
        <v/>
      </c>
      <c r="L29" s="9">
        <f>IF(H29&lt;&gt;"",MIN(M28,(J29-K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M29" s="9">
        <f>IF(H29&lt;&gt;"",ROUND(M28-L29,2),"")</f>
        <v/>
      </c>
    </row>
    <row r="30">
      <c r="A30" s="7" t="n">
        <v>10</v>
      </c>
      <c r="B30" s="14" t="n"/>
      <c r="C30" s="14" t="n"/>
      <c r="D30" s="4" t="n"/>
      <c r="E30" s="18" t="n"/>
      <c r="H30" s="11">
        <f>IF(AND(M29&gt;0.005,H29&lt;&gt;""),28,"")</f>
        <v/>
      </c>
      <c r="I30" s="12">
        <f>IF(H30&lt;&gt;"",EDATE(StartDate,27),"")</f>
        <v/>
      </c>
      <c r="J30" s="13">
        <f>IF(H30&lt;&gt;"",MIN(MonthlyPmt,M29+K30),"")</f>
        <v/>
      </c>
      <c r="K30" s="13">
        <f>IF(H30&lt;&gt;"",ROUND(M29*AnnualRate/12,2),"")</f>
        <v/>
      </c>
      <c r="L30" s="13">
        <f>IF(H30&lt;&gt;"",MIN(M29,(J30-K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M30" s="13">
        <f>IF(H30&lt;&gt;"",ROUND(M29-L30,2),"")</f>
        <v/>
      </c>
    </row>
    <row r="31">
      <c r="H31" s="7">
        <f>IF(AND(M30&gt;0.005,H30&lt;&gt;""),29,"")</f>
        <v/>
      </c>
      <c r="I31" s="8">
        <f>IF(H31&lt;&gt;"",EDATE(StartDate,28),"")</f>
        <v/>
      </c>
      <c r="J31" s="9">
        <f>IF(H31&lt;&gt;"",MIN(MonthlyPmt,M30+K31),"")</f>
        <v/>
      </c>
      <c r="K31" s="9">
        <f>IF(H31&lt;&gt;"",ROUND(M30*AnnualRate/12,2),"")</f>
        <v/>
      </c>
      <c r="L31" s="9">
        <f>IF(H31&lt;&gt;"",MIN(M30,(J31-K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M31" s="9">
        <f>IF(H31&lt;&gt;"",ROUND(M30-L31,2),"")</f>
        <v/>
      </c>
    </row>
    <row r="32">
      <c r="A32" s="1" t="inlineStr">
        <is>
          <t>ONE-TIME EXTRA PAYMENTS</t>
        </is>
      </c>
      <c r="H32" s="11">
        <f>IF(AND(M31&gt;0.005,H31&lt;&gt;""),30,"")</f>
        <v/>
      </c>
      <c r="I32" s="12">
        <f>IF(H32&lt;&gt;"",EDATE(StartDate,29),"")</f>
        <v/>
      </c>
      <c r="J32" s="13">
        <f>IF(H32&lt;&gt;"",MIN(MonthlyPmt,M31+K32),"")</f>
        <v/>
      </c>
      <c r="K32" s="13">
        <f>IF(H32&lt;&gt;"",ROUND(M31*AnnualRate/12,2),"")</f>
        <v/>
      </c>
      <c r="L32" s="13">
        <f>IF(H32&lt;&gt;"",MIN(M31,(J32-K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M32" s="13">
        <f>IF(H32&lt;&gt;"",ROUND(M31-L32,2),"")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IF(AND(M32&gt;0.005,H32&lt;&gt;""),31,"")</f>
        <v/>
      </c>
      <c r="I33" s="8">
        <f>IF(H33&lt;&gt;"",EDATE(StartDate,30),"")</f>
        <v/>
      </c>
      <c r="J33" s="9">
        <f>IF(H33&lt;&gt;"",MIN(MonthlyPmt,M32+K33),"")</f>
        <v/>
      </c>
      <c r="K33" s="9">
        <f>IF(H33&lt;&gt;"",ROUND(M32*AnnualRate/12,2),"")</f>
        <v/>
      </c>
      <c r="L33" s="9">
        <f>IF(H33&lt;&gt;"",MIN(M32,(J33-K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M33" s="9">
        <f>IF(H33&lt;&gt;"",ROUND(M32-L33,2),"")</f>
        <v/>
      </c>
    </row>
    <row r="34">
      <c r="A34" s="7" t="n">
        <v>1</v>
      </c>
      <c r="B34" s="14" t="n"/>
      <c r="C34" s="4" t="n"/>
      <c r="H34" s="11">
        <f>IF(AND(M33&gt;0.005,H33&lt;&gt;""),32,"")</f>
        <v/>
      </c>
      <c r="I34" s="12">
        <f>IF(H34&lt;&gt;"",EDATE(StartDate,31),"")</f>
        <v/>
      </c>
      <c r="J34" s="13">
        <f>IF(H34&lt;&gt;"",MIN(MonthlyPmt,M33+K34),"")</f>
        <v/>
      </c>
      <c r="K34" s="13">
        <f>IF(H34&lt;&gt;"",ROUND(M33*AnnualRate/12,2),"")</f>
        <v/>
      </c>
      <c r="L34" s="13">
        <f>IF(H34&lt;&gt;"",MIN(M33,(J34-K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M34" s="13">
        <f>IF(H34&lt;&gt;"",ROUND(M33-L34,2),"")</f>
        <v/>
      </c>
    </row>
    <row r="35">
      <c r="A35" s="7" t="n">
        <v>2</v>
      </c>
      <c r="B35" s="14" t="n"/>
      <c r="C35" s="4" t="n"/>
      <c r="H35" s="7">
        <f>IF(AND(M34&gt;0.005,H34&lt;&gt;""),33,"")</f>
        <v/>
      </c>
      <c r="I35" s="8">
        <f>IF(H35&lt;&gt;"",EDATE(StartDate,32),"")</f>
        <v/>
      </c>
      <c r="J35" s="9">
        <f>IF(H35&lt;&gt;"",MIN(MonthlyPmt,M34+K35),"")</f>
        <v/>
      </c>
      <c r="K35" s="9">
        <f>IF(H35&lt;&gt;"",ROUND(M34*AnnualRate/12,2),"")</f>
        <v/>
      </c>
      <c r="L35" s="9">
        <f>IF(H35&lt;&gt;"",MIN(M34,(J35-K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M35" s="9">
        <f>IF(H35&lt;&gt;"",ROUND(M34-L35,2),"")</f>
        <v/>
      </c>
    </row>
    <row r="36">
      <c r="A36" s="7" t="n">
        <v>3</v>
      </c>
      <c r="B36" s="14" t="n"/>
      <c r="C36" s="4" t="n"/>
      <c r="H36" s="11">
        <f>IF(AND(M35&gt;0.005,H35&lt;&gt;""),34,"")</f>
        <v/>
      </c>
      <c r="I36" s="12">
        <f>IF(H36&lt;&gt;"",EDATE(StartDate,33),"")</f>
        <v/>
      </c>
      <c r="J36" s="13">
        <f>IF(H36&lt;&gt;"",MIN(MonthlyPmt,M35+K36),"")</f>
        <v/>
      </c>
      <c r="K36" s="13">
        <f>IF(H36&lt;&gt;"",ROUND(M35*AnnualRate/12,2),"")</f>
        <v/>
      </c>
      <c r="L36" s="13">
        <f>IF(H36&lt;&gt;"",MIN(M35,(J36-K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M36" s="13">
        <f>IF(H36&lt;&gt;"",ROUND(M35-L36,2),"")</f>
        <v/>
      </c>
    </row>
    <row r="37">
      <c r="A37" s="7" t="n">
        <v>4</v>
      </c>
      <c r="B37" s="14" t="n"/>
      <c r="C37" s="4" t="n"/>
      <c r="H37" s="7">
        <f>IF(AND(M36&gt;0.005,H36&lt;&gt;""),35,"")</f>
        <v/>
      </c>
      <c r="I37" s="8">
        <f>IF(H37&lt;&gt;"",EDATE(StartDate,34),"")</f>
        <v/>
      </c>
      <c r="J37" s="9">
        <f>IF(H37&lt;&gt;"",MIN(MonthlyPmt,M36+K37),"")</f>
        <v/>
      </c>
      <c r="K37" s="9">
        <f>IF(H37&lt;&gt;"",ROUND(M36*AnnualRate/12,2),"")</f>
        <v/>
      </c>
      <c r="L37" s="9">
        <f>IF(H37&lt;&gt;"",MIN(M36,(J37-K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M37" s="9">
        <f>IF(H37&lt;&gt;"",ROUND(M36-L37,2),"")</f>
        <v/>
      </c>
    </row>
    <row r="38">
      <c r="A38" s="7" t="n">
        <v>5</v>
      </c>
      <c r="B38" s="14" t="n"/>
      <c r="C38" s="4" t="n"/>
      <c r="H38" s="11">
        <f>IF(AND(M37&gt;0.005,H37&lt;&gt;""),36,"")</f>
        <v/>
      </c>
      <c r="I38" s="12">
        <f>IF(H38&lt;&gt;"",EDATE(StartDate,35),"")</f>
        <v/>
      </c>
      <c r="J38" s="13">
        <f>IF(H38&lt;&gt;"",MIN(MonthlyPmt,M37+K38),"")</f>
        <v/>
      </c>
      <c r="K38" s="13">
        <f>IF(H38&lt;&gt;"",ROUND(M37*AnnualRate/12,2),"")</f>
        <v/>
      </c>
      <c r="L38" s="13">
        <f>IF(H38&lt;&gt;"",MIN(M37,(J38-K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M38" s="13">
        <f>IF(H38&lt;&gt;"",ROUND(M37-L38,2),"")</f>
        <v/>
      </c>
    </row>
    <row r="39">
      <c r="A39" s="7" t="n">
        <v>6</v>
      </c>
      <c r="B39" s="14" t="n"/>
      <c r="C39" s="4" t="n"/>
      <c r="H39" s="7">
        <f>IF(AND(M38&gt;0.005,H38&lt;&gt;""),37,"")</f>
        <v/>
      </c>
      <c r="I39" s="8">
        <f>IF(H39&lt;&gt;"",EDATE(StartDate,36),"")</f>
        <v/>
      </c>
      <c r="J39" s="9">
        <f>IF(H39&lt;&gt;"",MIN(MonthlyPmt,M38+K39),"")</f>
        <v/>
      </c>
      <c r="K39" s="9">
        <f>IF(H39&lt;&gt;"",ROUND(M38*AnnualRate/12,2),"")</f>
        <v/>
      </c>
      <c r="L39" s="9">
        <f>IF(H39&lt;&gt;"",MIN(M38,(J39-K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M39" s="9">
        <f>IF(H39&lt;&gt;"",ROUND(M38-L39,2),"")</f>
        <v/>
      </c>
    </row>
    <row r="40">
      <c r="A40" s="7" t="n">
        <v>7</v>
      </c>
      <c r="B40" s="14" t="n"/>
      <c r="C40" s="4" t="n"/>
      <c r="H40" s="11">
        <f>IF(AND(M39&gt;0.005,H39&lt;&gt;""),38,"")</f>
        <v/>
      </c>
      <c r="I40" s="12">
        <f>IF(H40&lt;&gt;"",EDATE(StartDate,37),"")</f>
        <v/>
      </c>
      <c r="J40" s="13">
        <f>IF(H40&lt;&gt;"",MIN(MonthlyPmt,M39+K40),"")</f>
        <v/>
      </c>
      <c r="K40" s="13">
        <f>IF(H40&lt;&gt;"",ROUND(M39*AnnualRate/12,2),"")</f>
        <v/>
      </c>
      <c r="L40" s="13">
        <f>IF(H40&lt;&gt;"",MIN(M39,(J40-K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M40" s="13">
        <f>IF(H40&lt;&gt;"",ROUND(M39-L40,2),"")</f>
        <v/>
      </c>
    </row>
    <row r="41">
      <c r="A41" s="7" t="n">
        <v>8</v>
      </c>
      <c r="B41" s="14" t="n"/>
      <c r="C41" s="4" t="n"/>
      <c r="H41" s="7">
        <f>IF(AND(M40&gt;0.005,H40&lt;&gt;""),39,"")</f>
        <v/>
      </c>
      <c r="I41" s="8">
        <f>IF(H41&lt;&gt;"",EDATE(StartDate,38),"")</f>
        <v/>
      </c>
      <c r="J41" s="9">
        <f>IF(H41&lt;&gt;"",MIN(MonthlyPmt,M40+K41),"")</f>
        <v/>
      </c>
      <c r="K41" s="9">
        <f>IF(H41&lt;&gt;"",ROUND(M40*AnnualRate/12,2),"")</f>
        <v/>
      </c>
      <c r="L41" s="9">
        <f>IF(H41&lt;&gt;"",MIN(M40,(J41-K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M41" s="9">
        <f>IF(H41&lt;&gt;"",ROUND(M40-L41,2),"")</f>
        <v/>
      </c>
    </row>
    <row r="42">
      <c r="A42" s="7" t="n">
        <v>9</v>
      </c>
      <c r="B42" s="14" t="n"/>
      <c r="C42" s="4" t="n"/>
      <c r="H42" s="11">
        <f>IF(AND(M41&gt;0.005,H41&lt;&gt;""),40,"")</f>
        <v/>
      </c>
      <c r="I42" s="12">
        <f>IF(H42&lt;&gt;"",EDATE(StartDate,39),"")</f>
        <v/>
      </c>
      <c r="J42" s="13">
        <f>IF(H42&lt;&gt;"",MIN(MonthlyPmt,M41+K42),"")</f>
        <v/>
      </c>
      <c r="K42" s="13">
        <f>IF(H42&lt;&gt;"",ROUND(M41*AnnualRate/12,2),"")</f>
        <v/>
      </c>
      <c r="L42" s="13">
        <f>IF(H42&lt;&gt;"",MIN(M41,(J42-K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M42" s="13">
        <f>IF(H42&lt;&gt;"",ROUND(M41-L42,2),"")</f>
        <v/>
      </c>
    </row>
    <row r="43">
      <c r="A43" s="7" t="n">
        <v>10</v>
      </c>
      <c r="B43" s="14" t="n"/>
      <c r="C43" s="4" t="n"/>
      <c r="H43" s="7">
        <f>IF(AND(M42&gt;0.005,H42&lt;&gt;""),41,"")</f>
        <v/>
      </c>
      <c r="I43" s="8">
        <f>IF(H43&lt;&gt;"",EDATE(StartDate,40),"")</f>
        <v/>
      </c>
      <c r="J43" s="9">
        <f>IF(H43&lt;&gt;"",MIN(MonthlyPmt,M42+K43),"")</f>
        <v/>
      </c>
      <c r="K43" s="9">
        <f>IF(H43&lt;&gt;"",ROUND(M42*AnnualRate/12,2),"")</f>
        <v/>
      </c>
      <c r="L43" s="9">
        <f>IF(H43&lt;&gt;"",MIN(M42,(J43-K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M43" s="9">
        <f>IF(H43&lt;&gt;"",ROUND(M42-L43,2),"")</f>
        <v/>
      </c>
    </row>
    <row r="44">
      <c r="A44" s="7" t="n">
        <v>11</v>
      </c>
      <c r="B44" s="14" t="n"/>
      <c r="C44" s="4" t="n"/>
      <c r="H44" s="11">
        <f>IF(AND(M43&gt;0.005,H43&lt;&gt;""),42,"")</f>
        <v/>
      </c>
      <c r="I44" s="12">
        <f>IF(H44&lt;&gt;"",EDATE(StartDate,41),"")</f>
        <v/>
      </c>
      <c r="J44" s="13">
        <f>IF(H44&lt;&gt;"",MIN(MonthlyPmt,M43+K44),"")</f>
        <v/>
      </c>
      <c r="K44" s="13">
        <f>IF(H44&lt;&gt;"",ROUND(M43*AnnualRate/12,2),"")</f>
        <v/>
      </c>
      <c r="L44" s="13">
        <f>IF(H44&lt;&gt;"",MIN(M43,(J44-K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M44" s="13">
        <f>IF(H44&lt;&gt;"",ROUND(M43-L44,2),"")</f>
        <v/>
      </c>
    </row>
    <row r="45">
      <c r="A45" s="7" t="n">
        <v>12</v>
      </c>
      <c r="B45" s="14" t="n"/>
      <c r="C45" s="4" t="n"/>
      <c r="H45" s="7">
        <f>IF(AND(M44&gt;0.005,H44&lt;&gt;""),43,"")</f>
        <v/>
      </c>
      <c r="I45" s="8">
        <f>IF(H45&lt;&gt;"",EDATE(StartDate,42),"")</f>
        <v/>
      </c>
      <c r="J45" s="9">
        <f>IF(H45&lt;&gt;"",MIN(MonthlyPmt,M44+K45),"")</f>
        <v/>
      </c>
      <c r="K45" s="9">
        <f>IF(H45&lt;&gt;"",ROUND(M44*AnnualRate/12,2),"")</f>
        <v/>
      </c>
      <c r="L45" s="9">
        <f>IF(H45&lt;&gt;"",MIN(M44,(J45-K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M45" s="9">
        <f>IF(H45&lt;&gt;"",ROUND(M44-L45,2),"")</f>
        <v/>
      </c>
    </row>
    <row r="46">
      <c r="A46" s="7" t="n">
        <v>13</v>
      </c>
      <c r="B46" s="14" t="n"/>
      <c r="C46" s="4" t="n"/>
      <c r="H46" s="11">
        <f>IF(AND(M45&gt;0.005,H45&lt;&gt;""),44,"")</f>
        <v/>
      </c>
      <c r="I46" s="12">
        <f>IF(H46&lt;&gt;"",EDATE(StartDate,43),"")</f>
        <v/>
      </c>
      <c r="J46" s="13">
        <f>IF(H46&lt;&gt;"",MIN(MonthlyPmt,M45+K46),"")</f>
        <v/>
      </c>
      <c r="K46" s="13">
        <f>IF(H46&lt;&gt;"",ROUND(M45*AnnualRate/12,2),"")</f>
        <v/>
      </c>
      <c r="L46" s="13">
        <f>IF(H46&lt;&gt;"",MIN(M45,(J46-K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M46" s="13">
        <f>IF(H46&lt;&gt;"",ROUND(M45-L46,2),"")</f>
        <v/>
      </c>
    </row>
    <row r="47">
      <c r="A47" s="7" t="n">
        <v>14</v>
      </c>
      <c r="B47" s="14" t="n"/>
      <c r="C47" s="4" t="n"/>
      <c r="H47" s="7">
        <f>IF(AND(M46&gt;0.005,H46&lt;&gt;""),45,"")</f>
        <v/>
      </c>
      <c r="I47" s="8">
        <f>IF(H47&lt;&gt;"",EDATE(StartDate,44),"")</f>
        <v/>
      </c>
      <c r="J47" s="9">
        <f>IF(H47&lt;&gt;"",MIN(MonthlyPmt,M46+K47),"")</f>
        <v/>
      </c>
      <c r="K47" s="9">
        <f>IF(H47&lt;&gt;"",ROUND(M46*AnnualRate/12,2),"")</f>
        <v/>
      </c>
      <c r="L47" s="9">
        <f>IF(H47&lt;&gt;"",MIN(M46,(J47-K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M47" s="9">
        <f>IF(H47&lt;&gt;"",ROUND(M46-L47,2),"")</f>
        <v/>
      </c>
    </row>
    <row r="48">
      <c r="A48" s="7" t="n">
        <v>15</v>
      </c>
      <c r="B48" s="14" t="n"/>
      <c r="C48" s="4" t="n"/>
      <c r="H48" s="11">
        <f>IF(AND(M47&gt;0.005,H47&lt;&gt;""),46,"")</f>
        <v/>
      </c>
      <c r="I48" s="12">
        <f>IF(H48&lt;&gt;"",EDATE(StartDate,45),"")</f>
        <v/>
      </c>
      <c r="J48" s="13">
        <f>IF(H48&lt;&gt;"",MIN(MonthlyPmt,M47+K48),"")</f>
        <v/>
      </c>
      <c r="K48" s="13">
        <f>IF(H48&lt;&gt;"",ROUND(M47*AnnualRate/12,2),"")</f>
        <v/>
      </c>
      <c r="L48" s="13">
        <f>IF(H48&lt;&gt;"",MIN(M47,(J48-K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M48" s="13">
        <f>IF(H48&lt;&gt;"",ROUND(M47-L48,2),"")</f>
        <v/>
      </c>
    </row>
    <row r="49">
      <c r="H49" s="7">
        <f>IF(AND(M48&gt;0.005,H48&lt;&gt;""),47,"")</f>
        <v/>
      </c>
      <c r="I49" s="8">
        <f>IF(H49&lt;&gt;"",EDATE(StartDate,46),"")</f>
        <v/>
      </c>
      <c r="J49" s="9">
        <f>IF(H49&lt;&gt;"",MIN(MonthlyPmt,M48+K49),"")</f>
        <v/>
      </c>
      <c r="K49" s="9">
        <f>IF(H49&lt;&gt;"",ROUND(M48*AnnualRate/12,2),"")</f>
        <v/>
      </c>
      <c r="L49" s="9">
        <f>IF(H49&lt;&gt;"",MIN(M48,(J49-K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M49" s="9">
        <f>IF(H49&lt;&gt;"",ROUND(M48-L49,2),"")</f>
        <v/>
      </c>
    </row>
    <row r="50">
      <c r="H50" s="11">
        <f>IF(AND(M49&gt;0.005,H49&lt;&gt;""),48,"")</f>
        <v/>
      </c>
      <c r="I50" s="12">
        <f>IF(H50&lt;&gt;"",EDATE(StartDate,47),"")</f>
        <v/>
      </c>
      <c r="J50" s="13">
        <f>IF(H50&lt;&gt;"",MIN(MonthlyPmt,M49+K50),"")</f>
        <v/>
      </c>
      <c r="K50" s="13">
        <f>IF(H50&lt;&gt;"",ROUND(M49*AnnualRate/12,2),"")</f>
        <v/>
      </c>
      <c r="L50" s="13">
        <f>IF(H50&lt;&gt;"",MIN(M49,(J50-K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M50" s="13">
        <f>IF(H50&lt;&gt;"",ROUND(M49-L50,2),"")</f>
        <v/>
      </c>
    </row>
    <row r="51">
      <c r="H51" s="7">
        <f>IF(AND(M50&gt;0.005,H50&lt;&gt;""),49,"")</f>
        <v/>
      </c>
      <c r="I51" s="8">
        <f>IF(H51&lt;&gt;"",EDATE(StartDate,48),"")</f>
        <v/>
      </c>
      <c r="J51" s="9">
        <f>IF(H51&lt;&gt;"",MIN(MonthlyPmt,M50+K51),"")</f>
        <v/>
      </c>
      <c r="K51" s="9">
        <f>IF(H51&lt;&gt;"",ROUND(M50*AnnualRate/12,2),"")</f>
        <v/>
      </c>
      <c r="L51" s="9">
        <f>IF(H51&lt;&gt;"",MIN(M50,(J51-K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M51" s="9">
        <f>IF(H51&lt;&gt;"",ROUND(M50-L51,2),"")</f>
        <v/>
      </c>
    </row>
    <row r="52">
      <c r="H52" s="11">
        <f>IF(AND(M51&gt;0.005,H51&lt;&gt;""),50,"")</f>
        <v/>
      </c>
      <c r="I52" s="12">
        <f>IF(H52&lt;&gt;"",EDATE(StartDate,49),"")</f>
        <v/>
      </c>
      <c r="J52" s="13">
        <f>IF(H52&lt;&gt;"",MIN(MonthlyPmt,M51+K52),"")</f>
        <v/>
      </c>
      <c r="K52" s="13">
        <f>IF(H52&lt;&gt;"",ROUND(M51*AnnualRate/12,2),"")</f>
        <v/>
      </c>
      <c r="L52" s="13">
        <f>IF(H52&lt;&gt;"",MIN(M51,(J52-K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M52" s="13">
        <f>IF(H52&lt;&gt;"",ROUND(M51-L52,2),"")</f>
        <v/>
      </c>
    </row>
    <row r="53">
      <c r="H53" s="7">
        <f>IF(AND(M52&gt;0.005,H52&lt;&gt;""),51,"")</f>
        <v/>
      </c>
      <c r="I53" s="8">
        <f>IF(H53&lt;&gt;"",EDATE(StartDate,50),"")</f>
        <v/>
      </c>
      <c r="J53" s="9">
        <f>IF(H53&lt;&gt;"",MIN(MonthlyPmt,M52+K53),"")</f>
        <v/>
      </c>
      <c r="K53" s="9">
        <f>IF(H53&lt;&gt;"",ROUND(M52*AnnualRate/12,2),"")</f>
        <v/>
      </c>
      <c r="L53" s="9">
        <f>IF(H53&lt;&gt;"",MIN(M52,(J53-K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M53" s="9">
        <f>IF(H53&lt;&gt;"",ROUND(M52-L53,2),"")</f>
        <v/>
      </c>
    </row>
    <row r="54">
      <c r="H54" s="11">
        <f>IF(AND(M53&gt;0.005,H53&lt;&gt;""),52,"")</f>
        <v/>
      </c>
      <c r="I54" s="12">
        <f>IF(H54&lt;&gt;"",EDATE(StartDate,51),"")</f>
        <v/>
      </c>
      <c r="J54" s="13">
        <f>IF(H54&lt;&gt;"",MIN(MonthlyPmt,M53+K54),"")</f>
        <v/>
      </c>
      <c r="K54" s="13">
        <f>IF(H54&lt;&gt;"",ROUND(M53*AnnualRate/12,2),"")</f>
        <v/>
      </c>
      <c r="L54" s="13">
        <f>IF(H54&lt;&gt;"",MIN(M53,(J54-K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M54" s="13">
        <f>IF(H54&lt;&gt;"",ROUND(M53-L54,2),"")</f>
        <v/>
      </c>
    </row>
    <row r="55">
      <c r="H55" s="7">
        <f>IF(AND(M54&gt;0.005,H54&lt;&gt;""),53,"")</f>
        <v/>
      </c>
      <c r="I55" s="8">
        <f>IF(H55&lt;&gt;"",EDATE(StartDate,52),"")</f>
        <v/>
      </c>
      <c r="J55" s="9">
        <f>IF(H55&lt;&gt;"",MIN(MonthlyPmt,M54+K55),"")</f>
        <v/>
      </c>
      <c r="K55" s="9">
        <f>IF(H55&lt;&gt;"",ROUND(M54*AnnualRate/12,2),"")</f>
        <v/>
      </c>
      <c r="L55" s="9">
        <f>IF(H55&lt;&gt;"",MIN(M54,(J55-K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M55" s="9">
        <f>IF(H55&lt;&gt;"",ROUND(M54-L55,2),"")</f>
        <v/>
      </c>
    </row>
    <row r="56">
      <c r="H56" s="11">
        <f>IF(AND(M55&gt;0.005,H55&lt;&gt;""),54,"")</f>
        <v/>
      </c>
      <c r="I56" s="12">
        <f>IF(H56&lt;&gt;"",EDATE(StartDate,53),"")</f>
        <v/>
      </c>
      <c r="J56" s="13">
        <f>IF(H56&lt;&gt;"",MIN(MonthlyPmt,M55+K56),"")</f>
        <v/>
      </c>
      <c r="K56" s="13">
        <f>IF(H56&lt;&gt;"",ROUND(M55*AnnualRate/12,2),"")</f>
        <v/>
      </c>
      <c r="L56" s="13">
        <f>IF(H56&lt;&gt;"",MIN(M55,(J56-K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M56" s="13">
        <f>IF(H56&lt;&gt;"",ROUND(M55-L56,2),"")</f>
        <v/>
      </c>
    </row>
    <row r="57">
      <c r="H57" s="7">
        <f>IF(AND(M56&gt;0.005,H56&lt;&gt;""),55,"")</f>
        <v/>
      </c>
      <c r="I57" s="8">
        <f>IF(H57&lt;&gt;"",EDATE(StartDate,54),"")</f>
        <v/>
      </c>
      <c r="J57" s="9">
        <f>IF(H57&lt;&gt;"",MIN(MonthlyPmt,M56+K57),"")</f>
        <v/>
      </c>
      <c r="K57" s="9">
        <f>IF(H57&lt;&gt;"",ROUND(M56*AnnualRate/12,2),"")</f>
        <v/>
      </c>
      <c r="L57" s="9">
        <f>IF(H57&lt;&gt;"",MIN(M56,(J57-K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M57" s="9">
        <f>IF(H57&lt;&gt;"",ROUND(M56-L57,2),"")</f>
        <v/>
      </c>
    </row>
    <row r="58">
      <c r="H58" s="11">
        <f>IF(AND(M57&gt;0.005,H57&lt;&gt;""),56,"")</f>
        <v/>
      </c>
      <c r="I58" s="12">
        <f>IF(H58&lt;&gt;"",EDATE(StartDate,55),"")</f>
        <v/>
      </c>
      <c r="J58" s="13">
        <f>IF(H58&lt;&gt;"",MIN(MonthlyPmt,M57+K58),"")</f>
        <v/>
      </c>
      <c r="K58" s="13">
        <f>IF(H58&lt;&gt;"",ROUND(M57*AnnualRate/12,2),"")</f>
        <v/>
      </c>
      <c r="L58" s="13">
        <f>IF(H58&lt;&gt;"",MIN(M57,(J58-K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M58" s="13">
        <f>IF(H58&lt;&gt;"",ROUND(M57-L58,2),"")</f>
        <v/>
      </c>
    </row>
    <row r="59">
      <c r="H59" s="7">
        <f>IF(AND(M58&gt;0.005,H58&lt;&gt;""),57,"")</f>
        <v/>
      </c>
      <c r="I59" s="8">
        <f>IF(H59&lt;&gt;"",EDATE(StartDate,56),"")</f>
        <v/>
      </c>
      <c r="J59" s="9">
        <f>IF(H59&lt;&gt;"",MIN(MonthlyPmt,M58+K59),"")</f>
        <v/>
      </c>
      <c r="K59" s="9">
        <f>IF(H59&lt;&gt;"",ROUND(M58*AnnualRate/12,2),"")</f>
        <v/>
      </c>
      <c r="L59" s="9">
        <f>IF(H59&lt;&gt;"",MIN(M58,(J59-K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M59" s="9">
        <f>IF(H59&lt;&gt;"",ROUND(M58-L59,2),"")</f>
        <v/>
      </c>
    </row>
    <row r="60">
      <c r="H60" s="11">
        <f>IF(AND(M59&gt;0.005,H59&lt;&gt;""),58,"")</f>
        <v/>
      </c>
      <c r="I60" s="12">
        <f>IF(H60&lt;&gt;"",EDATE(StartDate,57),"")</f>
        <v/>
      </c>
      <c r="J60" s="13">
        <f>IF(H60&lt;&gt;"",MIN(MonthlyPmt,M59+K60),"")</f>
        <v/>
      </c>
      <c r="K60" s="13">
        <f>IF(H60&lt;&gt;"",ROUND(M59*AnnualRate/12,2),"")</f>
        <v/>
      </c>
      <c r="L60" s="13">
        <f>IF(H60&lt;&gt;"",MIN(M59,(J60-K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M60" s="13">
        <f>IF(H60&lt;&gt;"",ROUND(M59-L60,2),"")</f>
        <v/>
      </c>
    </row>
    <row r="61">
      <c r="H61" s="7">
        <f>IF(AND(M60&gt;0.005,H60&lt;&gt;""),59,"")</f>
        <v/>
      </c>
      <c r="I61" s="8">
        <f>IF(H61&lt;&gt;"",EDATE(StartDate,58),"")</f>
        <v/>
      </c>
      <c r="J61" s="9">
        <f>IF(H61&lt;&gt;"",MIN(MonthlyPmt,M60+K61),"")</f>
        <v/>
      </c>
      <c r="K61" s="9">
        <f>IF(H61&lt;&gt;"",ROUND(M60*AnnualRate/12,2),"")</f>
        <v/>
      </c>
      <c r="L61" s="9">
        <f>IF(H61&lt;&gt;"",MIN(M60,(J61-K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M61" s="9">
        <f>IF(H61&lt;&gt;"",ROUND(M60-L61,2),"")</f>
        <v/>
      </c>
    </row>
    <row r="62">
      <c r="H62" s="11">
        <f>IF(AND(M61&gt;0.005,H61&lt;&gt;""),60,"")</f>
        <v/>
      </c>
      <c r="I62" s="12">
        <f>IF(H62&lt;&gt;"",EDATE(StartDate,59),"")</f>
        <v/>
      </c>
      <c r="J62" s="13">
        <f>IF(H62&lt;&gt;"",MIN(MonthlyPmt,M61+K62),"")</f>
        <v/>
      </c>
      <c r="K62" s="13">
        <f>IF(H62&lt;&gt;"",ROUND(M61*AnnualRate/12,2),"")</f>
        <v/>
      </c>
      <c r="L62" s="13">
        <f>IF(H62&lt;&gt;"",MIN(M61,(J62-K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M62" s="13">
        <f>IF(H62&lt;&gt;"",ROUND(M61-L62,2),"")</f>
        <v/>
      </c>
    </row>
    <row r="63">
      <c r="H63" s="7">
        <f>IF(AND(M62&gt;0.005,H62&lt;&gt;""),61,"")</f>
        <v/>
      </c>
      <c r="I63" s="8">
        <f>IF(H63&lt;&gt;"",EDATE(StartDate,60),"")</f>
        <v/>
      </c>
      <c r="J63" s="9">
        <f>IF(H63&lt;&gt;"",MIN(MonthlyPmt,M62+K63),"")</f>
        <v/>
      </c>
      <c r="K63" s="9">
        <f>IF(H63&lt;&gt;"",ROUND(M62*AnnualRate/12,2),"")</f>
        <v/>
      </c>
      <c r="L63" s="9">
        <f>IF(H63&lt;&gt;"",MIN(M62,(J63-K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M63" s="9">
        <f>IF(H63&lt;&gt;"",ROUND(M62-L63,2),"")</f>
        <v/>
      </c>
    </row>
    <row r="64">
      <c r="H64" s="11">
        <f>IF(AND(M63&gt;0.005,H63&lt;&gt;""),62,"")</f>
        <v/>
      </c>
      <c r="I64" s="12">
        <f>IF(H64&lt;&gt;"",EDATE(StartDate,61),"")</f>
        <v/>
      </c>
      <c r="J64" s="13">
        <f>IF(H64&lt;&gt;"",MIN(MonthlyPmt,M63+K64),"")</f>
        <v/>
      </c>
      <c r="K64" s="13">
        <f>IF(H64&lt;&gt;"",ROUND(M63*AnnualRate/12,2),"")</f>
        <v/>
      </c>
      <c r="L64" s="13">
        <f>IF(H64&lt;&gt;"",MIN(M63,(J64-K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M64" s="13">
        <f>IF(H64&lt;&gt;"",ROUND(M63-L64,2),"")</f>
        <v/>
      </c>
    </row>
    <row r="65">
      <c r="H65" s="7">
        <f>IF(AND(M64&gt;0.005,H64&lt;&gt;""),63,"")</f>
        <v/>
      </c>
      <c r="I65" s="8">
        <f>IF(H65&lt;&gt;"",EDATE(StartDate,62),"")</f>
        <v/>
      </c>
      <c r="J65" s="9">
        <f>IF(H65&lt;&gt;"",MIN(MonthlyPmt,M64+K65),"")</f>
        <v/>
      </c>
      <c r="K65" s="9">
        <f>IF(H65&lt;&gt;"",ROUND(M64*AnnualRate/12,2),"")</f>
        <v/>
      </c>
      <c r="L65" s="9">
        <f>IF(H65&lt;&gt;"",MIN(M64,(J65-K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M65" s="9">
        <f>IF(H65&lt;&gt;"",ROUND(M64-L65,2),"")</f>
        <v/>
      </c>
    </row>
    <row r="66">
      <c r="H66" s="11">
        <f>IF(AND(M65&gt;0.005,H65&lt;&gt;""),64,"")</f>
        <v/>
      </c>
      <c r="I66" s="12">
        <f>IF(H66&lt;&gt;"",EDATE(StartDate,63),"")</f>
        <v/>
      </c>
      <c r="J66" s="13">
        <f>IF(H66&lt;&gt;"",MIN(MonthlyPmt,M65+K66),"")</f>
        <v/>
      </c>
      <c r="K66" s="13">
        <f>IF(H66&lt;&gt;"",ROUND(M65*AnnualRate/12,2),"")</f>
        <v/>
      </c>
      <c r="L66" s="13">
        <f>IF(H66&lt;&gt;"",MIN(M65,(J66-K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M66" s="13">
        <f>IF(H66&lt;&gt;"",ROUND(M65-L66,2),"")</f>
        <v/>
      </c>
    </row>
    <row r="67">
      <c r="H67" s="7">
        <f>IF(AND(M66&gt;0.005,H66&lt;&gt;""),65,"")</f>
        <v/>
      </c>
      <c r="I67" s="8">
        <f>IF(H67&lt;&gt;"",EDATE(StartDate,64),"")</f>
        <v/>
      </c>
      <c r="J67" s="9">
        <f>IF(H67&lt;&gt;"",MIN(MonthlyPmt,M66+K67),"")</f>
        <v/>
      </c>
      <c r="K67" s="9">
        <f>IF(H67&lt;&gt;"",ROUND(M66*AnnualRate/12,2),"")</f>
        <v/>
      </c>
      <c r="L67" s="9">
        <f>IF(H67&lt;&gt;"",MIN(M66,(J67-K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M67" s="9">
        <f>IF(H67&lt;&gt;"",ROUND(M66-L67,2),"")</f>
        <v/>
      </c>
    </row>
    <row r="68">
      <c r="H68" s="11">
        <f>IF(AND(M67&gt;0.005,H67&lt;&gt;""),66,"")</f>
        <v/>
      </c>
      <c r="I68" s="12">
        <f>IF(H68&lt;&gt;"",EDATE(StartDate,65),"")</f>
        <v/>
      </c>
      <c r="J68" s="13">
        <f>IF(H68&lt;&gt;"",MIN(MonthlyPmt,M67+K68),"")</f>
        <v/>
      </c>
      <c r="K68" s="13">
        <f>IF(H68&lt;&gt;"",ROUND(M67*AnnualRate/12,2),"")</f>
        <v/>
      </c>
      <c r="L68" s="13">
        <f>IF(H68&lt;&gt;"",MIN(M67,(J68-K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M68" s="13">
        <f>IF(H68&lt;&gt;"",ROUND(M67-L68,2),"")</f>
        <v/>
      </c>
    </row>
    <row r="69">
      <c r="H69" s="7">
        <f>IF(AND(M68&gt;0.005,H68&lt;&gt;""),67,"")</f>
        <v/>
      </c>
      <c r="I69" s="8">
        <f>IF(H69&lt;&gt;"",EDATE(StartDate,66),"")</f>
        <v/>
      </c>
      <c r="J69" s="9">
        <f>IF(H69&lt;&gt;"",MIN(MonthlyPmt,M68+K69),"")</f>
        <v/>
      </c>
      <c r="K69" s="9">
        <f>IF(H69&lt;&gt;"",ROUND(M68*AnnualRate/12,2),"")</f>
        <v/>
      </c>
      <c r="L69" s="9">
        <f>IF(H69&lt;&gt;"",MIN(M68,(J69-K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M69" s="9">
        <f>IF(H69&lt;&gt;"",ROUND(M68-L69,2),"")</f>
        <v/>
      </c>
    </row>
    <row r="70">
      <c r="H70" s="11">
        <f>IF(AND(M69&gt;0.005,H69&lt;&gt;""),68,"")</f>
        <v/>
      </c>
      <c r="I70" s="12">
        <f>IF(H70&lt;&gt;"",EDATE(StartDate,67),"")</f>
        <v/>
      </c>
      <c r="J70" s="13">
        <f>IF(H70&lt;&gt;"",MIN(MonthlyPmt,M69+K70),"")</f>
        <v/>
      </c>
      <c r="K70" s="13">
        <f>IF(H70&lt;&gt;"",ROUND(M69*AnnualRate/12,2),"")</f>
        <v/>
      </c>
      <c r="L70" s="13">
        <f>IF(H70&lt;&gt;"",MIN(M69,(J70-K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M70" s="13">
        <f>IF(H70&lt;&gt;"",ROUND(M69-L70,2),"")</f>
        <v/>
      </c>
    </row>
    <row r="71">
      <c r="H71" s="7">
        <f>IF(AND(M70&gt;0.005,H70&lt;&gt;""),69,"")</f>
        <v/>
      </c>
      <c r="I71" s="8">
        <f>IF(H71&lt;&gt;"",EDATE(StartDate,68),"")</f>
        <v/>
      </c>
      <c r="J71" s="9">
        <f>IF(H71&lt;&gt;"",MIN(MonthlyPmt,M70+K71),"")</f>
        <v/>
      </c>
      <c r="K71" s="9">
        <f>IF(H71&lt;&gt;"",ROUND(M70*AnnualRate/12,2),"")</f>
        <v/>
      </c>
      <c r="L71" s="9">
        <f>IF(H71&lt;&gt;"",MIN(M70,(J71-K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M71" s="9">
        <f>IF(H71&lt;&gt;"",ROUND(M70-L71,2),"")</f>
        <v/>
      </c>
    </row>
    <row r="72">
      <c r="H72" s="11">
        <f>IF(AND(M71&gt;0.005,H71&lt;&gt;""),70,"")</f>
        <v/>
      </c>
      <c r="I72" s="12">
        <f>IF(H72&lt;&gt;"",EDATE(StartDate,69),"")</f>
        <v/>
      </c>
      <c r="J72" s="13">
        <f>IF(H72&lt;&gt;"",MIN(MonthlyPmt,M71+K72),"")</f>
        <v/>
      </c>
      <c r="K72" s="13">
        <f>IF(H72&lt;&gt;"",ROUND(M71*AnnualRate/12,2),"")</f>
        <v/>
      </c>
      <c r="L72" s="13">
        <f>IF(H72&lt;&gt;"",MIN(M71,(J72-K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M72" s="13">
        <f>IF(H72&lt;&gt;"",ROUND(M71-L72,2),"")</f>
        <v/>
      </c>
    </row>
    <row r="73">
      <c r="H73" s="7">
        <f>IF(AND(M72&gt;0.005,H72&lt;&gt;""),71,"")</f>
        <v/>
      </c>
      <c r="I73" s="8">
        <f>IF(H73&lt;&gt;"",EDATE(StartDate,70),"")</f>
        <v/>
      </c>
      <c r="J73" s="9">
        <f>IF(H73&lt;&gt;"",MIN(MonthlyPmt,M72+K73),"")</f>
        <v/>
      </c>
      <c r="K73" s="9">
        <f>IF(H73&lt;&gt;"",ROUND(M72*AnnualRate/12,2),"")</f>
        <v/>
      </c>
      <c r="L73" s="9">
        <f>IF(H73&lt;&gt;"",MIN(M72,(J73-K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M73" s="9">
        <f>IF(H73&lt;&gt;"",ROUND(M72-L73,2),"")</f>
        <v/>
      </c>
    </row>
    <row r="74">
      <c r="H74" s="11">
        <f>IF(AND(M73&gt;0.005,H73&lt;&gt;""),72,"")</f>
        <v/>
      </c>
      <c r="I74" s="12">
        <f>IF(H74&lt;&gt;"",EDATE(StartDate,71),"")</f>
        <v/>
      </c>
      <c r="J74" s="13">
        <f>IF(H74&lt;&gt;"",MIN(MonthlyPmt,M73+K74),"")</f>
        <v/>
      </c>
      <c r="K74" s="13">
        <f>IF(H74&lt;&gt;"",ROUND(M73*AnnualRate/12,2),"")</f>
        <v/>
      </c>
      <c r="L74" s="13">
        <f>IF(H74&lt;&gt;"",MIN(M73,(J74-K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M74" s="13">
        <f>IF(H74&lt;&gt;"",ROUND(M73-L74,2),"")</f>
        <v/>
      </c>
    </row>
    <row r="75">
      <c r="H75" s="7">
        <f>IF(AND(M74&gt;0.005,H74&lt;&gt;""),73,"")</f>
        <v/>
      </c>
      <c r="I75" s="8">
        <f>IF(H75&lt;&gt;"",EDATE(StartDate,72),"")</f>
        <v/>
      </c>
      <c r="J75" s="9">
        <f>IF(H75&lt;&gt;"",MIN(MonthlyPmt,M74+K75),"")</f>
        <v/>
      </c>
      <c r="K75" s="9">
        <f>IF(H75&lt;&gt;"",ROUND(M74*AnnualRate/12,2),"")</f>
        <v/>
      </c>
      <c r="L75" s="9">
        <f>IF(H75&lt;&gt;"",MIN(M74,(J75-K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M75" s="9">
        <f>IF(H75&lt;&gt;"",ROUND(M74-L75,2),"")</f>
        <v/>
      </c>
    </row>
    <row r="76">
      <c r="H76" s="11">
        <f>IF(AND(M75&gt;0.005,H75&lt;&gt;""),74,"")</f>
        <v/>
      </c>
      <c r="I76" s="12">
        <f>IF(H76&lt;&gt;"",EDATE(StartDate,73),"")</f>
        <v/>
      </c>
      <c r="J76" s="13">
        <f>IF(H76&lt;&gt;"",MIN(MonthlyPmt,M75+K76),"")</f>
        <v/>
      </c>
      <c r="K76" s="13">
        <f>IF(H76&lt;&gt;"",ROUND(M75*AnnualRate/12,2),"")</f>
        <v/>
      </c>
      <c r="L76" s="13">
        <f>IF(H76&lt;&gt;"",MIN(M75,(J76-K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M76" s="13">
        <f>IF(H76&lt;&gt;"",ROUND(M75-L76,2),"")</f>
        <v/>
      </c>
    </row>
    <row r="77">
      <c r="H77" s="7">
        <f>IF(AND(M76&gt;0.005,H76&lt;&gt;""),75,"")</f>
        <v/>
      </c>
      <c r="I77" s="8">
        <f>IF(H77&lt;&gt;"",EDATE(StartDate,74),"")</f>
        <v/>
      </c>
      <c r="J77" s="9">
        <f>IF(H77&lt;&gt;"",MIN(MonthlyPmt,M76+K77),"")</f>
        <v/>
      </c>
      <c r="K77" s="9">
        <f>IF(H77&lt;&gt;"",ROUND(M76*AnnualRate/12,2),"")</f>
        <v/>
      </c>
      <c r="L77" s="9">
        <f>IF(H77&lt;&gt;"",MIN(M76,(J77-K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M77" s="9">
        <f>IF(H77&lt;&gt;"",ROUND(M76-L77,2),"")</f>
        <v/>
      </c>
    </row>
    <row r="78">
      <c r="H78" s="11">
        <f>IF(AND(M77&gt;0.005,H77&lt;&gt;""),76,"")</f>
        <v/>
      </c>
      <c r="I78" s="12">
        <f>IF(H78&lt;&gt;"",EDATE(StartDate,75),"")</f>
        <v/>
      </c>
      <c r="J78" s="13">
        <f>IF(H78&lt;&gt;"",MIN(MonthlyPmt,M77+K78),"")</f>
        <v/>
      </c>
      <c r="K78" s="13">
        <f>IF(H78&lt;&gt;"",ROUND(M77*AnnualRate/12,2),"")</f>
        <v/>
      </c>
      <c r="L78" s="13">
        <f>IF(H78&lt;&gt;"",MIN(M77,(J78-K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M78" s="13">
        <f>IF(H78&lt;&gt;"",ROUND(M77-L78,2),"")</f>
        <v/>
      </c>
    </row>
    <row r="79">
      <c r="H79" s="7">
        <f>IF(AND(M78&gt;0.005,H78&lt;&gt;""),77,"")</f>
        <v/>
      </c>
      <c r="I79" s="8">
        <f>IF(H79&lt;&gt;"",EDATE(StartDate,76),"")</f>
        <v/>
      </c>
      <c r="J79" s="9">
        <f>IF(H79&lt;&gt;"",MIN(MonthlyPmt,M78+K79),"")</f>
        <v/>
      </c>
      <c r="K79" s="9">
        <f>IF(H79&lt;&gt;"",ROUND(M78*AnnualRate/12,2),"")</f>
        <v/>
      </c>
      <c r="L79" s="9">
        <f>IF(H79&lt;&gt;"",MIN(M78,(J79-K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M79" s="9">
        <f>IF(H79&lt;&gt;"",ROUND(M78-L79,2),"")</f>
        <v/>
      </c>
    </row>
    <row r="80">
      <c r="H80" s="11">
        <f>IF(AND(M79&gt;0.005,H79&lt;&gt;""),78,"")</f>
        <v/>
      </c>
      <c r="I80" s="12">
        <f>IF(H80&lt;&gt;"",EDATE(StartDate,77),"")</f>
        <v/>
      </c>
      <c r="J80" s="13">
        <f>IF(H80&lt;&gt;"",MIN(MonthlyPmt,M79+K80),"")</f>
        <v/>
      </c>
      <c r="K80" s="13">
        <f>IF(H80&lt;&gt;"",ROUND(M79*AnnualRate/12,2),"")</f>
        <v/>
      </c>
      <c r="L80" s="13">
        <f>IF(H80&lt;&gt;"",MIN(M79,(J80-K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M80" s="13">
        <f>IF(H80&lt;&gt;"",ROUND(M79-L80,2),"")</f>
        <v/>
      </c>
    </row>
    <row r="81">
      <c r="H81" s="7">
        <f>IF(AND(M80&gt;0.005,H80&lt;&gt;""),79,"")</f>
        <v/>
      </c>
      <c r="I81" s="8">
        <f>IF(H81&lt;&gt;"",EDATE(StartDate,78),"")</f>
        <v/>
      </c>
      <c r="J81" s="9">
        <f>IF(H81&lt;&gt;"",MIN(MonthlyPmt,M80+K81),"")</f>
        <v/>
      </c>
      <c r="K81" s="9">
        <f>IF(H81&lt;&gt;"",ROUND(M80*AnnualRate/12,2),"")</f>
        <v/>
      </c>
      <c r="L81" s="9">
        <f>IF(H81&lt;&gt;"",MIN(M80,(J81-K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M81" s="9">
        <f>IF(H81&lt;&gt;"",ROUND(M80-L81,2),"")</f>
        <v/>
      </c>
    </row>
    <row r="82">
      <c r="H82" s="11">
        <f>IF(AND(M81&gt;0.005,H81&lt;&gt;""),80,"")</f>
        <v/>
      </c>
      <c r="I82" s="12">
        <f>IF(H82&lt;&gt;"",EDATE(StartDate,79),"")</f>
        <v/>
      </c>
      <c r="J82" s="13">
        <f>IF(H82&lt;&gt;"",MIN(MonthlyPmt,M81+K82),"")</f>
        <v/>
      </c>
      <c r="K82" s="13">
        <f>IF(H82&lt;&gt;"",ROUND(M81*AnnualRate/12,2),"")</f>
        <v/>
      </c>
      <c r="L82" s="13">
        <f>IF(H82&lt;&gt;"",MIN(M81,(J82-K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M82" s="13">
        <f>IF(H82&lt;&gt;"",ROUND(M81-L82,2),"")</f>
        <v/>
      </c>
    </row>
    <row r="83">
      <c r="H83" s="7">
        <f>IF(AND(M82&gt;0.005,H82&lt;&gt;""),81,"")</f>
        <v/>
      </c>
      <c r="I83" s="8">
        <f>IF(H83&lt;&gt;"",EDATE(StartDate,80),"")</f>
        <v/>
      </c>
      <c r="J83" s="9">
        <f>IF(H83&lt;&gt;"",MIN(MonthlyPmt,M82+K83),"")</f>
        <v/>
      </c>
      <c r="K83" s="9">
        <f>IF(H83&lt;&gt;"",ROUND(M82*AnnualRate/12,2),"")</f>
        <v/>
      </c>
      <c r="L83" s="9">
        <f>IF(H83&lt;&gt;"",MIN(M82,(J83-K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M83" s="9">
        <f>IF(H83&lt;&gt;"",ROUND(M82-L83,2),"")</f>
        <v/>
      </c>
    </row>
    <row r="84">
      <c r="H84" s="11">
        <f>IF(AND(M83&gt;0.005,H83&lt;&gt;""),82,"")</f>
        <v/>
      </c>
      <c r="I84" s="12">
        <f>IF(H84&lt;&gt;"",EDATE(StartDate,81),"")</f>
        <v/>
      </c>
      <c r="J84" s="13">
        <f>IF(H84&lt;&gt;"",MIN(MonthlyPmt,M83+K84),"")</f>
        <v/>
      </c>
      <c r="K84" s="13">
        <f>IF(H84&lt;&gt;"",ROUND(M83*AnnualRate/12,2),"")</f>
        <v/>
      </c>
      <c r="L84" s="13">
        <f>IF(H84&lt;&gt;"",MIN(M83,(J84-K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M84" s="13">
        <f>IF(H84&lt;&gt;"",ROUND(M83-L84,2),"")</f>
        <v/>
      </c>
    </row>
    <row r="85">
      <c r="H85" s="7">
        <f>IF(AND(M84&gt;0.005,H84&lt;&gt;""),83,"")</f>
        <v/>
      </c>
      <c r="I85" s="8">
        <f>IF(H85&lt;&gt;"",EDATE(StartDate,82),"")</f>
        <v/>
      </c>
      <c r="J85" s="9">
        <f>IF(H85&lt;&gt;"",MIN(MonthlyPmt,M84+K85),"")</f>
        <v/>
      </c>
      <c r="K85" s="9">
        <f>IF(H85&lt;&gt;"",ROUND(M84*AnnualRate/12,2),"")</f>
        <v/>
      </c>
      <c r="L85" s="9">
        <f>IF(H85&lt;&gt;"",MIN(M84,(J85-K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M85" s="9">
        <f>IF(H85&lt;&gt;"",ROUND(M84-L85,2),"")</f>
        <v/>
      </c>
    </row>
    <row r="86">
      <c r="H86" s="11">
        <f>IF(AND(M85&gt;0.005,H85&lt;&gt;""),84,"")</f>
        <v/>
      </c>
      <c r="I86" s="12">
        <f>IF(H86&lt;&gt;"",EDATE(StartDate,83),"")</f>
        <v/>
      </c>
      <c r="J86" s="13">
        <f>IF(H86&lt;&gt;"",MIN(MonthlyPmt,M85+K86),"")</f>
        <v/>
      </c>
      <c r="K86" s="13">
        <f>IF(H86&lt;&gt;"",ROUND(M85*AnnualRate/12,2),"")</f>
        <v/>
      </c>
      <c r="L86" s="13">
        <f>IF(H86&lt;&gt;"",MIN(M85,(J86-K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M86" s="13">
        <f>IF(H86&lt;&gt;"",ROUND(M85-L86,2),"")</f>
        <v/>
      </c>
    </row>
    <row r="87">
      <c r="H87" s="7">
        <f>IF(AND(M86&gt;0.005,H86&lt;&gt;""),85,"")</f>
        <v/>
      </c>
      <c r="I87" s="8">
        <f>IF(H87&lt;&gt;"",EDATE(StartDate,84),"")</f>
        <v/>
      </c>
      <c r="J87" s="9">
        <f>IF(H87&lt;&gt;"",MIN(MonthlyPmt,M86+K87),"")</f>
        <v/>
      </c>
      <c r="K87" s="9">
        <f>IF(H87&lt;&gt;"",ROUND(M86*AnnualRate/12,2),"")</f>
        <v/>
      </c>
      <c r="L87" s="9">
        <f>IF(H87&lt;&gt;"",MIN(M86,(J87-K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M87" s="9">
        <f>IF(H87&lt;&gt;"",ROUND(M86-L87,2),"")</f>
        <v/>
      </c>
    </row>
    <row r="88">
      <c r="H88" s="11">
        <f>IF(AND(M87&gt;0.005,H87&lt;&gt;""),86,"")</f>
        <v/>
      </c>
      <c r="I88" s="12">
        <f>IF(H88&lt;&gt;"",EDATE(StartDate,85),"")</f>
        <v/>
      </c>
      <c r="J88" s="13">
        <f>IF(H88&lt;&gt;"",MIN(MonthlyPmt,M87+K88),"")</f>
        <v/>
      </c>
      <c r="K88" s="13">
        <f>IF(H88&lt;&gt;"",ROUND(M87*AnnualRate/12,2),"")</f>
        <v/>
      </c>
      <c r="L88" s="13">
        <f>IF(H88&lt;&gt;"",MIN(M87,(J88-K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M88" s="13">
        <f>IF(H88&lt;&gt;"",ROUND(M87-L88,2),"")</f>
        <v/>
      </c>
    </row>
    <row r="89">
      <c r="H89" s="7">
        <f>IF(AND(M88&gt;0.005,H88&lt;&gt;""),87,"")</f>
        <v/>
      </c>
      <c r="I89" s="8">
        <f>IF(H89&lt;&gt;"",EDATE(StartDate,86),"")</f>
        <v/>
      </c>
      <c r="J89" s="9">
        <f>IF(H89&lt;&gt;"",MIN(MonthlyPmt,M88+K89),"")</f>
        <v/>
      </c>
      <c r="K89" s="9">
        <f>IF(H89&lt;&gt;"",ROUND(M88*AnnualRate/12,2),"")</f>
        <v/>
      </c>
      <c r="L89" s="9">
        <f>IF(H89&lt;&gt;"",MIN(M88,(J89-K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M89" s="9">
        <f>IF(H89&lt;&gt;"",ROUND(M88-L89,2),"")</f>
        <v/>
      </c>
    </row>
    <row r="90">
      <c r="H90" s="11">
        <f>IF(AND(M89&gt;0.005,H89&lt;&gt;""),88,"")</f>
        <v/>
      </c>
      <c r="I90" s="12">
        <f>IF(H90&lt;&gt;"",EDATE(StartDate,87),"")</f>
        <v/>
      </c>
      <c r="J90" s="13">
        <f>IF(H90&lt;&gt;"",MIN(MonthlyPmt,M89+K90),"")</f>
        <v/>
      </c>
      <c r="K90" s="13">
        <f>IF(H90&lt;&gt;"",ROUND(M89*AnnualRate/12,2),"")</f>
        <v/>
      </c>
      <c r="L90" s="13">
        <f>IF(H90&lt;&gt;"",MIN(M89,(J90-K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M90" s="13">
        <f>IF(H90&lt;&gt;"",ROUND(M89-L90,2),"")</f>
        <v/>
      </c>
    </row>
    <row r="91">
      <c r="H91" s="7">
        <f>IF(AND(M90&gt;0.005,H90&lt;&gt;""),89,"")</f>
        <v/>
      </c>
      <c r="I91" s="8">
        <f>IF(H91&lt;&gt;"",EDATE(StartDate,88),"")</f>
        <v/>
      </c>
      <c r="J91" s="9">
        <f>IF(H91&lt;&gt;"",MIN(MonthlyPmt,M90+K91),"")</f>
        <v/>
      </c>
      <c r="K91" s="9">
        <f>IF(H91&lt;&gt;"",ROUND(M90*AnnualRate/12,2),"")</f>
        <v/>
      </c>
      <c r="L91" s="9">
        <f>IF(H91&lt;&gt;"",MIN(M90,(J91-K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M91" s="9">
        <f>IF(H91&lt;&gt;"",ROUND(M90-L91,2),"")</f>
        <v/>
      </c>
    </row>
    <row r="92">
      <c r="H92" s="11">
        <f>IF(AND(M91&gt;0.005,H91&lt;&gt;""),90,"")</f>
        <v/>
      </c>
      <c r="I92" s="12">
        <f>IF(H92&lt;&gt;"",EDATE(StartDate,89),"")</f>
        <v/>
      </c>
      <c r="J92" s="13">
        <f>IF(H92&lt;&gt;"",MIN(MonthlyPmt,M91+K92),"")</f>
        <v/>
      </c>
      <c r="K92" s="13">
        <f>IF(H92&lt;&gt;"",ROUND(M91*AnnualRate/12,2),"")</f>
        <v/>
      </c>
      <c r="L92" s="13">
        <f>IF(H92&lt;&gt;"",MIN(M91,(J92-K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M92" s="13">
        <f>IF(H92&lt;&gt;"",ROUND(M91-L92,2),"")</f>
        <v/>
      </c>
    </row>
    <row r="93">
      <c r="H93" s="7">
        <f>IF(AND(M92&gt;0.005,H92&lt;&gt;""),91,"")</f>
        <v/>
      </c>
      <c r="I93" s="8">
        <f>IF(H93&lt;&gt;"",EDATE(StartDate,90),"")</f>
        <v/>
      </c>
      <c r="J93" s="9">
        <f>IF(H93&lt;&gt;"",MIN(MonthlyPmt,M92+K93),"")</f>
        <v/>
      </c>
      <c r="K93" s="9">
        <f>IF(H93&lt;&gt;"",ROUND(M92*AnnualRate/12,2),"")</f>
        <v/>
      </c>
      <c r="L93" s="9">
        <f>IF(H93&lt;&gt;"",MIN(M92,(J93-K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M93" s="9">
        <f>IF(H93&lt;&gt;"",ROUND(M92-L93,2),"")</f>
        <v/>
      </c>
    </row>
    <row r="94">
      <c r="H94" s="11">
        <f>IF(AND(M93&gt;0.005,H93&lt;&gt;""),92,"")</f>
        <v/>
      </c>
      <c r="I94" s="12">
        <f>IF(H94&lt;&gt;"",EDATE(StartDate,91),"")</f>
        <v/>
      </c>
      <c r="J94" s="13">
        <f>IF(H94&lt;&gt;"",MIN(MonthlyPmt,M93+K94),"")</f>
        <v/>
      </c>
      <c r="K94" s="13">
        <f>IF(H94&lt;&gt;"",ROUND(M93*AnnualRate/12,2),"")</f>
        <v/>
      </c>
      <c r="L94" s="13">
        <f>IF(H94&lt;&gt;"",MIN(M93,(J94-K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M94" s="13">
        <f>IF(H94&lt;&gt;"",ROUND(M93-L94,2),"")</f>
        <v/>
      </c>
    </row>
    <row r="95">
      <c r="H95" s="7">
        <f>IF(AND(M94&gt;0.005,H94&lt;&gt;""),93,"")</f>
        <v/>
      </c>
      <c r="I95" s="8">
        <f>IF(H95&lt;&gt;"",EDATE(StartDate,92),"")</f>
        <v/>
      </c>
      <c r="J95" s="9">
        <f>IF(H95&lt;&gt;"",MIN(MonthlyPmt,M94+K95),"")</f>
        <v/>
      </c>
      <c r="K95" s="9">
        <f>IF(H95&lt;&gt;"",ROUND(M94*AnnualRate/12,2),"")</f>
        <v/>
      </c>
      <c r="L95" s="9">
        <f>IF(H95&lt;&gt;"",MIN(M94,(J95-K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M95" s="9">
        <f>IF(H95&lt;&gt;"",ROUND(M94-L95,2),"")</f>
        <v/>
      </c>
    </row>
    <row r="96">
      <c r="H96" s="11">
        <f>IF(AND(M95&gt;0.005,H95&lt;&gt;""),94,"")</f>
        <v/>
      </c>
      <c r="I96" s="12">
        <f>IF(H96&lt;&gt;"",EDATE(StartDate,93),"")</f>
        <v/>
      </c>
      <c r="J96" s="13">
        <f>IF(H96&lt;&gt;"",MIN(MonthlyPmt,M95+K96),"")</f>
        <v/>
      </c>
      <c r="K96" s="13">
        <f>IF(H96&lt;&gt;"",ROUND(M95*AnnualRate/12,2),"")</f>
        <v/>
      </c>
      <c r="L96" s="13">
        <f>IF(H96&lt;&gt;"",MIN(M95,(J96-K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M96" s="13">
        <f>IF(H96&lt;&gt;"",ROUND(M95-L96,2),"")</f>
        <v/>
      </c>
    </row>
    <row r="97">
      <c r="H97" s="7">
        <f>IF(AND(M96&gt;0.005,H96&lt;&gt;""),95,"")</f>
        <v/>
      </c>
      <c r="I97" s="8">
        <f>IF(H97&lt;&gt;"",EDATE(StartDate,94),"")</f>
        <v/>
      </c>
      <c r="J97" s="9">
        <f>IF(H97&lt;&gt;"",MIN(MonthlyPmt,M96+K97),"")</f>
        <v/>
      </c>
      <c r="K97" s="9">
        <f>IF(H97&lt;&gt;"",ROUND(M96*AnnualRate/12,2),"")</f>
        <v/>
      </c>
      <c r="L97" s="9">
        <f>IF(H97&lt;&gt;"",MIN(M96,(J97-K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M97" s="9">
        <f>IF(H97&lt;&gt;"",ROUND(M96-L97,2),"")</f>
        <v/>
      </c>
    </row>
    <row r="98">
      <c r="H98" s="11">
        <f>IF(AND(M97&gt;0.005,H97&lt;&gt;""),96,"")</f>
        <v/>
      </c>
      <c r="I98" s="12">
        <f>IF(H98&lt;&gt;"",EDATE(StartDate,95),"")</f>
        <v/>
      </c>
      <c r="J98" s="13">
        <f>IF(H98&lt;&gt;"",MIN(MonthlyPmt,M97+K98),"")</f>
        <v/>
      </c>
      <c r="K98" s="13">
        <f>IF(H98&lt;&gt;"",ROUND(M97*AnnualRate/12,2),"")</f>
        <v/>
      </c>
      <c r="L98" s="13">
        <f>IF(H98&lt;&gt;"",MIN(M97,(J98-K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M98" s="13">
        <f>IF(H98&lt;&gt;"",ROUND(M97-L98,2),"")</f>
        <v/>
      </c>
    </row>
    <row r="99">
      <c r="H99" s="7">
        <f>IF(AND(M98&gt;0.005,H98&lt;&gt;""),97,"")</f>
        <v/>
      </c>
      <c r="I99" s="8">
        <f>IF(H99&lt;&gt;"",EDATE(StartDate,96),"")</f>
        <v/>
      </c>
      <c r="J99" s="9">
        <f>IF(H99&lt;&gt;"",MIN(MonthlyPmt,M98+K99),"")</f>
        <v/>
      </c>
      <c r="K99" s="9">
        <f>IF(H99&lt;&gt;"",ROUND(M98*AnnualRate/12,2),"")</f>
        <v/>
      </c>
      <c r="L99" s="9">
        <f>IF(H99&lt;&gt;"",MIN(M98,(J99-K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M99" s="9">
        <f>IF(H99&lt;&gt;"",ROUND(M98-L99,2),"")</f>
        <v/>
      </c>
    </row>
    <row r="100">
      <c r="H100" s="11">
        <f>IF(AND(M99&gt;0.005,H99&lt;&gt;""),98,"")</f>
        <v/>
      </c>
      <c r="I100" s="12">
        <f>IF(H100&lt;&gt;"",EDATE(StartDate,97),"")</f>
        <v/>
      </c>
      <c r="J100" s="13">
        <f>IF(H100&lt;&gt;"",MIN(MonthlyPmt,M99+K100),"")</f>
        <v/>
      </c>
      <c r="K100" s="13">
        <f>IF(H100&lt;&gt;"",ROUND(M99*AnnualRate/12,2),"")</f>
        <v/>
      </c>
      <c r="L100" s="13">
        <f>IF(H100&lt;&gt;"",MIN(M99,(J100-K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M100" s="13">
        <f>IF(H100&lt;&gt;"",ROUND(M99-L100,2),"")</f>
        <v/>
      </c>
    </row>
    <row r="101">
      <c r="H101" s="7">
        <f>IF(AND(M100&gt;0.005,H100&lt;&gt;""),99,"")</f>
        <v/>
      </c>
      <c r="I101" s="8">
        <f>IF(H101&lt;&gt;"",EDATE(StartDate,98),"")</f>
        <v/>
      </c>
      <c r="J101" s="9">
        <f>IF(H101&lt;&gt;"",MIN(MonthlyPmt,M100+K101),"")</f>
        <v/>
      </c>
      <c r="K101" s="9">
        <f>IF(H101&lt;&gt;"",ROUND(M100*AnnualRate/12,2),"")</f>
        <v/>
      </c>
      <c r="L101" s="9">
        <f>IF(H101&lt;&gt;"",MIN(M100,(J101-K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M101" s="9">
        <f>IF(H101&lt;&gt;"",ROUND(M100-L101,2),"")</f>
        <v/>
      </c>
    </row>
    <row r="102">
      <c r="H102" s="11">
        <f>IF(AND(M101&gt;0.005,H101&lt;&gt;""),100,"")</f>
        <v/>
      </c>
      <c r="I102" s="12">
        <f>IF(H102&lt;&gt;"",EDATE(StartDate,99),"")</f>
        <v/>
      </c>
      <c r="J102" s="13">
        <f>IF(H102&lt;&gt;"",MIN(MonthlyPmt,M101+K102),"")</f>
        <v/>
      </c>
      <c r="K102" s="13">
        <f>IF(H102&lt;&gt;"",ROUND(M101*AnnualRate/12,2),"")</f>
        <v/>
      </c>
      <c r="L102" s="13">
        <f>IF(H102&lt;&gt;"",MIN(M101,(J102-K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M102" s="13">
        <f>IF(H102&lt;&gt;"",ROUND(M101-L102,2),"")</f>
        <v/>
      </c>
    </row>
    <row r="103">
      <c r="H103" s="7">
        <f>IF(AND(M102&gt;0.005,H102&lt;&gt;""),101,"")</f>
        <v/>
      </c>
      <c r="I103" s="8">
        <f>IF(H103&lt;&gt;"",EDATE(StartDate,100),"")</f>
        <v/>
      </c>
      <c r="J103" s="9">
        <f>IF(H103&lt;&gt;"",MIN(MonthlyPmt,M102+K103),"")</f>
        <v/>
      </c>
      <c r="K103" s="9">
        <f>IF(H103&lt;&gt;"",ROUND(M102*AnnualRate/12,2),"")</f>
        <v/>
      </c>
      <c r="L103" s="9">
        <f>IF(H103&lt;&gt;"",MIN(M102,(J103-K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M103" s="9">
        <f>IF(H103&lt;&gt;"",ROUND(M102-L103,2),"")</f>
        <v/>
      </c>
    </row>
    <row r="104">
      <c r="H104" s="11">
        <f>IF(AND(M103&gt;0.005,H103&lt;&gt;""),102,"")</f>
        <v/>
      </c>
      <c r="I104" s="12">
        <f>IF(H104&lt;&gt;"",EDATE(StartDate,101),"")</f>
        <v/>
      </c>
      <c r="J104" s="13">
        <f>IF(H104&lt;&gt;"",MIN(MonthlyPmt,M103+K104),"")</f>
        <v/>
      </c>
      <c r="K104" s="13">
        <f>IF(H104&lt;&gt;"",ROUND(M103*AnnualRate/12,2),"")</f>
        <v/>
      </c>
      <c r="L104" s="13">
        <f>IF(H104&lt;&gt;"",MIN(M103,(J104-K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M104" s="13">
        <f>IF(H104&lt;&gt;"",ROUND(M103-L104,2),"")</f>
        <v/>
      </c>
    </row>
    <row r="105">
      <c r="H105" s="7">
        <f>IF(AND(M104&gt;0.005,H104&lt;&gt;""),103,"")</f>
        <v/>
      </c>
      <c r="I105" s="8">
        <f>IF(H105&lt;&gt;"",EDATE(StartDate,102),"")</f>
        <v/>
      </c>
      <c r="J105" s="9">
        <f>IF(H105&lt;&gt;"",MIN(MonthlyPmt,M104+K105),"")</f>
        <v/>
      </c>
      <c r="K105" s="9">
        <f>IF(H105&lt;&gt;"",ROUND(M104*AnnualRate/12,2),"")</f>
        <v/>
      </c>
      <c r="L105" s="9">
        <f>IF(H105&lt;&gt;"",MIN(M104,(J105-K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M105" s="9">
        <f>IF(H105&lt;&gt;"",ROUND(M104-L105,2),"")</f>
        <v/>
      </c>
    </row>
    <row r="106">
      <c r="H106" s="11">
        <f>IF(AND(M105&gt;0.005,H105&lt;&gt;""),104,"")</f>
        <v/>
      </c>
      <c r="I106" s="12">
        <f>IF(H106&lt;&gt;"",EDATE(StartDate,103),"")</f>
        <v/>
      </c>
      <c r="J106" s="13">
        <f>IF(H106&lt;&gt;"",MIN(MonthlyPmt,M105+K106),"")</f>
        <v/>
      </c>
      <c r="K106" s="13">
        <f>IF(H106&lt;&gt;"",ROUND(M105*AnnualRate/12,2),"")</f>
        <v/>
      </c>
      <c r="L106" s="13">
        <f>IF(H106&lt;&gt;"",MIN(M105,(J106-K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M106" s="13">
        <f>IF(H106&lt;&gt;"",ROUND(M105-L106,2),"")</f>
        <v/>
      </c>
    </row>
    <row r="107">
      <c r="H107" s="7">
        <f>IF(AND(M106&gt;0.005,H106&lt;&gt;""),105,"")</f>
        <v/>
      </c>
      <c r="I107" s="8">
        <f>IF(H107&lt;&gt;"",EDATE(StartDate,104),"")</f>
        <v/>
      </c>
      <c r="J107" s="9">
        <f>IF(H107&lt;&gt;"",MIN(MonthlyPmt,M106+K107),"")</f>
        <v/>
      </c>
      <c r="K107" s="9">
        <f>IF(H107&lt;&gt;"",ROUND(M106*AnnualRate/12,2),"")</f>
        <v/>
      </c>
      <c r="L107" s="9">
        <f>IF(H107&lt;&gt;"",MIN(M106,(J107-K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M107" s="9">
        <f>IF(H107&lt;&gt;"",ROUND(M106-L107,2),"")</f>
        <v/>
      </c>
    </row>
    <row r="108">
      <c r="H108" s="11">
        <f>IF(AND(M107&gt;0.005,H107&lt;&gt;""),106,"")</f>
        <v/>
      </c>
      <c r="I108" s="12">
        <f>IF(H108&lt;&gt;"",EDATE(StartDate,105),"")</f>
        <v/>
      </c>
      <c r="J108" s="13">
        <f>IF(H108&lt;&gt;"",MIN(MonthlyPmt,M107+K108),"")</f>
        <v/>
      </c>
      <c r="K108" s="13">
        <f>IF(H108&lt;&gt;"",ROUND(M107*AnnualRate/12,2),"")</f>
        <v/>
      </c>
      <c r="L108" s="13">
        <f>IF(H108&lt;&gt;"",MIN(M107,(J108-K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M108" s="13">
        <f>IF(H108&lt;&gt;"",ROUND(M107-L108,2),"")</f>
        <v/>
      </c>
    </row>
    <row r="109">
      <c r="H109" s="7">
        <f>IF(AND(M108&gt;0.005,H108&lt;&gt;""),107,"")</f>
        <v/>
      </c>
      <c r="I109" s="8">
        <f>IF(H109&lt;&gt;"",EDATE(StartDate,106),"")</f>
        <v/>
      </c>
      <c r="J109" s="9">
        <f>IF(H109&lt;&gt;"",MIN(MonthlyPmt,M108+K109),"")</f>
        <v/>
      </c>
      <c r="K109" s="9">
        <f>IF(H109&lt;&gt;"",ROUND(M108*AnnualRate/12,2),"")</f>
        <v/>
      </c>
      <c r="L109" s="9">
        <f>IF(H109&lt;&gt;"",MIN(M108,(J109-K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M109" s="9">
        <f>IF(H109&lt;&gt;"",ROUND(M108-L109,2),"")</f>
        <v/>
      </c>
    </row>
    <row r="110">
      <c r="H110" s="11">
        <f>IF(AND(M109&gt;0.005,H109&lt;&gt;""),108,"")</f>
        <v/>
      </c>
      <c r="I110" s="12">
        <f>IF(H110&lt;&gt;"",EDATE(StartDate,107),"")</f>
        <v/>
      </c>
      <c r="J110" s="13">
        <f>IF(H110&lt;&gt;"",MIN(MonthlyPmt,M109+K110),"")</f>
        <v/>
      </c>
      <c r="K110" s="13">
        <f>IF(H110&lt;&gt;"",ROUND(M109*AnnualRate/12,2),"")</f>
        <v/>
      </c>
      <c r="L110" s="13">
        <f>IF(H110&lt;&gt;"",MIN(M109,(J110-K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M110" s="13">
        <f>IF(H110&lt;&gt;"",ROUND(M109-L110,2),"")</f>
        <v/>
      </c>
    </row>
    <row r="111">
      <c r="H111" s="7">
        <f>IF(AND(M110&gt;0.005,H110&lt;&gt;""),109,"")</f>
        <v/>
      </c>
      <c r="I111" s="8">
        <f>IF(H111&lt;&gt;"",EDATE(StartDate,108),"")</f>
        <v/>
      </c>
      <c r="J111" s="9">
        <f>IF(H111&lt;&gt;"",MIN(MonthlyPmt,M110+K111),"")</f>
        <v/>
      </c>
      <c r="K111" s="9">
        <f>IF(H111&lt;&gt;"",ROUND(M110*AnnualRate/12,2),"")</f>
        <v/>
      </c>
      <c r="L111" s="9">
        <f>IF(H111&lt;&gt;"",MIN(M110,(J111-K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M111" s="9">
        <f>IF(H111&lt;&gt;"",ROUND(M110-L111,2),"")</f>
        <v/>
      </c>
    </row>
    <row r="112">
      <c r="H112" s="11">
        <f>IF(AND(M111&gt;0.005,H111&lt;&gt;""),110,"")</f>
        <v/>
      </c>
      <c r="I112" s="12">
        <f>IF(H112&lt;&gt;"",EDATE(StartDate,109),"")</f>
        <v/>
      </c>
      <c r="J112" s="13">
        <f>IF(H112&lt;&gt;"",MIN(MonthlyPmt,M111+K112),"")</f>
        <v/>
      </c>
      <c r="K112" s="13">
        <f>IF(H112&lt;&gt;"",ROUND(M111*AnnualRate/12,2),"")</f>
        <v/>
      </c>
      <c r="L112" s="13">
        <f>IF(H112&lt;&gt;"",MIN(M111,(J112-K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M112" s="13">
        <f>IF(H112&lt;&gt;"",ROUND(M111-L112,2),"")</f>
        <v/>
      </c>
    </row>
    <row r="113">
      <c r="H113" s="7">
        <f>IF(AND(M112&gt;0.005,H112&lt;&gt;""),111,"")</f>
        <v/>
      </c>
      <c r="I113" s="8">
        <f>IF(H113&lt;&gt;"",EDATE(StartDate,110),"")</f>
        <v/>
      </c>
      <c r="J113" s="9">
        <f>IF(H113&lt;&gt;"",MIN(MonthlyPmt,M112+K113),"")</f>
        <v/>
      </c>
      <c r="K113" s="9">
        <f>IF(H113&lt;&gt;"",ROUND(M112*AnnualRate/12,2),"")</f>
        <v/>
      </c>
      <c r="L113" s="9">
        <f>IF(H113&lt;&gt;"",MIN(M112,(J113-K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M113" s="9">
        <f>IF(H113&lt;&gt;"",ROUND(M112-L113,2),"")</f>
        <v/>
      </c>
    </row>
    <row r="114">
      <c r="H114" s="11">
        <f>IF(AND(M113&gt;0.005,H113&lt;&gt;""),112,"")</f>
        <v/>
      </c>
      <c r="I114" s="12">
        <f>IF(H114&lt;&gt;"",EDATE(StartDate,111),"")</f>
        <v/>
      </c>
      <c r="J114" s="13">
        <f>IF(H114&lt;&gt;"",MIN(MonthlyPmt,M113+K114),"")</f>
        <v/>
      </c>
      <c r="K114" s="13">
        <f>IF(H114&lt;&gt;"",ROUND(M113*AnnualRate/12,2),"")</f>
        <v/>
      </c>
      <c r="L114" s="13">
        <f>IF(H114&lt;&gt;"",MIN(M113,(J114-K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M114" s="13">
        <f>IF(H114&lt;&gt;"",ROUND(M113-L114,2),"")</f>
        <v/>
      </c>
    </row>
    <row r="115">
      <c r="H115" s="7">
        <f>IF(AND(M114&gt;0.005,H114&lt;&gt;""),113,"")</f>
        <v/>
      </c>
      <c r="I115" s="8">
        <f>IF(H115&lt;&gt;"",EDATE(StartDate,112),"")</f>
        <v/>
      </c>
      <c r="J115" s="9">
        <f>IF(H115&lt;&gt;"",MIN(MonthlyPmt,M114+K115),"")</f>
        <v/>
      </c>
      <c r="K115" s="9">
        <f>IF(H115&lt;&gt;"",ROUND(M114*AnnualRate/12,2),"")</f>
        <v/>
      </c>
      <c r="L115" s="9">
        <f>IF(H115&lt;&gt;"",MIN(M114,(J115-K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M115" s="9">
        <f>IF(H115&lt;&gt;"",ROUND(M114-L115,2),"")</f>
        <v/>
      </c>
    </row>
    <row r="116">
      <c r="H116" s="11">
        <f>IF(AND(M115&gt;0.005,H115&lt;&gt;""),114,"")</f>
        <v/>
      </c>
      <c r="I116" s="12">
        <f>IF(H116&lt;&gt;"",EDATE(StartDate,113),"")</f>
        <v/>
      </c>
      <c r="J116" s="13">
        <f>IF(H116&lt;&gt;"",MIN(MonthlyPmt,M115+K116),"")</f>
        <v/>
      </c>
      <c r="K116" s="13">
        <f>IF(H116&lt;&gt;"",ROUND(M115*AnnualRate/12,2),"")</f>
        <v/>
      </c>
      <c r="L116" s="13">
        <f>IF(H116&lt;&gt;"",MIN(M115,(J116-K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M116" s="13">
        <f>IF(H116&lt;&gt;"",ROUND(M115-L116,2),"")</f>
        <v/>
      </c>
    </row>
    <row r="117">
      <c r="H117" s="7">
        <f>IF(AND(M116&gt;0.005,H116&lt;&gt;""),115,"")</f>
        <v/>
      </c>
      <c r="I117" s="8">
        <f>IF(H117&lt;&gt;"",EDATE(StartDate,114),"")</f>
        <v/>
      </c>
      <c r="J117" s="9">
        <f>IF(H117&lt;&gt;"",MIN(MonthlyPmt,M116+K117),"")</f>
        <v/>
      </c>
      <c r="K117" s="9">
        <f>IF(H117&lt;&gt;"",ROUND(M116*AnnualRate/12,2),"")</f>
        <v/>
      </c>
      <c r="L117" s="9">
        <f>IF(H117&lt;&gt;"",MIN(M116,(J117-K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M117" s="9">
        <f>IF(H117&lt;&gt;"",ROUND(M116-L117,2),"")</f>
        <v/>
      </c>
    </row>
    <row r="118">
      <c r="H118" s="11">
        <f>IF(AND(M117&gt;0.005,H117&lt;&gt;""),116,"")</f>
        <v/>
      </c>
      <c r="I118" s="12">
        <f>IF(H118&lt;&gt;"",EDATE(StartDate,115),"")</f>
        <v/>
      </c>
      <c r="J118" s="13">
        <f>IF(H118&lt;&gt;"",MIN(MonthlyPmt,M117+K118),"")</f>
        <v/>
      </c>
      <c r="K118" s="13">
        <f>IF(H118&lt;&gt;"",ROUND(M117*AnnualRate/12,2),"")</f>
        <v/>
      </c>
      <c r="L118" s="13">
        <f>IF(H118&lt;&gt;"",MIN(M117,(J118-K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M118" s="13">
        <f>IF(H118&lt;&gt;"",ROUND(M117-L118,2),"")</f>
        <v/>
      </c>
    </row>
    <row r="119">
      <c r="H119" s="7">
        <f>IF(AND(M118&gt;0.005,H118&lt;&gt;""),117,"")</f>
        <v/>
      </c>
      <c r="I119" s="8">
        <f>IF(H119&lt;&gt;"",EDATE(StartDate,116),"")</f>
        <v/>
      </c>
      <c r="J119" s="9">
        <f>IF(H119&lt;&gt;"",MIN(MonthlyPmt,M118+K119),"")</f>
        <v/>
      </c>
      <c r="K119" s="9">
        <f>IF(H119&lt;&gt;"",ROUND(M118*AnnualRate/12,2),"")</f>
        <v/>
      </c>
      <c r="L119" s="9">
        <f>IF(H119&lt;&gt;"",MIN(M118,(J119-K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M119" s="9">
        <f>IF(H119&lt;&gt;"",ROUND(M118-L119,2),"")</f>
        <v/>
      </c>
    </row>
    <row r="120">
      <c r="H120" s="11">
        <f>IF(AND(M119&gt;0.005,H119&lt;&gt;""),118,"")</f>
        <v/>
      </c>
      <c r="I120" s="12">
        <f>IF(H120&lt;&gt;"",EDATE(StartDate,117),"")</f>
        <v/>
      </c>
      <c r="J120" s="13">
        <f>IF(H120&lt;&gt;"",MIN(MonthlyPmt,M119+K120),"")</f>
        <v/>
      </c>
      <c r="K120" s="13">
        <f>IF(H120&lt;&gt;"",ROUND(M119*AnnualRate/12,2),"")</f>
        <v/>
      </c>
      <c r="L120" s="13">
        <f>IF(H120&lt;&gt;"",MIN(M119,(J120-K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M120" s="13">
        <f>IF(H120&lt;&gt;"",ROUND(M119-L120,2),"")</f>
        <v/>
      </c>
    </row>
    <row r="121">
      <c r="H121" s="7">
        <f>IF(AND(M120&gt;0.005,H120&lt;&gt;""),119,"")</f>
        <v/>
      </c>
      <c r="I121" s="8">
        <f>IF(H121&lt;&gt;"",EDATE(StartDate,118),"")</f>
        <v/>
      </c>
      <c r="J121" s="9">
        <f>IF(H121&lt;&gt;"",MIN(MonthlyPmt,M120+K121),"")</f>
        <v/>
      </c>
      <c r="K121" s="9">
        <f>IF(H121&lt;&gt;"",ROUND(M120*AnnualRate/12,2),"")</f>
        <v/>
      </c>
      <c r="L121" s="9">
        <f>IF(H121&lt;&gt;"",MIN(M120,(J121-K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M121" s="9">
        <f>IF(H121&lt;&gt;"",ROUND(M120-L121,2),"")</f>
        <v/>
      </c>
    </row>
    <row r="122">
      <c r="H122" s="11">
        <f>IF(AND(M121&gt;0.005,H121&lt;&gt;""),120,"")</f>
        <v/>
      </c>
      <c r="I122" s="12">
        <f>IF(H122&lt;&gt;"",EDATE(StartDate,119),"")</f>
        <v/>
      </c>
      <c r="J122" s="13">
        <f>IF(H122&lt;&gt;"",MIN(MonthlyPmt,M121+K122),"")</f>
        <v/>
      </c>
      <c r="K122" s="13">
        <f>IF(H122&lt;&gt;"",ROUND(M121*AnnualRate/12,2),"")</f>
        <v/>
      </c>
      <c r="L122" s="13">
        <f>IF(H122&lt;&gt;"",MIN(M121,(J122-K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M122" s="13">
        <f>IF(H122&lt;&gt;"",ROUND(M121-L122,2),"")</f>
        <v/>
      </c>
    </row>
    <row r="123">
      <c r="H123" s="7">
        <f>IF(AND(M122&gt;0.005,H122&lt;&gt;""),121,"")</f>
        <v/>
      </c>
      <c r="I123" s="8">
        <f>IF(H123&lt;&gt;"",EDATE(StartDate,120),"")</f>
        <v/>
      </c>
      <c r="J123" s="9">
        <f>IF(H123&lt;&gt;"",MIN(MonthlyPmt,M122+K123),"")</f>
        <v/>
      </c>
      <c r="K123" s="9">
        <f>IF(H123&lt;&gt;"",ROUND(M122*AnnualRate/12,2),"")</f>
        <v/>
      </c>
      <c r="L123" s="9">
        <f>IF(H123&lt;&gt;"",MIN(M122,(J123-K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M123" s="9">
        <f>IF(H123&lt;&gt;"",ROUND(M122-L123,2),"")</f>
        <v/>
      </c>
    </row>
    <row r="124">
      <c r="H124" s="11">
        <f>IF(AND(M123&gt;0.005,H123&lt;&gt;""),122,"")</f>
        <v/>
      </c>
      <c r="I124" s="12">
        <f>IF(H124&lt;&gt;"",EDATE(StartDate,121),"")</f>
        <v/>
      </c>
      <c r="J124" s="13">
        <f>IF(H124&lt;&gt;"",MIN(MonthlyPmt,M123+K124),"")</f>
        <v/>
      </c>
      <c r="K124" s="13">
        <f>IF(H124&lt;&gt;"",ROUND(M123*AnnualRate/12,2),"")</f>
        <v/>
      </c>
      <c r="L124" s="13">
        <f>IF(H124&lt;&gt;"",MIN(M123,(J124-K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M124" s="13">
        <f>IF(H124&lt;&gt;"",ROUND(M123-L124,2),"")</f>
        <v/>
      </c>
    </row>
    <row r="125">
      <c r="H125" s="7">
        <f>IF(AND(M124&gt;0.005,H124&lt;&gt;""),123,"")</f>
        <v/>
      </c>
      <c r="I125" s="8">
        <f>IF(H125&lt;&gt;"",EDATE(StartDate,122),"")</f>
        <v/>
      </c>
      <c r="J125" s="9">
        <f>IF(H125&lt;&gt;"",MIN(MonthlyPmt,M124+K125),"")</f>
        <v/>
      </c>
      <c r="K125" s="9">
        <f>IF(H125&lt;&gt;"",ROUND(M124*AnnualRate/12,2),"")</f>
        <v/>
      </c>
      <c r="L125" s="9">
        <f>IF(H125&lt;&gt;"",MIN(M124,(J125-K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M125" s="9">
        <f>IF(H125&lt;&gt;"",ROUND(M124-L125,2),"")</f>
        <v/>
      </c>
    </row>
    <row r="126">
      <c r="H126" s="11">
        <f>IF(AND(M125&gt;0.005,H125&lt;&gt;""),124,"")</f>
        <v/>
      </c>
      <c r="I126" s="12">
        <f>IF(H126&lt;&gt;"",EDATE(StartDate,123),"")</f>
        <v/>
      </c>
      <c r="J126" s="13">
        <f>IF(H126&lt;&gt;"",MIN(MonthlyPmt,M125+K126),"")</f>
        <v/>
      </c>
      <c r="K126" s="13">
        <f>IF(H126&lt;&gt;"",ROUND(M125*AnnualRate/12,2),"")</f>
        <v/>
      </c>
      <c r="L126" s="13">
        <f>IF(H126&lt;&gt;"",MIN(M125,(J126-K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M126" s="13">
        <f>IF(H126&lt;&gt;"",ROUND(M125-L126,2),"")</f>
        <v/>
      </c>
    </row>
    <row r="127">
      <c r="H127" s="7">
        <f>IF(AND(M126&gt;0.005,H126&lt;&gt;""),125,"")</f>
        <v/>
      </c>
      <c r="I127" s="8">
        <f>IF(H127&lt;&gt;"",EDATE(StartDate,124),"")</f>
        <v/>
      </c>
      <c r="J127" s="9">
        <f>IF(H127&lt;&gt;"",MIN(MonthlyPmt,M126+K127),"")</f>
        <v/>
      </c>
      <c r="K127" s="9">
        <f>IF(H127&lt;&gt;"",ROUND(M126*AnnualRate/12,2),"")</f>
        <v/>
      </c>
      <c r="L127" s="9">
        <f>IF(H127&lt;&gt;"",MIN(M126,(J127-K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M127" s="9">
        <f>IF(H127&lt;&gt;"",ROUND(M126-L127,2),"")</f>
        <v/>
      </c>
    </row>
    <row r="128">
      <c r="H128" s="11">
        <f>IF(AND(M127&gt;0.005,H127&lt;&gt;""),126,"")</f>
        <v/>
      </c>
      <c r="I128" s="12">
        <f>IF(H128&lt;&gt;"",EDATE(StartDate,125),"")</f>
        <v/>
      </c>
      <c r="J128" s="13">
        <f>IF(H128&lt;&gt;"",MIN(MonthlyPmt,M127+K128),"")</f>
        <v/>
      </c>
      <c r="K128" s="13">
        <f>IF(H128&lt;&gt;"",ROUND(M127*AnnualRate/12,2),"")</f>
        <v/>
      </c>
      <c r="L128" s="13">
        <f>IF(H128&lt;&gt;"",MIN(M127,(J128-K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M128" s="13">
        <f>IF(H128&lt;&gt;"",ROUND(M127-L128,2),"")</f>
        <v/>
      </c>
    </row>
    <row r="129">
      <c r="H129" s="7">
        <f>IF(AND(M128&gt;0.005,H128&lt;&gt;""),127,"")</f>
        <v/>
      </c>
      <c r="I129" s="8">
        <f>IF(H129&lt;&gt;"",EDATE(StartDate,126),"")</f>
        <v/>
      </c>
      <c r="J129" s="9">
        <f>IF(H129&lt;&gt;"",MIN(MonthlyPmt,M128+K129),"")</f>
        <v/>
      </c>
      <c r="K129" s="9">
        <f>IF(H129&lt;&gt;"",ROUND(M128*AnnualRate/12,2),"")</f>
        <v/>
      </c>
      <c r="L129" s="9">
        <f>IF(H129&lt;&gt;"",MIN(M128,(J129-K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M129" s="9">
        <f>IF(H129&lt;&gt;"",ROUND(M128-L129,2),"")</f>
        <v/>
      </c>
    </row>
    <row r="130">
      <c r="H130" s="11">
        <f>IF(AND(M129&gt;0.005,H129&lt;&gt;""),128,"")</f>
        <v/>
      </c>
      <c r="I130" s="12">
        <f>IF(H130&lt;&gt;"",EDATE(StartDate,127),"")</f>
        <v/>
      </c>
      <c r="J130" s="13">
        <f>IF(H130&lt;&gt;"",MIN(MonthlyPmt,M129+K130),"")</f>
        <v/>
      </c>
      <c r="K130" s="13">
        <f>IF(H130&lt;&gt;"",ROUND(M129*AnnualRate/12,2),"")</f>
        <v/>
      </c>
      <c r="L130" s="13">
        <f>IF(H130&lt;&gt;"",MIN(M129,(J130-K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M130" s="13">
        <f>IF(H130&lt;&gt;"",ROUND(M129-L130,2),"")</f>
        <v/>
      </c>
    </row>
    <row r="131">
      <c r="H131" s="7">
        <f>IF(AND(M130&gt;0.005,H130&lt;&gt;""),129,"")</f>
        <v/>
      </c>
      <c r="I131" s="8">
        <f>IF(H131&lt;&gt;"",EDATE(StartDate,128),"")</f>
        <v/>
      </c>
      <c r="J131" s="9">
        <f>IF(H131&lt;&gt;"",MIN(MonthlyPmt,M130+K131),"")</f>
        <v/>
      </c>
      <c r="K131" s="9">
        <f>IF(H131&lt;&gt;"",ROUND(M130*AnnualRate/12,2),"")</f>
        <v/>
      </c>
      <c r="L131" s="9">
        <f>IF(H131&lt;&gt;"",MIN(M130,(J131-K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M131" s="9">
        <f>IF(H131&lt;&gt;"",ROUND(M130-L131,2),"")</f>
        <v/>
      </c>
    </row>
    <row r="132">
      <c r="H132" s="11">
        <f>IF(AND(M131&gt;0.005,H131&lt;&gt;""),130,"")</f>
        <v/>
      </c>
      <c r="I132" s="12">
        <f>IF(H132&lt;&gt;"",EDATE(StartDate,129),"")</f>
        <v/>
      </c>
      <c r="J132" s="13">
        <f>IF(H132&lt;&gt;"",MIN(MonthlyPmt,M131+K132),"")</f>
        <v/>
      </c>
      <c r="K132" s="13">
        <f>IF(H132&lt;&gt;"",ROUND(M131*AnnualRate/12,2),"")</f>
        <v/>
      </c>
      <c r="L132" s="13">
        <f>IF(H132&lt;&gt;"",MIN(M131,(J132-K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M132" s="13">
        <f>IF(H132&lt;&gt;"",ROUND(M131-L132,2),"")</f>
        <v/>
      </c>
    </row>
    <row r="133">
      <c r="H133" s="7">
        <f>IF(AND(M132&gt;0.005,H132&lt;&gt;""),131,"")</f>
        <v/>
      </c>
      <c r="I133" s="8">
        <f>IF(H133&lt;&gt;"",EDATE(StartDate,130),"")</f>
        <v/>
      </c>
      <c r="J133" s="9">
        <f>IF(H133&lt;&gt;"",MIN(MonthlyPmt,M132+K133),"")</f>
        <v/>
      </c>
      <c r="K133" s="9">
        <f>IF(H133&lt;&gt;"",ROUND(M132*AnnualRate/12,2),"")</f>
        <v/>
      </c>
      <c r="L133" s="9">
        <f>IF(H133&lt;&gt;"",MIN(M132,(J133-K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M133" s="9">
        <f>IF(H133&lt;&gt;"",ROUND(M132-L133,2),"")</f>
        <v/>
      </c>
    </row>
    <row r="134">
      <c r="H134" s="11">
        <f>IF(AND(M133&gt;0.005,H133&lt;&gt;""),132,"")</f>
        <v/>
      </c>
      <c r="I134" s="12">
        <f>IF(H134&lt;&gt;"",EDATE(StartDate,131),"")</f>
        <v/>
      </c>
      <c r="J134" s="13">
        <f>IF(H134&lt;&gt;"",MIN(MonthlyPmt,M133+K134),"")</f>
        <v/>
      </c>
      <c r="K134" s="13">
        <f>IF(H134&lt;&gt;"",ROUND(M133*AnnualRate/12,2),"")</f>
        <v/>
      </c>
      <c r="L134" s="13">
        <f>IF(H134&lt;&gt;"",MIN(M133,(J134-K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M134" s="13">
        <f>IF(H134&lt;&gt;"",ROUND(M133-L134,2),"")</f>
        <v/>
      </c>
    </row>
    <row r="135">
      <c r="H135" s="7">
        <f>IF(AND(M134&gt;0.005,H134&lt;&gt;""),133,"")</f>
        <v/>
      </c>
      <c r="I135" s="8">
        <f>IF(H135&lt;&gt;"",EDATE(StartDate,132),"")</f>
        <v/>
      </c>
      <c r="J135" s="9">
        <f>IF(H135&lt;&gt;"",MIN(MonthlyPmt,M134+K135),"")</f>
        <v/>
      </c>
      <c r="K135" s="9">
        <f>IF(H135&lt;&gt;"",ROUND(M134*AnnualRate/12,2),"")</f>
        <v/>
      </c>
      <c r="L135" s="9">
        <f>IF(H135&lt;&gt;"",MIN(M134,(J135-K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M135" s="9">
        <f>IF(H135&lt;&gt;"",ROUND(M134-L135,2),"")</f>
        <v/>
      </c>
    </row>
    <row r="136">
      <c r="H136" s="11">
        <f>IF(AND(M135&gt;0.005,H135&lt;&gt;""),134,"")</f>
        <v/>
      </c>
      <c r="I136" s="12">
        <f>IF(H136&lt;&gt;"",EDATE(StartDate,133),"")</f>
        <v/>
      </c>
      <c r="J136" s="13">
        <f>IF(H136&lt;&gt;"",MIN(MonthlyPmt,M135+K136),"")</f>
        <v/>
      </c>
      <c r="K136" s="13">
        <f>IF(H136&lt;&gt;"",ROUND(M135*AnnualRate/12,2),"")</f>
        <v/>
      </c>
      <c r="L136" s="13">
        <f>IF(H136&lt;&gt;"",MIN(M135,(J136-K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M136" s="13">
        <f>IF(H136&lt;&gt;"",ROUND(M135-L136,2),"")</f>
        <v/>
      </c>
    </row>
    <row r="137">
      <c r="H137" s="7">
        <f>IF(AND(M136&gt;0.005,H136&lt;&gt;""),135,"")</f>
        <v/>
      </c>
      <c r="I137" s="8">
        <f>IF(H137&lt;&gt;"",EDATE(StartDate,134),"")</f>
        <v/>
      </c>
      <c r="J137" s="9">
        <f>IF(H137&lt;&gt;"",MIN(MonthlyPmt,M136+K137),"")</f>
        <v/>
      </c>
      <c r="K137" s="9">
        <f>IF(H137&lt;&gt;"",ROUND(M136*AnnualRate/12,2),"")</f>
        <v/>
      </c>
      <c r="L137" s="9">
        <f>IF(H137&lt;&gt;"",MIN(M136,(J137-K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M137" s="9">
        <f>IF(H137&lt;&gt;"",ROUND(M136-L137,2),"")</f>
        <v/>
      </c>
    </row>
    <row r="138">
      <c r="H138" s="11">
        <f>IF(AND(M137&gt;0.005,H137&lt;&gt;""),136,"")</f>
        <v/>
      </c>
      <c r="I138" s="12">
        <f>IF(H138&lt;&gt;"",EDATE(StartDate,135),"")</f>
        <v/>
      </c>
      <c r="J138" s="13">
        <f>IF(H138&lt;&gt;"",MIN(MonthlyPmt,M137+K138),"")</f>
        <v/>
      </c>
      <c r="K138" s="13">
        <f>IF(H138&lt;&gt;"",ROUND(M137*AnnualRate/12,2),"")</f>
        <v/>
      </c>
      <c r="L138" s="13">
        <f>IF(H138&lt;&gt;"",MIN(M137,(J138-K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M138" s="13">
        <f>IF(H138&lt;&gt;"",ROUND(M137-L138,2),"")</f>
        <v/>
      </c>
    </row>
    <row r="139">
      <c r="H139" s="7">
        <f>IF(AND(M138&gt;0.005,H138&lt;&gt;""),137,"")</f>
        <v/>
      </c>
      <c r="I139" s="8">
        <f>IF(H139&lt;&gt;"",EDATE(StartDate,136),"")</f>
        <v/>
      </c>
      <c r="J139" s="9">
        <f>IF(H139&lt;&gt;"",MIN(MonthlyPmt,M138+K139),"")</f>
        <v/>
      </c>
      <c r="K139" s="9">
        <f>IF(H139&lt;&gt;"",ROUND(M138*AnnualRate/12,2),"")</f>
        <v/>
      </c>
      <c r="L139" s="9">
        <f>IF(H139&lt;&gt;"",MIN(M138,(J139-K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M139" s="9">
        <f>IF(H139&lt;&gt;"",ROUND(M138-L139,2),"")</f>
        <v/>
      </c>
    </row>
    <row r="140">
      <c r="H140" s="11">
        <f>IF(AND(M139&gt;0.005,H139&lt;&gt;""),138,"")</f>
        <v/>
      </c>
      <c r="I140" s="12">
        <f>IF(H140&lt;&gt;"",EDATE(StartDate,137),"")</f>
        <v/>
      </c>
      <c r="J140" s="13">
        <f>IF(H140&lt;&gt;"",MIN(MonthlyPmt,M139+K140),"")</f>
        <v/>
      </c>
      <c r="K140" s="13">
        <f>IF(H140&lt;&gt;"",ROUND(M139*AnnualRate/12,2),"")</f>
        <v/>
      </c>
      <c r="L140" s="13">
        <f>IF(H140&lt;&gt;"",MIN(M139,(J140-K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M140" s="13">
        <f>IF(H140&lt;&gt;"",ROUND(M139-L140,2),"")</f>
        <v/>
      </c>
    </row>
    <row r="141">
      <c r="H141" s="7">
        <f>IF(AND(M140&gt;0.005,H140&lt;&gt;""),139,"")</f>
        <v/>
      </c>
      <c r="I141" s="8">
        <f>IF(H141&lt;&gt;"",EDATE(StartDate,138),"")</f>
        <v/>
      </c>
      <c r="J141" s="9">
        <f>IF(H141&lt;&gt;"",MIN(MonthlyPmt,M140+K141),"")</f>
        <v/>
      </c>
      <c r="K141" s="9">
        <f>IF(H141&lt;&gt;"",ROUND(M140*AnnualRate/12,2),"")</f>
        <v/>
      </c>
      <c r="L141" s="9">
        <f>IF(H141&lt;&gt;"",MIN(M140,(J141-K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M141" s="9">
        <f>IF(H141&lt;&gt;"",ROUND(M140-L141,2),"")</f>
        <v/>
      </c>
    </row>
    <row r="142">
      <c r="H142" s="11">
        <f>IF(AND(M141&gt;0.005,H141&lt;&gt;""),140,"")</f>
        <v/>
      </c>
      <c r="I142" s="12">
        <f>IF(H142&lt;&gt;"",EDATE(StartDate,139),"")</f>
        <v/>
      </c>
      <c r="J142" s="13">
        <f>IF(H142&lt;&gt;"",MIN(MonthlyPmt,M141+K142),"")</f>
        <v/>
      </c>
      <c r="K142" s="13">
        <f>IF(H142&lt;&gt;"",ROUND(M141*AnnualRate/12,2),"")</f>
        <v/>
      </c>
      <c r="L142" s="13">
        <f>IF(H142&lt;&gt;"",MIN(M141,(J142-K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M142" s="13">
        <f>IF(H142&lt;&gt;"",ROUND(M141-L142,2),"")</f>
        <v/>
      </c>
    </row>
    <row r="143">
      <c r="H143" s="7">
        <f>IF(AND(M142&gt;0.005,H142&lt;&gt;""),141,"")</f>
        <v/>
      </c>
      <c r="I143" s="8">
        <f>IF(H143&lt;&gt;"",EDATE(StartDate,140),"")</f>
        <v/>
      </c>
      <c r="J143" s="9">
        <f>IF(H143&lt;&gt;"",MIN(MonthlyPmt,M142+K143),"")</f>
        <v/>
      </c>
      <c r="K143" s="9">
        <f>IF(H143&lt;&gt;"",ROUND(M142*AnnualRate/12,2),"")</f>
        <v/>
      </c>
      <c r="L143" s="9">
        <f>IF(H143&lt;&gt;"",MIN(M142,(J143-K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M143" s="9">
        <f>IF(H143&lt;&gt;"",ROUND(M142-L143,2),"")</f>
        <v/>
      </c>
    </row>
    <row r="144">
      <c r="H144" s="11">
        <f>IF(AND(M143&gt;0.005,H143&lt;&gt;""),142,"")</f>
        <v/>
      </c>
      <c r="I144" s="12">
        <f>IF(H144&lt;&gt;"",EDATE(StartDate,141),"")</f>
        <v/>
      </c>
      <c r="J144" s="13">
        <f>IF(H144&lt;&gt;"",MIN(MonthlyPmt,M143+K144),"")</f>
        <v/>
      </c>
      <c r="K144" s="13">
        <f>IF(H144&lt;&gt;"",ROUND(M143*AnnualRate/12,2),"")</f>
        <v/>
      </c>
      <c r="L144" s="13">
        <f>IF(H144&lt;&gt;"",MIN(M143,(J144-K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M144" s="13">
        <f>IF(H144&lt;&gt;"",ROUND(M143-L144,2),"")</f>
        <v/>
      </c>
    </row>
    <row r="145">
      <c r="H145" s="7">
        <f>IF(AND(M144&gt;0.005,H144&lt;&gt;""),143,"")</f>
        <v/>
      </c>
      <c r="I145" s="8">
        <f>IF(H145&lt;&gt;"",EDATE(StartDate,142),"")</f>
        <v/>
      </c>
      <c r="J145" s="9">
        <f>IF(H145&lt;&gt;"",MIN(MonthlyPmt,M144+K145),"")</f>
        <v/>
      </c>
      <c r="K145" s="9">
        <f>IF(H145&lt;&gt;"",ROUND(M144*AnnualRate/12,2),"")</f>
        <v/>
      </c>
      <c r="L145" s="9">
        <f>IF(H145&lt;&gt;"",MIN(M144,(J145-K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M145" s="9">
        <f>IF(H145&lt;&gt;"",ROUND(M144-L145,2),"")</f>
        <v/>
      </c>
    </row>
    <row r="146">
      <c r="H146" s="11">
        <f>IF(AND(M145&gt;0.005,H145&lt;&gt;""),144,"")</f>
        <v/>
      </c>
      <c r="I146" s="12">
        <f>IF(H146&lt;&gt;"",EDATE(StartDate,143),"")</f>
        <v/>
      </c>
      <c r="J146" s="13">
        <f>IF(H146&lt;&gt;"",MIN(MonthlyPmt,M145+K146),"")</f>
        <v/>
      </c>
      <c r="K146" s="13">
        <f>IF(H146&lt;&gt;"",ROUND(M145*AnnualRate/12,2),"")</f>
        <v/>
      </c>
      <c r="L146" s="13">
        <f>IF(H146&lt;&gt;"",MIN(M145,(J146-K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M146" s="13">
        <f>IF(H146&lt;&gt;"",ROUND(M145-L146,2),"")</f>
        <v/>
      </c>
    </row>
    <row r="147">
      <c r="H147" s="7">
        <f>IF(AND(M146&gt;0.005,H146&lt;&gt;""),145,"")</f>
        <v/>
      </c>
      <c r="I147" s="8">
        <f>IF(H147&lt;&gt;"",EDATE(StartDate,144),"")</f>
        <v/>
      </c>
      <c r="J147" s="9">
        <f>IF(H147&lt;&gt;"",MIN(MonthlyPmt,M146+K147),"")</f>
        <v/>
      </c>
      <c r="K147" s="9">
        <f>IF(H147&lt;&gt;"",ROUND(M146*AnnualRate/12,2),"")</f>
        <v/>
      </c>
      <c r="L147" s="9">
        <f>IF(H147&lt;&gt;"",MIN(M146,(J147-K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M147" s="9">
        <f>IF(H147&lt;&gt;"",ROUND(M146-L147,2),"")</f>
        <v/>
      </c>
    </row>
    <row r="148">
      <c r="H148" s="11">
        <f>IF(AND(M147&gt;0.005,H147&lt;&gt;""),146,"")</f>
        <v/>
      </c>
      <c r="I148" s="12">
        <f>IF(H148&lt;&gt;"",EDATE(StartDate,145),"")</f>
        <v/>
      </c>
      <c r="J148" s="13">
        <f>IF(H148&lt;&gt;"",MIN(MonthlyPmt,M147+K148),"")</f>
        <v/>
      </c>
      <c r="K148" s="13">
        <f>IF(H148&lt;&gt;"",ROUND(M147*AnnualRate/12,2),"")</f>
        <v/>
      </c>
      <c r="L148" s="13">
        <f>IF(H148&lt;&gt;"",MIN(M147,(J148-K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M148" s="13">
        <f>IF(H148&lt;&gt;"",ROUND(M147-L148,2),"")</f>
        <v/>
      </c>
    </row>
    <row r="149">
      <c r="H149" s="7">
        <f>IF(AND(M148&gt;0.005,H148&lt;&gt;""),147,"")</f>
        <v/>
      </c>
      <c r="I149" s="8">
        <f>IF(H149&lt;&gt;"",EDATE(StartDate,146),"")</f>
        <v/>
      </c>
      <c r="J149" s="9">
        <f>IF(H149&lt;&gt;"",MIN(MonthlyPmt,M148+K149),"")</f>
        <v/>
      </c>
      <c r="K149" s="9">
        <f>IF(H149&lt;&gt;"",ROUND(M148*AnnualRate/12,2),"")</f>
        <v/>
      </c>
      <c r="L149" s="9">
        <f>IF(H149&lt;&gt;"",MIN(M148,(J149-K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M149" s="9">
        <f>IF(H149&lt;&gt;"",ROUND(M148-L149,2),"")</f>
        <v/>
      </c>
    </row>
    <row r="150">
      <c r="H150" s="11">
        <f>IF(AND(M149&gt;0.005,H149&lt;&gt;""),148,"")</f>
        <v/>
      </c>
      <c r="I150" s="12">
        <f>IF(H150&lt;&gt;"",EDATE(StartDate,147),"")</f>
        <v/>
      </c>
      <c r="J150" s="13">
        <f>IF(H150&lt;&gt;"",MIN(MonthlyPmt,M149+K150),"")</f>
        <v/>
      </c>
      <c r="K150" s="13">
        <f>IF(H150&lt;&gt;"",ROUND(M149*AnnualRate/12,2),"")</f>
        <v/>
      </c>
      <c r="L150" s="13">
        <f>IF(H150&lt;&gt;"",MIN(M149,(J150-K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M150" s="13">
        <f>IF(H150&lt;&gt;"",ROUND(M149-L150,2),"")</f>
        <v/>
      </c>
    </row>
    <row r="151">
      <c r="H151" s="7">
        <f>IF(AND(M150&gt;0.005,H150&lt;&gt;""),149,"")</f>
        <v/>
      </c>
      <c r="I151" s="8">
        <f>IF(H151&lt;&gt;"",EDATE(StartDate,148),"")</f>
        <v/>
      </c>
      <c r="J151" s="9">
        <f>IF(H151&lt;&gt;"",MIN(MonthlyPmt,M150+K151),"")</f>
        <v/>
      </c>
      <c r="K151" s="9">
        <f>IF(H151&lt;&gt;"",ROUND(M150*AnnualRate/12,2),"")</f>
        <v/>
      </c>
      <c r="L151" s="9">
        <f>IF(H151&lt;&gt;"",MIN(M150,(J151-K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M151" s="9">
        <f>IF(H151&lt;&gt;"",ROUND(M150-L151,2),"")</f>
        <v/>
      </c>
    </row>
    <row r="152">
      <c r="H152" s="11">
        <f>IF(AND(M151&gt;0.005,H151&lt;&gt;""),150,"")</f>
        <v/>
      </c>
      <c r="I152" s="12">
        <f>IF(H152&lt;&gt;"",EDATE(StartDate,149),"")</f>
        <v/>
      </c>
      <c r="J152" s="13">
        <f>IF(H152&lt;&gt;"",MIN(MonthlyPmt,M151+K152),"")</f>
        <v/>
      </c>
      <c r="K152" s="13">
        <f>IF(H152&lt;&gt;"",ROUND(M151*AnnualRate/12,2),"")</f>
        <v/>
      </c>
      <c r="L152" s="13">
        <f>IF(H152&lt;&gt;"",MIN(M151,(J152-K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M152" s="13">
        <f>IF(H152&lt;&gt;"",ROUND(M151-L152,2),"")</f>
        <v/>
      </c>
    </row>
    <row r="153">
      <c r="H153" s="7">
        <f>IF(AND(M152&gt;0.005,H152&lt;&gt;""),151,"")</f>
        <v/>
      </c>
      <c r="I153" s="8">
        <f>IF(H153&lt;&gt;"",EDATE(StartDate,150),"")</f>
        <v/>
      </c>
      <c r="J153" s="9">
        <f>IF(H153&lt;&gt;"",MIN(MonthlyPmt,M152+K153),"")</f>
        <v/>
      </c>
      <c r="K153" s="9">
        <f>IF(H153&lt;&gt;"",ROUND(M152*AnnualRate/12,2),"")</f>
        <v/>
      </c>
      <c r="L153" s="9">
        <f>IF(H153&lt;&gt;"",MIN(M152,(J153-K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M153" s="9">
        <f>IF(H153&lt;&gt;"",ROUND(M152-L153,2),"")</f>
        <v/>
      </c>
    </row>
    <row r="154">
      <c r="H154" s="11">
        <f>IF(AND(M153&gt;0.005,H153&lt;&gt;""),152,"")</f>
        <v/>
      </c>
      <c r="I154" s="12">
        <f>IF(H154&lt;&gt;"",EDATE(StartDate,151),"")</f>
        <v/>
      </c>
      <c r="J154" s="13">
        <f>IF(H154&lt;&gt;"",MIN(MonthlyPmt,M153+K154),"")</f>
        <v/>
      </c>
      <c r="K154" s="13">
        <f>IF(H154&lt;&gt;"",ROUND(M153*AnnualRate/12,2),"")</f>
        <v/>
      </c>
      <c r="L154" s="13">
        <f>IF(H154&lt;&gt;"",MIN(M153,(J154-K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M154" s="13">
        <f>IF(H154&lt;&gt;"",ROUND(M153-L154,2),"")</f>
        <v/>
      </c>
    </row>
    <row r="155">
      <c r="H155" s="7">
        <f>IF(AND(M154&gt;0.005,H154&lt;&gt;""),153,"")</f>
        <v/>
      </c>
      <c r="I155" s="8">
        <f>IF(H155&lt;&gt;"",EDATE(StartDate,152),"")</f>
        <v/>
      </c>
      <c r="J155" s="9">
        <f>IF(H155&lt;&gt;"",MIN(MonthlyPmt,M154+K155),"")</f>
        <v/>
      </c>
      <c r="K155" s="9">
        <f>IF(H155&lt;&gt;"",ROUND(M154*AnnualRate/12,2),"")</f>
        <v/>
      </c>
      <c r="L155" s="9">
        <f>IF(H155&lt;&gt;"",MIN(M154,(J155-K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M155" s="9">
        <f>IF(H155&lt;&gt;"",ROUND(M154-L155,2),"")</f>
        <v/>
      </c>
    </row>
    <row r="156">
      <c r="H156" s="11">
        <f>IF(AND(M155&gt;0.005,H155&lt;&gt;""),154,"")</f>
        <v/>
      </c>
      <c r="I156" s="12">
        <f>IF(H156&lt;&gt;"",EDATE(StartDate,153),"")</f>
        <v/>
      </c>
      <c r="J156" s="13">
        <f>IF(H156&lt;&gt;"",MIN(MonthlyPmt,M155+K156),"")</f>
        <v/>
      </c>
      <c r="K156" s="13">
        <f>IF(H156&lt;&gt;"",ROUND(M155*AnnualRate/12,2),"")</f>
        <v/>
      </c>
      <c r="L156" s="13">
        <f>IF(H156&lt;&gt;"",MIN(M155,(J156-K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M156" s="13">
        <f>IF(H156&lt;&gt;"",ROUND(M155-L156,2),"")</f>
        <v/>
      </c>
    </row>
    <row r="157">
      <c r="H157" s="7">
        <f>IF(AND(M156&gt;0.005,H156&lt;&gt;""),155,"")</f>
        <v/>
      </c>
      <c r="I157" s="8">
        <f>IF(H157&lt;&gt;"",EDATE(StartDate,154),"")</f>
        <v/>
      </c>
      <c r="J157" s="9">
        <f>IF(H157&lt;&gt;"",MIN(MonthlyPmt,M156+K157),"")</f>
        <v/>
      </c>
      <c r="K157" s="9">
        <f>IF(H157&lt;&gt;"",ROUND(M156*AnnualRate/12,2),"")</f>
        <v/>
      </c>
      <c r="L157" s="9">
        <f>IF(H157&lt;&gt;"",MIN(M156,(J157-K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M157" s="9">
        <f>IF(H157&lt;&gt;"",ROUND(M156-L157,2),"")</f>
        <v/>
      </c>
    </row>
    <row r="158">
      <c r="H158" s="11">
        <f>IF(AND(M157&gt;0.005,H157&lt;&gt;""),156,"")</f>
        <v/>
      </c>
      <c r="I158" s="12">
        <f>IF(H158&lt;&gt;"",EDATE(StartDate,155),"")</f>
        <v/>
      </c>
      <c r="J158" s="13">
        <f>IF(H158&lt;&gt;"",MIN(MonthlyPmt,M157+K158),"")</f>
        <v/>
      </c>
      <c r="K158" s="13">
        <f>IF(H158&lt;&gt;"",ROUND(M157*AnnualRate/12,2),"")</f>
        <v/>
      </c>
      <c r="L158" s="13">
        <f>IF(H158&lt;&gt;"",MIN(M157,(J158-K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M158" s="13">
        <f>IF(H158&lt;&gt;"",ROUND(M157-L158,2),"")</f>
        <v/>
      </c>
    </row>
    <row r="159">
      <c r="H159" s="7">
        <f>IF(AND(M158&gt;0.005,H158&lt;&gt;""),157,"")</f>
        <v/>
      </c>
      <c r="I159" s="8">
        <f>IF(H159&lt;&gt;"",EDATE(StartDate,156),"")</f>
        <v/>
      </c>
      <c r="J159" s="9">
        <f>IF(H159&lt;&gt;"",MIN(MonthlyPmt,M158+K159),"")</f>
        <v/>
      </c>
      <c r="K159" s="9">
        <f>IF(H159&lt;&gt;"",ROUND(M158*AnnualRate/12,2),"")</f>
        <v/>
      </c>
      <c r="L159" s="9">
        <f>IF(H159&lt;&gt;"",MIN(M158,(J159-K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M159" s="9">
        <f>IF(H159&lt;&gt;"",ROUND(M158-L159,2),"")</f>
        <v/>
      </c>
    </row>
    <row r="160">
      <c r="H160" s="11">
        <f>IF(AND(M159&gt;0.005,H159&lt;&gt;""),158,"")</f>
        <v/>
      </c>
      <c r="I160" s="12">
        <f>IF(H160&lt;&gt;"",EDATE(StartDate,157),"")</f>
        <v/>
      </c>
      <c r="J160" s="13">
        <f>IF(H160&lt;&gt;"",MIN(MonthlyPmt,M159+K160),"")</f>
        <v/>
      </c>
      <c r="K160" s="13">
        <f>IF(H160&lt;&gt;"",ROUND(M159*AnnualRate/12,2),"")</f>
        <v/>
      </c>
      <c r="L160" s="13">
        <f>IF(H160&lt;&gt;"",MIN(M159,(J160-K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M160" s="13">
        <f>IF(H160&lt;&gt;"",ROUND(M159-L160,2),"")</f>
        <v/>
      </c>
    </row>
    <row r="161">
      <c r="H161" s="7">
        <f>IF(AND(M160&gt;0.005,H160&lt;&gt;""),159,"")</f>
        <v/>
      </c>
      <c r="I161" s="8">
        <f>IF(H161&lt;&gt;"",EDATE(StartDate,158),"")</f>
        <v/>
      </c>
      <c r="J161" s="9">
        <f>IF(H161&lt;&gt;"",MIN(MonthlyPmt,M160+K161),"")</f>
        <v/>
      </c>
      <c r="K161" s="9">
        <f>IF(H161&lt;&gt;"",ROUND(M160*AnnualRate/12,2),"")</f>
        <v/>
      </c>
      <c r="L161" s="9">
        <f>IF(H161&lt;&gt;"",MIN(M160,(J161-K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M161" s="9">
        <f>IF(H161&lt;&gt;"",ROUND(M160-L161,2),"")</f>
        <v/>
      </c>
    </row>
    <row r="162">
      <c r="H162" s="11">
        <f>IF(AND(M161&gt;0.005,H161&lt;&gt;""),160,"")</f>
        <v/>
      </c>
      <c r="I162" s="12">
        <f>IF(H162&lt;&gt;"",EDATE(StartDate,159),"")</f>
        <v/>
      </c>
      <c r="J162" s="13">
        <f>IF(H162&lt;&gt;"",MIN(MonthlyPmt,M161+K162),"")</f>
        <v/>
      </c>
      <c r="K162" s="13">
        <f>IF(H162&lt;&gt;"",ROUND(M161*AnnualRate/12,2),"")</f>
        <v/>
      </c>
      <c r="L162" s="13">
        <f>IF(H162&lt;&gt;"",MIN(M161,(J162-K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M162" s="13">
        <f>IF(H162&lt;&gt;"",ROUND(M161-L162,2),"")</f>
        <v/>
      </c>
    </row>
    <row r="163">
      <c r="H163" s="7">
        <f>IF(AND(M162&gt;0.005,H162&lt;&gt;""),161,"")</f>
        <v/>
      </c>
      <c r="I163" s="8">
        <f>IF(H163&lt;&gt;"",EDATE(StartDate,160),"")</f>
        <v/>
      </c>
      <c r="J163" s="9">
        <f>IF(H163&lt;&gt;"",MIN(MonthlyPmt,M162+K163),"")</f>
        <v/>
      </c>
      <c r="K163" s="9">
        <f>IF(H163&lt;&gt;"",ROUND(M162*AnnualRate/12,2),"")</f>
        <v/>
      </c>
      <c r="L163" s="9">
        <f>IF(H163&lt;&gt;"",MIN(M162,(J163-K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M163" s="9">
        <f>IF(H163&lt;&gt;"",ROUND(M162-L163,2),"")</f>
        <v/>
      </c>
    </row>
    <row r="164">
      <c r="H164" s="11">
        <f>IF(AND(M163&gt;0.005,H163&lt;&gt;""),162,"")</f>
        <v/>
      </c>
      <c r="I164" s="12">
        <f>IF(H164&lt;&gt;"",EDATE(StartDate,161),"")</f>
        <v/>
      </c>
      <c r="J164" s="13">
        <f>IF(H164&lt;&gt;"",MIN(MonthlyPmt,M163+K164),"")</f>
        <v/>
      </c>
      <c r="K164" s="13">
        <f>IF(H164&lt;&gt;"",ROUND(M163*AnnualRate/12,2),"")</f>
        <v/>
      </c>
      <c r="L164" s="13">
        <f>IF(H164&lt;&gt;"",MIN(M163,(J164-K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M164" s="13">
        <f>IF(H164&lt;&gt;"",ROUND(M163-L164,2),"")</f>
        <v/>
      </c>
    </row>
    <row r="165">
      <c r="H165" s="7">
        <f>IF(AND(M164&gt;0.005,H164&lt;&gt;""),163,"")</f>
        <v/>
      </c>
      <c r="I165" s="8">
        <f>IF(H165&lt;&gt;"",EDATE(StartDate,162),"")</f>
        <v/>
      </c>
      <c r="J165" s="9">
        <f>IF(H165&lt;&gt;"",MIN(MonthlyPmt,M164+K165),"")</f>
        <v/>
      </c>
      <c r="K165" s="9">
        <f>IF(H165&lt;&gt;"",ROUND(M164*AnnualRate/12,2),"")</f>
        <v/>
      </c>
      <c r="L165" s="9">
        <f>IF(H165&lt;&gt;"",MIN(M164,(J165-K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M165" s="9">
        <f>IF(H165&lt;&gt;"",ROUND(M164-L165,2),"")</f>
        <v/>
      </c>
    </row>
    <row r="166">
      <c r="H166" s="11">
        <f>IF(AND(M165&gt;0.005,H165&lt;&gt;""),164,"")</f>
        <v/>
      </c>
      <c r="I166" s="12">
        <f>IF(H166&lt;&gt;"",EDATE(StartDate,163),"")</f>
        <v/>
      </c>
      <c r="J166" s="13">
        <f>IF(H166&lt;&gt;"",MIN(MonthlyPmt,M165+K166),"")</f>
        <v/>
      </c>
      <c r="K166" s="13">
        <f>IF(H166&lt;&gt;"",ROUND(M165*AnnualRate/12,2),"")</f>
        <v/>
      </c>
      <c r="L166" s="13">
        <f>IF(H166&lt;&gt;"",MIN(M165,(J166-K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M166" s="13">
        <f>IF(H166&lt;&gt;"",ROUND(M165-L166,2),"")</f>
        <v/>
      </c>
    </row>
    <row r="167">
      <c r="H167" s="7">
        <f>IF(AND(M166&gt;0.005,H166&lt;&gt;""),165,"")</f>
        <v/>
      </c>
      <c r="I167" s="8">
        <f>IF(H167&lt;&gt;"",EDATE(StartDate,164),"")</f>
        <v/>
      </c>
      <c r="J167" s="9">
        <f>IF(H167&lt;&gt;"",MIN(MonthlyPmt,M166+K167),"")</f>
        <v/>
      </c>
      <c r="K167" s="9">
        <f>IF(H167&lt;&gt;"",ROUND(M166*AnnualRate/12,2),"")</f>
        <v/>
      </c>
      <c r="L167" s="9">
        <f>IF(H167&lt;&gt;"",MIN(M166,(J167-K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M167" s="9">
        <f>IF(H167&lt;&gt;"",ROUND(M166-L167,2),"")</f>
        <v/>
      </c>
    </row>
    <row r="168">
      <c r="H168" s="11">
        <f>IF(AND(M167&gt;0.005,H167&lt;&gt;""),166,"")</f>
        <v/>
      </c>
      <c r="I168" s="12">
        <f>IF(H168&lt;&gt;"",EDATE(StartDate,165),"")</f>
        <v/>
      </c>
      <c r="J168" s="13">
        <f>IF(H168&lt;&gt;"",MIN(MonthlyPmt,M167+K168),"")</f>
        <v/>
      </c>
      <c r="K168" s="13">
        <f>IF(H168&lt;&gt;"",ROUND(M167*AnnualRate/12,2),"")</f>
        <v/>
      </c>
      <c r="L168" s="13">
        <f>IF(H168&lt;&gt;"",MIN(M167,(J168-K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M168" s="13">
        <f>IF(H168&lt;&gt;"",ROUND(M167-L168,2),"")</f>
        <v/>
      </c>
    </row>
    <row r="169">
      <c r="H169" s="7">
        <f>IF(AND(M168&gt;0.005,H168&lt;&gt;""),167,"")</f>
        <v/>
      </c>
      <c r="I169" s="8">
        <f>IF(H169&lt;&gt;"",EDATE(StartDate,166),"")</f>
        <v/>
      </c>
      <c r="J169" s="9">
        <f>IF(H169&lt;&gt;"",MIN(MonthlyPmt,M168+K169),"")</f>
        <v/>
      </c>
      <c r="K169" s="9">
        <f>IF(H169&lt;&gt;"",ROUND(M168*AnnualRate/12,2),"")</f>
        <v/>
      </c>
      <c r="L169" s="9">
        <f>IF(H169&lt;&gt;"",MIN(M168,(J169-K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M169" s="9">
        <f>IF(H169&lt;&gt;"",ROUND(M168-L169,2),"")</f>
        <v/>
      </c>
    </row>
    <row r="170">
      <c r="H170" s="11">
        <f>IF(AND(M169&gt;0.005,H169&lt;&gt;""),168,"")</f>
        <v/>
      </c>
      <c r="I170" s="12">
        <f>IF(H170&lt;&gt;"",EDATE(StartDate,167),"")</f>
        <v/>
      </c>
      <c r="J170" s="13">
        <f>IF(H170&lt;&gt;"",MIN(MonthlyPmt,M169+K170),"")</f>
        <v/>
      </c>
      <c r="K170" s="13">
        <f>IF(H170&lt;&gt;"",ROUND(M169*AnnualRate/12,2),"")</f>
        <v/>
      </c>
      <c r="L170" s="13">
        <f>IF(H170&lt;&gt;"",MIN(M169,(J170-K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M170" s="13">
        <f>IF(H170&lt;&gt;"",ROUND(M169-L170,2),"")</f>
        <v/>
      </c>
    </row>
    <row r="171">
      <c r="H171" s="7">
        <f>IF(AND(M170&gt;0.005,H170&lt;&gt;""),169,"")</f>
        <v/>
      </c>
      <c r="I171" s="8">
        <f>IF(H171&lt;&gt;"",EDATE(StartDate,168),"")</f>
        <v/>
      </c>
      <c r="J171" s="9">
        <f>IF(H171&lt;&gt;"",MIN(MonthlyPmt,M170+K171),"")</f>
        <v/>
      </c>
      <c r="K171" s="9">
        <f>IF(H171&lt;&gt;"",ROUND(M170*AnnualRate/12,2),"")</f>
        <v/>
      </c>
      <c r="L171" s="9">
        <f>IF(H171&lt;&gt;"",MIN(M170,(J171-K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M171" s="9">
        <f>IF(H171&lt;&gt;"",ROUND(M170-L171,2),"")</f>
        <v/>
      </c>
    </row>
    <row r="172">
      <c r="H172" s="11">
        <f>IF(AND(M171&gt;0.005,H171&lt;&gt;""),170,"")</f>
        <v/>
      </c>
      <c r="I172" s="12">
        <f>IF(H172&lt;&gt;"",EDATE(StartDate,169),"")</f>
        <v/>
      </c>
      <c r="J172" s="13">
        <f>IF(H172&lt;&gt;"",MIN(MonthlyPmt,M171+K172),"")</f>
        <v/>
      </c>
      <c r="K172" s="13">
        <f>IF(H172&lt;&gt;"",ROUND(M171*AnnualRate/12,2),"")</f>
        <v/>
      </c>
      <c r="L172" s="13">
        <f>IF(H172&lt;&gt;"",MIN(M171,(J172-K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M172" s="13">
        <f>IF(H172&lt;&gt;"",ROUND(M171-L172,2),"")</f>
        <v/>
      </c>
    </row>
    <row r="173">
      <c r="H173" s="7">
        <f>IF(AND(M172&gt;0.005,H172&lt;&gt;""),171,"")</f>
        <v/>
      </c>
      <c r="I173" s="8">
        <f>IF(H173&lt;&gt;"",EDATE(StartDate,170),"")</f>
        <v/>
      </c>
      <c r="J173" s="9">
        <f>IF(H173&lt;&gt;"",MIN(MonthlyPmt,M172+K173),"")</f>
        <v/>
      </c>
      <c r="K173" s="9">
        <f>IF(H173&lt;&gt;"",ROUND(M172*AnnualRate/12,2),"")</f>
        <v/>
      </c>
      <c r="L173" s="9">
        <f>IF(H173&lt;&gt;"",MIN(M172,(J173-K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M173" s="9">
        <f>IF(H173&lt;&gt;"",ROUND(M172-L173,2),"")</f>
        <v/>
      </c>
    </row>
    <row r="174">
      <c r="H174" s="11">
        <f>IF(AND(M173&gt;0.005,H173&lt;&gt;""),172,"")</f>
        <v/>
      </c>
      <c r="I174" s="12">
        <f>IF(H174&lt;&gt;"",EDATE(StartDate,171),"")</f>
        <v/>
      </c>
      <c r="J174" s="13">
        <f>IF(H174&lt;&gt;"",MIN(MonthlyPmt,M173+K174),"")</f>
        <v/>
      </c>
      <c r="K174" s="13">
        <f>IF(H174&lt;&gt;"",ROUND(M173*AnnualRate/12,2),"")</f>
        <v/>
      </c>
      <c r="L174" s="13">
        <f>IF(H174&lt;&gt;"",MIN(M173,(J174-K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M174" s="13">
        <f>IF(H174&lt;&gt;"",ROUND(M173-L174,2),"")</f>
        <v/>
      </c>
    </row>
    <row r="175">
      <c r="H175" s="7">
        <f>IF(AND(M174&gt;0.005,H174&lt;&gt;""),173,"")</f>
        <v/>
      </c>
      <c r="I175" s="8">
        <f>IF(H175&lt;&gt;"",EDATE(StartDate,172),"")</f>
        <v/>
      </c>
      <c r="J175" s="9">
        <f>IF(H175&lt;&gt;"",MIN(MonthlyPmt,M174+K175),"")</f>
        <v/>
      </c>
      <c r="K175" s="9">
        <f>IF(H175&lt;&gt;"",ROUND(M174*AnnualRate/12,2),"")</f>
        <v/>
      </c>
      <c r="L175" s="9">
        <f>IF(H175&lt;&gt;"",MIN(M174,(J175-K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M175" s="9">
        <f>IF(H175&lt;&gt;"",ROUND(M174-L175,2),"")</f>
        <v/>
      </c>
    </row>
    <row r="176">
      <c r="H176" s="11">
        <f>IF(AND(M175&gt;0.005,H175&lt;&gt;""),174,"")</f>
        <v/>
      </c>
      <c r="I176" s="12">
        <f>IF(H176&lt;&gt;"",EDATE(StartDate,173),"")</f>
        <v/>
      </c>
      <c r="J176" s="13">
        <f>IF(H176&lt;&gt;"",MIN(MonthlyPmt,M175+K176),"")</f>
        <v/>
      </c>
      <c r="K176" s="13">
        <f>IF(H176&lt;&gt;"",ROUND(M175*AnnualRate/12,2),"")</f>
        <v/>
      </c>
      <c r="L176" s="13">
        <f>IF(H176&lt;&gt;"",MIN(M175,(J176-K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M176" s="13">
        <f>IF(H176&lt;&gt;"",ROUND(M175-L176,2),"")</f>
        <v/>
      </c>
    </row>
    <row r="177">
      <c r="H177" s="7">
        <f>IF(AND(M176&gt;0.005,H176&lt;&gt;""),175,"")</f>
        <v/>
      </c>
      <c r="I177" s="8">
        <f>IF(H177&lt;&gt;"",EDATE(StartDate,174),"")</f>
        <v/>
      </c>
      <c r="J177" s="9">
        <f>IF(H177&lt;&gt;"",MIN(MonthlyPmt,M176+K177),"")</f>
        <v/>
      </c>
      <c r="K177" s="9">
        <f>IF(H177&lt;&gt;"",ROUND(M176*AnnualRate/12,2),"")</f>
        <v/>
      </c>
      <c r="L177" s="9">
        <f>IF(H177&lt;&gt;"",MIN(M176,(J177-K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M177" s="9">
        <f>IF(H177&lt;&gt;"",ROUND(M176-L177,2),"")</f>
        <v/>
      </c>
    </row>
    <row r="178">
      <c r="H178" s="11">
        <f>IF(AND(M177&gt;0.005,H177&lt;&gt;""),176,"")</f>
        <v/>
      </c>
      <c r="I178" s="12">
        <f>IF(H178&lt;&gt;"",EDATE(StartDate,175),"")</f>
        <v/>
      </c>
      <c r="J178" s="13">
        <f>IF(H178&lt;&gt;"",MIN(MonthlyPmt,M177+K178),"")</f>
        <v/>
      </c>
      <c r="K178" s="13">
        <f>IF(H178&lt;&gt;"",ROUND(M177*AnnualRate/12,2),"")</f>
        <v/>
      </c>
      <c r="L178" s="13">
        <f>IF(H178&lt;&gt;"",MIN(M177,(J178-K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M178" s="13">
        <f>IF(H178&lt;&gt;"",ROUND(M177-L178,2),"")</f>
        <v/>
      </c>
    </row>
    <row r="179">
      <c r="H179" s="7">
        <f>IF(AND(M178&gt;0.005,H178&lt;&gt;""),177,"")</f>
        <v/>
      </c>
      <c r="I179" s="8">
        <f>IF(H179&lt;&gt;"",EDATE(StartDate,176),"")</f>
        <v/>
      </c>
      <c r="J179" s="9">
        <f>IF(H179&lt;&gt;"",MIN(MonthlyPmt,M178+K179),"")</f>
        <v/>
      </c>
      <c r="K179" s="9">
        <f>IF(H179&lt;&gt;"",ROUND(M178*AnnualRate/12,2),"")</f>
        <v/>
      </c>
      <c r="L179" s="9">
        <f>IF(H179&lt;&gt;"",MIN(M178,(J179-K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M179" s="9">
        <f>IF(H179&lt;&gt;"",ROUND(M178-L179,2),"")</f>
        <v/>
      </c>
    </row>
    <row r="180">
      <c r="H180" s="11">
        <f>IF(AND(M179&gt;0.005,H179&lt;&gt;""),178,"")</f>
        <v/>
      </c>
      <c r="I180" s="12">
        <f>IF(H180&lt;&gt;"",EDATE(StartDate,177),"")</f>
        <v/>
      </c>
      <c r="J180" s="13">
        <f>IF(H180&lt;&gt;"",MIN(MonthlyPmt,M179+K180),"")</f>
        <v/>
      </c>
      <c r="K180" s="13">
        <f>IF(H180&lt;&gt;"",ROUND(M179*AnnualRate/12,2),"")</f>
        <v/>
      </c>
      <c r="L180" s="13">
        <f>IF(H180&lt;&gt;"",MIN(M179,(J180-K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M180" s="13">
        <f>IF(H180&lt;&gt;"",ROUND(M179-L180,2),"")</f>
        <v/>
      </c>
    </row>
    <row r="181">
      <c r="H181" s="7">
        <f>IF(AND(M180&gt;0.005,H180&lt;&gt;""),179,"")</f>
        <v/>
      </c>
      <c r="I181" s="8">
        <f>IF(H181&lt;&gt;"",EDATE(StartDate,178),"")</f>
        <v/>
      </c>
      <c r="J181" s="9">
        <f>IF(H181&lt;&gt;"",MIN(MonthlyPmt,M180+K181),"")</f>
        <v/>
      </c>
      <c r="K181" s="9">
        <f>IF(H181&lt;&gt;"",ROUND(M180*AnnualRate/12,2),"")</f>
        <v/>
      </c>
      <c r="L181" s="9">
        <f>IF(H181&lt;&gt;"",MIN(M180,(J181-K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M181" s="9">
        <f>IF(H181&lt;&gt;"",ROUND(M180-L181,2),"")</f>
        <v/>
      </c>
    </row>
    <row r="182">
      <c r="H182" s="11">
        <f>IF(AND(M181&gt;0.005,H181&lt;&gt;""),180,"")</f>
        <v/>
      </c>
      <c r="I182" s="12">
        <f>IF(H182&lt;&gt;"",EDATE(StartDate,179),"")</f>
        <v/>
      </c>
      <c r="J182" s="13">
        <f>IF(H182&lt;&gt;"",MIN(MonthlyPmt,M181+K182),"")</f>
        <v/>
      </c>
      <c r="K182" s="13">
        <f>IF(H182&lt;&gt;"",ROUND(M181*AnnualRate/12,2),"")</f>
        <v/>
      </c>
      <c r="L182" s="13">
        <f>IF(H182&lt;&gt;"",MIN(M181,(J182-K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M182" s="13">
        <f>IF(H182&lt;&gt;"",ROUND(M181-L182,2),"")</f>
        <v/>
      </c>
    </row>
    <row r="183">
      <c r="H183" s="7">
        <f>IF(AND(M182&gt;0.005,H182&lt;&gt;""),181,"")</f>
        <v/>
      </c>
      <c r="I183" s="8">
        <f>IF(H183&lt;&gt;"",EDATE(StartDate,180),"")</f>
        <v/>
      </c>
      <c r="J183" s="9">
        <f>IF(H183&lt;&gt;"",MIN(MonthlyPmt,M182+K183),"")</f>
        <v/>
      </c>
      <c r="K183" s="9">
        <f>IF(H183&lt;&gt;"",ROUND(M182*AnnualRate/12,2),"")</f>
        <v/>
      </c>
      <c r="L183" s="9">
        <f>IF(H183&lt;&gt;"",MIN(M182,(J183-K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M183" s="9">
        <f>IF(H183&lt;&gt;"",ROUND(M182-L183,2),"")</f>
        <v/>
      </c>
    </row>
    <row r="184">
      <c r="H184" s="11">
        <f>IF(AND(M183&gt;0.005,H183&lt;&gt;""),182,"")</f>
        <v/>
      </c>
      <c r="I184" s="12">
        <f>IF(H184&lt;&gt;"",EDATE(StartDate,181),"")</f>
        <v/>
      </c>
      <c r="J184" s="13">
        <f>IF(H184&lt;&gt;"",MIN(MonthlyPmt,M183+K184),"")</f>
        <v/>
      </c>
      <c r="K184" s="13">
        <f>IF(H184&lt;&gt;"",ROUND(M183*AnnualRate/12,2),"")</f>
        <v/>
      </c>
      <c r="L184" s="13">
        <f>IF(H184&lt;&gt;"",MIN(M183,(J184-K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M184" s="13">
        <f>IF(H184&lt;&gt;"",ROUND(M183-L184,2),"")</f>
        <v/>
      </c>
    </row>
    <row r="185">
      <c r="H185" s="7">
        <f>IF(AND(M184&gt;0.005,H184&lt;&gt;""),183,"")</f>
        <v/>
      </c>
      <c r="I185" s="8">
        <f>IF(H185&lt;&gt;"",EDATE(StartDate,182),"")</f>
        <v/>
      </c>
      <c r="J185" s="9">
        <f>IF(H185&lt;&gt;"",MIN(MonthlyPmt,M184+K185),"")</f>
        <v/>
      </c>
      <c r="K185" s="9">
        <f>IF(H185&lt;&gt;"",ROUND(M184*AnnualRate/12,2),"")</f>
        <v/>
      </c>
      <c r="L185" s="9">
        <f>IF(H185&lt;&gt;"",MIN(M184,(J185-K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M185" s="9">
        <f>IF(H185&lt;&gt;"",ROUND(M184-L185,2),"")</f>
        <v/>
      </c>
    </row>
    <row r="186">
      <c r="H186" s="11">
        <f>IF(AND(M185&gt;0.005,H185&lt;&gt;""),184,"")</f>
        <v/>
      </c>
      <c r="I186" s="12">
        <f>IF(H186&lt;&gt;"",EDATE(StartDate,183),"")</f>
        <v/>
      </c>
      <c r="J186" s="13">
        <f>IF(H186&lt;&gt;"",MIN(MonthlyPmt,M185+K186),"")</f>
        <v/>
      </c>
      <c r="K186" s="13">
        <f>IF(H186&lt;&gt;"",ROUND(M185*AnnualRate/12,2),"")</f>
        <v/>
      </c>
      <c r="L186" s="13">
        <f>IF(H186&lt;&gt;"",MIN(M185,(J186-K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M186" s="13">
        <f>IF(H186&lt;&gt;"",ROUND(M185-L186,2),"")</f>
        <v/>
      </c>
    </row>
    <row r="187">
      <c r="H187" s="7">
        <f>IF(AND(M186&gt;0.005,H186&lt;&gt;""),185,"")</f>
        <v/>
      </c>
      <c r="I187" s="8">
        <f>IF(H187&lt;&gt;"",EDATE(StartDate,184),"")</f>
        <v/>
      </c>
      <c r="J187" s="9">
        <f>IF(H187&lt;&gt;"",MIN(MonthlyPmt,M186+K187),"")</f>
        <v/>
      </c>
      <c r="K187" s="9">
        <f>IF(H187&lt;&gt;"",ROUND(M186*AnnualRate/12,2),"")</f>
        <v/>
      </c>
      <c r="L187" s="9">
        <f>IF(H187&lt;&gt;"",MIN(M186,(J187-K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M187" s="9">
        <f>IF(H187&lt;&gt;"",ROUND(M186-L187,2),"")</f>
        <v/>
      </c>
    </row>
    <row r="188">
      <c r="H188" s="11">
        <f>IF(AND(M187&gt;0.005,H187&lt;&gt;""),186,"")</f>
        <v/>
      </c>
      <c r="I188" s="12">
        <f>IF(H188&lt;&gt;"",EDATE(StartDate,185),"")</f>
        <v/>
      </c>
      <c r="J188" s="13">
        <f>IF(H188&lt;&gt;"",MIN(MonthlyPmt,M187+K188),"")</f>
        <v/>
      </c>
      <c r="K188" s="13">
        <f>IF(H188&lt;&gt;"",ROUND(M187*AnnualRate/12,2),"")</f>
        <v/>
      </c>
      <c r="L188" s="13">
        <f>IF(H188&lt;&gt;"",MIN(M187,(J188-K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M188" s="13">
        <f>IF(H188&lt;&gt;"",ROUND(M187-L188,2),"")</f>
        <v/>
      </c>
    </row>
    <row r="189">
      <c r="H189" s="7">
        <f>IF(AND(M188&gt;0.005,H188&lt;&gt;""),187,"")</f>
        <v/>
      </c>
      <c r="I189" s="8">
        <f>IF(H189&lt;&gt;"",EDATE(StartDate,186),"")</f>
        <v/>
      </c>
      <c r="J189" s="9">
        <f>IF(H189&lt;&gt;"",MIN(MonthlyPmt,M188+K189),"")</f>
        <v/>
      </c>
      <c r="K189" s="9">
        <f>IF(H189&lt;&gt;"",ROUND(M188*AnnualRate/12,2),"")</f>
        <v/>
      </c>
      <c r="L189" s="9">
        <f>IF(H189&lt;&gt;"",MIN(M188,(J189-K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M189" s="9">
        <f>IF(H189&lt;&gt;"",ROUND(M188-L189,2),"")</f>
        <v/>
      </c>
    </row>
    <row r="190">
      <c r="H190" s="11">
        <f>IF(AND(M189&gt;0.005,H189&lt;&gt;""),188,"")</f>
        <v/>
      </c>
      <c r="I190" s="12">
        <f>IF(H190&lt;&gt;"",EDATE(StartDate,187),"")</f>
        <v/>
      </c>
      <c r="J190" s="13">
        <f>IF(H190&lt;&gt;"",MIN(MonthlyPmt,M189+K190),"")</f>
        <v/>
      </c>
      <c r="K190" s="13">
        <f>IF(H190&lt;&gt;"",ROUND(M189*AnnualRate/12,2),"")</f>
        <v/>
      </c>
      <c r="L190" s="13">
        <f>IF(H190&lt;&gt;"",MIN(M189,(J190-K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M190" s="13">
        <f>IF(H190&lt;&gt;"",ROUND(M189-L190,2),"")</f>
        <v/>
      </c>
    </row>
    <row r="191">
      <c r="H191" s="7">
        <f>IF(AND(M190&gt;0.005,H190&lt;&gt;""),189,"")</f>
        <v/>
      </c>
      <c r="I191" s="8">
        <f>IF(H191&lt;&gt;"",EDATE(StartDate,188),"")</f>
        <v/>
      </c>
      <c r="J191" s="9">
        <f>IF(H191&lt;&gt;"",MIN(MonthlyPmt,M190+K191),"")</f>
        <v/>
      </c>
      <c r="K191" s="9">
        <f>IF(H191&lt;&gt;"",ROUND(M190*AnnualRate/12,2),"")</f>
        <v/>
      </c>
      <c r="L191" s="9">
        <f>IF(H191&lt;&gt;"",MIN(M190,(J191-K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M191" s="9">
        <f>IF(H191&lt;&gt;"",ROUND(M190-L191,2),"")</f>
        <v/>
      </c>
    </row>
    <row r="192">
      <c r="H192" s="11">
        <f>IF(AND(M191&gt;0.005,H191&lt;&gt;""),190,"")</f>
        <v/>
      </c>
      <c r="I192" s="12">
        <f>IF(H192&lt;&gt;"",EDATE(StartDate,189),"")</f>
        <v/>
      </c>
      <c r="J192" s="13">
        <f>IF(H192&lt;&gt;"",MIN(MonthlyPmt,M191+K192),"")</f>
        <v/>
      </c>
      <c r="K192" s="13">
        <f>IF(H192&lt;&gt;"",ROUND(M191*AnnualRate/12,2),"")</f>
        <v/>
      </c>
      <c r="L192" s="13">
        <f>IF(H192&lt;&gt;"",MIN(M191,(J192-K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M192" s="13">
        <f>IF(H192&lt;&gt;"",ROUND(M191-L192,2),"")</f>
        <v/>
      </c>
    </row>
    <row r="193">
      <c r="H193" s="7">
        <f>IF(AND(M192&gt;0.005,H192&lt;&gt;""),191,"")</f>
        <v/>
      </c>
      <c r="I193" s="8">
        <f>IF(H193&lt;&gt;"",EDATE(StartDate,190),"")</f>
        <v/>
      </c>
      <c r="J193" s="9">
        <f>IF(H193&lt;&gt;"",MIN(MonthlyPmt,M192+K193),"")</f>
        <v/>
      </c>
      <c r="K193" s="9">
        <f>IF(H193&lt;&gt;"",ROUND(M192*AnnualRate/12,2),"")</f>
        <v/>
      </c>
      <c r="L193" s="9">
        <f>IF(H193&lt;&gt;"",MIN(M192,(J193-K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M193" s="9">
        <f>IF(H193&lt;&gt;"",ROUND(M192-L193,2),"")</f>
        <v/>
      </c>
    </row>
    <row r="194">
      <c r="H194" s="11">
        <f>IF(AND(M193&gt;0.005,H193&lt;&gt;""),192,"")</f>
        <v/>
      </c>
      <c r="I194" s="12">
        <f>IF(H194&lt;&gt;"",EDATE(StartDate,191),"")</f>
        <v/>
      </c>
      <c r="J194" s="13">
        <f>IF(H194&lt;&gt;"",MIN(MonthlyPmt,M193+K194),"")</f>
        <v/>
      </c>
      <c r="K194" s="13">
        <f>IF(H194&lt;&gt;"",ROUND(M193*AnnualRate/12,2),"")</f>
        <v/>
      </c>
      <c r="L194" s="13">
        <f>IF(H194&lt;&gt;"",MIN(M193,(J194-K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M194" s="13">
        <f>IF(H194&lt;&gt;"",ROUND(M193-L194,2),"")</f>
        <v/>
      </c>
    </row>
    <row r="195">
      <c r="H195" s="7">
        <f>IF(AND(M194&gt;0.005,H194&lt;&gt;""),193,"")</f>
        <v/>
      </c>
      <c r="I195" s="8">
        <f>IF(H195&lt;&gt;"",EDATE(StartDate,192),"")</f>
        <v/>
      </c>
      <c r="J195" s="9">
        <f>IF(H195&lt;&gt;"",MIN(MonthlyPmt,M194+K195),"")</f>
        <v/>
      </c>
      <c r="K195" s="9">
        <f>IF(H195&lt;&gt;"",ROUND(M194*AnnualRate/12,2),"")</f>
        <v/>
      </c>
      <c r="L195" s="9">
        <f>IF(H195&lt;&gt;"",MIN(M194,(J195-K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M195" s="9">
        <f>IF(H195&lt;&gt;"",ROUND(M194-L195,2),"")</f>
        <v/>
      </c>
    </row>
    <row r="196">
      <c r="H196" s="11">
        <f>IF(AND(M195&gt;0.005,H195&lt;&gt;""),194,"")</f>
        <v/>
      </c>
      <c r="I196" s="12">
        <f>IF(H196&lt;&gt;"",EDATE(StartDate,193),"")</f>
        <v/>
      </c>
      <c r="J196" s="13">
        <f>IF(H196&lt;&gt;"",MIN(MonthlyPmt,M195+K196),"")</f>
        <v/>
      </c>
      <c r="K196" s="13">
        <f>IF(H196&lt;&gt;"",ROUND(M195*AnnualRate/12,2),"")</f>
        <v/>
      </c>
      <c r="L196" s="13">
        <f>IF(H196&lt;&gt;"",MIN(M195,(J196-K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M196" s="13">
        <f>IF(H196&lt;&gt;"",ROUND(M195-L196,2),"")</f>
        <v/>
      </c>
    </row>
    <row r="197">
      <c r="H197" s="7">
        <f>IF(AND(M196&gt;0.005,H196&lt;&gt;""),195,"")</f>
        <v/>
      </c>
      <c r="I197" s="8">
        <f>IF(H197&lt;&gt;"",EDATE(StartDate,194),"")</f>
        <v/>
      </c>
      <c r="J197" s="9">
        <f>IF(H197&lt;&gt;"",MIN(MonthlyPmt,M196+K197),"")</f>
        <v/>
      </c>
      <c r="K197" s="9">
        <f>IF(H197&lt;&gt;"",ROUND(M196*AnnualRate/12,2),"")</f>
        <v/>
      </c>
      <c r="L197" s="9">
        <f>IF(H197&lt;&gt;"",MIN(M196,(J197-K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M197" s="9">
        <f>IF(H197&lt;&gt;"",ROUND(M196-L197,2),"")</f>
        <v/>
      </c>
    </row>
    <row r="198">
      <c r="H198" s="11">
        <f>IF(AND(M197&gt;0.005,H197&lt;&gt;""),196,"")</f>
        <v/>
      </c>
      <c r="I198" s="12">
        <f>IF(H198&lt;&gt;"",EDATE(StartDate,195),"")</f>
        <v/>
      </c>
      <c r="J198" s="13">
        <f>IF(H198&lt;&gt;"",MIN(MonthlyPmt,M197+K198),"")</f>
        <v/>
      </c>
      <c r="K198" s="13">
        <f>IF(H198&lt;&gt;"",ROUND(M197*AnnualRate/12,2),"")</f>
        <v/>
      </c>
      <c r="L198" s="13">
        <f>IF(H198&lt;&gt;"",MIN(M197,(J198-K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M198" s="13">
        <f>IF(H198&lt;&gt;"",ROUND(M197-L198,2),"")</f>
        <v/>
      </c>
    </row>
    <row r="199">
      <c r="H199" s="7">
        <f>IF(AND(M198&gt;0.005,H198&lt;&gt;""),197,"")</f>
        <v/>
      </c>
      <c r="I199" s="8">
        <f>IF(H199&lt;&gt;"",EDATE(StartDate,196),"")</f>
        <v/>
      </c>
      <c r="J199" s="9">
        <f>IF(H199&lt;&gt;"",MIN(MonthlyPmt,M198+K199),"")</f>
        <v/>
      </c>
      <c r="K199" s="9">
        <f>IF(H199&lt;&gt;"",ROUND(M198*AnnualRate/12,2),"")</f>
        <v/>
      </c>
      <c r="L199" s="9">
        <f>IF(H199&lt;&gt;"",MIN(M198,(J199-K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M199" s="9">
        <f>IF(H199&lt;&gt;"",ROUND(M198-L199,2),"")</f>
        <v/>
      </c>
    </row>
    <row r="200">
      <c r="H200" s="11">
        <f>IF(AND(M199&gt;0.005,H199&lt;&gt;""),198,"")</f>
        <v/>
      </c>
      <c r="I200" s="12">
        <f>IF(H200&lt;&gt;"",EDATE(StartDate,197),"")</f>
        <v/>
      </c>
      <c r="J200" s="13">
        <f>IF(H200&lt;&gt;"",MIN(MonthlyPmt,M199+K200),"")</f>
        <v/>
      </c>
      <c r="K200" s="13">
        <f>IF(H200&lt;&gt;"",ROUND(M199*AnnualRate/12,2),"")</f>
        <v/>
      </c>
      <c r="L200" s="13">
        <f>IF(H200&lt;&gt;"",MIN(M199,(J200-K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M200" s="13">
        <f>IF(H200&lt;&gt;"",ROUND(M199-L200,2),"")</f>
        <v/>
      </c>
    </row>
    <row r="201">
      <c r="H201" s="7">
        <f>IF(AND(M200&gt;0.005,H200&lt;&gt;""),199,"")</f>
        <v/>
      </c>
      <c r="I201" s="8">
        <f>IF(H201&lt;&gt;"",EDATE(StartDate,198),"")</f>
        <v/>
      </c>
      <c r="J201" s="9">
        <f>IF(H201&lt;&gt;"",MIN(MonthlyPmt,M200+K201),"")</f>
        <v/>
      </c>
      <c r="K201" s="9">
        <f>IF(H201&lt;&gt;"",ROUND(M200*AnnualRate/12,2),"")</f>
        <v/>
      </c>
      <c r="L201" s="9">
        <f>IF(H201&lt;&gt;"",MIN(M200,(J201-K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M201" s="9">
        <f>IF(H201&lt;&gt;"",ROUND(M200-L201,2),"")</f>
        <v/>
      </c>
    </row>
    <row r="202">
      <c r="H202" s="11">
        <f>IF(AND(M201&gt;0.005,H201&lt;&gt;""),200,"")</f>
        <v/>
      </c>
      <c r="I202" s="12">
        <f>IF(H202&lt;&gt;"",EDATE(StartDate,199),"")</f>
        <v/>
      </c>
      <c r="J202" s="13">
        <f>IF(H202&lt;&gt;"",MIN(MonthlyPmt,M201+K202),"")</f>
        <v/>
      </c>
      <c r="K202" s="13">
        <f>IF(H202&lt;&gt;"",ROUND(M201*AnnualRate/12,2),"")</f>
        <v/>
      </c>
      <c r="L202" s="13">
        <f>IF(H202&lt;&gt;"",MIN(M201,(J202-K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M202" s="13">
        <f>IF(H202&lt;&gt;"",ROUND(M201-L202,2),"")</f>
        <v/>
      </c>
    </row>
    <row r="203">
      <c r="H203" s="7">
        <f>IF(AND(M202&gt;0.005,H202&lt;&gt;""),201,"")</f>
        <v/>
      </c>
      <c r="I203" s="8">
        <f>IF(H203&lt;&gt;"",EDATE(StartDate,200),"")</f>
        <v/>
      </c>
      <c r="J203" s="9">
        <f>IF(H203&lt;&gt;"",MIN(MonthlyPmt,M202+K203),"")</f>
        <v/>
      </c>
      <c r="K203" s="9">
        <f>IF(H203&lt;&gt;"",ROUND(M202*AnnualRate/12,2),"")</f>
        <v/>
      </c>
      <c r="L203" s="9">
        <f>IF(H203&lt;&gt;"",MIN(M202,(J203-K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M203" s="9">
        <f>IF(H203&lt;&gt;"",ROUND(M202-L203,2),"")</f>
        <v/>
      </c>
    </row>
    <row r="204">
      <c r="H204" s="11">
        <f>IF(AND(M203&gt;0.005,H203&lt;&gt;""),202,"")</f>
        <v/>
      </c>
      <c r="I204" s="12">
        <f>IF(H204&lt;&gt;"",EDATE(StartDate,201),"")</f>
        <v/>
      </c>
      <c r="J204" s="13">
        <f>IF(H204&lt;&gt;"",MIN(MonthlyPmt,M203+K204),"")</f>
        <v/>
      </c>
      <c r="K204" s="13">
        <f>IF(H204&lt;&gt;"",ROUND(M203*AnnualRate/12,2),"")</f>
        <v/>
      </c>
      <c r="L204" s="13">
        <f>IF(H204&lt;&gt;"",MIN(M203,(J204-K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M204" s="13">
        <f>IF(H204&lt;&gt;"",ROUND(M203-L204,2),"")</f>
        <v/>
      </c>
    </row>
    <row r="205">
      <c r="H205" s="7">
        <f>IF(AND(M204&gt;0.005,H204&lt;&gt;""),203,"")</f>
        <v/>
      </c>
      <c r="I205" s="8">
        <f>IF(H205&lt;&gt;"",EDATE(StartDate,202),"")</f>
        <v/>
      </c>
      <c r="J205" s="9">
        <f>IF(H205&lt;&gt;"",MIN(MonthlyPmt,M204+K205),"")</f>
        <v/>
      </c>
      <c r="K205" s="9">
        <f>IF(H205&lt;&gt;"",ROUND(M204*AnnualRate/12,2),"")</f>
        <v/>
      </c>
      <c r="L205" s="9">
        <f>IF(H205&lt;&gt;"",MIN(M204,(J205-K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M205" s="9">
        <f>IF(H205&lt;&gt;"",ROUND(M204-L205,2),"")</f>
        <v/>
      </c>
    </row>
    <row r="206">
      <c r="H206" s="11">
        <f>IF(AND(M205&gt;0.005,H205&lt;&gt;""),204,"")</f>
        <v/>
      </c>
      <c r="I206" s="12">
        <f>IF(H206&lt;&gt;"",EDATE(StartDate,203),"")</f>
        <v/>
      </c>
      <c r="J206" s="13">
        <f>IF(H206&lt;&gt;"",MIN(MonthlyPmt,M205+K206),"")</f>
        <v/>
      </c>
      <c r="K206" s="13">
        <f>IF(H206&lt;&gt;"",ROUND(M205*AnnualRate/12,2),"")</f>
        <v/>
      </c>
      <c r="L206" s="13">
        <f>IF(H206&lt;&gt;"",MIN(M205,(J206-K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M206" s="13">
        <f>IF(H206&lt;&gt;"",ROUND(M205-L206,2),"")</f>
        <v/>
      </c>
    </row>
    <row r="207">
      <c r="H207" s="7">
        <f>IF(AND(M206&gt;0.005,H206&lt;&gt;""),205,"")</f>
        <v/>
      </c>
      <c r="I207" s="8">
        <f>IF(H207&lt;&gt;"",EDATE(StartDate,204),"")</f>
        <v/>
      </c>
      <c r="J207" s="9">
        <f>IF(H207&lt;&gt;"",MIN(MonthlyPmt,M206+K207),"")</f>
        <v/>
      </c>
      <c r="K207" s="9">
        <f>IF(H207&lt;&gt;"",ROUND(M206*AnnualRate/12,2),"")</f>
        <v/>
      </c>
      <c r="L207" s="9">
        <f>IF(H207&lt;&gt;"",MIN(M206,(J207-K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M207" s="9">
        <f>IF(H207&lt;&gt;"",ROUND(M206-L207,2),"")</f>
        <v/>
      </c>
    </row>
    <row r="208">
      <c r="H208" s="11">
        <f>IF(AND(M207&gt;0.005,H207&lt;&gt;""),206,"")</f>
        <v/>
      </c>
      <c r="I208" s="12">
        <f>IF(H208&lt;&gt;"",EDATE(StartDate,205),"")</f>
        <v/>
      </c>
      <c r="J208" s="13">
        <f>IF(H208&lt;&gt;"",MIN(MonthlyPmt,M207+K208),"")</f>
        <v/>
      </c>
      <c r="K208" s="13">
        <f>IF(H208&lt;&gt;"",ROUND(M207*AnnualRate/12,2),"")</f>
        <v/>
      </c>
      <c r="L208" s="13">
        <f>IF(H208&lt;&gt;"",MIN(M207,(J208-K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M208" s="13">
        <f>IF(H208&lt;&gt;"",ROUND(M207-L208,2),"")</f>
        <v/>
      </c>
    </row>
    <row r="209">
      <c r="H209" s="7">
        <f>IF(AND(M208&gt;0.005,H208&lt;&gt;""),207,"")</f>
        <v/>
      </c>
      <c r="I209" s="8">
        <f>IF(H209&lt;&gt;"",EDATE(StartDate,206),"")</f>
        <v/>
      </c>
      <c r="J209" s="9">
        <f>IF(H209&lt;&gt;"",MIN(MonthlyPmt,M208+K209),"")</f>
        <v/>
      </c>
      <c r="K209" s="9">
        <f>IF(H209&lt;&gt;"",ROUND(M208*AnnualRate/12,2),"")</f>
        <v/>
      </c>
      <c r="L209" s="9">
        <f>IF(H209&lt;&gt;"",MIN(M208,(J209-K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M209" s="9">
        <f>IF(H209&lt;&gt;"",ROUND(M208-L209,2),"")</f>
        <v/>
      </c>
    </row>
    <row r="210">
      <c r="H210" s="11">
        <f>IF(AND(M209&gt;0.005,H209&lt;&gt;""),208,"")</f>
        <v/>
      </c>
      <c r="I210" s="12">
        <f>IF(H210&lt;&gt;"",EDATE(StartDate,207),"")</f>
        <v/>
      </c>
      <c r="J210" s="13">
        <f>IF(H210&lt;&gt;"",MIN(MonthlyPmt,M209+K210),"")</f>
        <v/>
      </c>
      <c r="K210" s="13">
        <f>IF(H210&lt;&gt;"",ROUND(M209*AnnualRate/12,2),"")</f>
        <v/>
      </c>
      <c r="L210" s="13">
        <f>IF(H210&lt;&gt;"",MIN(M209,(J210-K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M210" s="13">
        <f>IF(H210&lt;&gt;"",ROUND(M209-L210,2),"")</f>
        <v/>
      </c>
    </row>
    <row r="211">
      <c r="H211" s="7">
        <f>IF(AND(M210&gt;0.005,H210&lt;&gt;""),209,"")</f>
        <v/>
      </c>
      <c r="I211" s="8">
        <f>IF(H211&lt;&gt;"",EDATE(StartDate,208),"")</f>
        <v/>
      </c>
      <c r="J211" s="9">
        <f>IF(H211&lt;&gt;"",MIN(MonthlyPmt,M210+K211),"")</f>
        <v/>
      </c>
      <c r="K211" s="9">
        <f>IF(H211&lt;&gt;"",ROUND(M210*AnnualRate/12,2),"")</f>
        <v/>
      </c>
      <c r="L211" s="9">
        <f>IF(H211&lt;&gt;"",MIN(M210,(J211-K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M211" s="9">
        <f>IF(H211&lt;&gt;"",ROUND(M210-L211,2),"")</f>
        <v/>
      </c>
    </row>
    <row r="212">
      <c r="H212" s="11">
        <f>IF(AND(M211&gt;0.005,H211&lt;&gt;""),210,"")</f>
        <v/>
      </c>
      <c r="I212" s="12">
        <f>IF(H212&lt;&gt;"",EDATE(StartDate,209),"")</f>
        <v/>
      </c>
      <c r="J212" s="13">
        <f>IF(H212&lt;&gt;"",MIN(MonthlyPmt,M211+K212),"")</f>
        <v/>
      </c>
      <c r="K212" s="13">
        <f>IF(H212&lt;&gt;"",ROUND(M211*AnnualRate/12,2),"")</f>
        <v/>
      </c>
      <c r="L212" s="13">
        <f>IF(H212&lt;&gt;"",MIN(M211,(J212-K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M212" s="13">
        <f>IF(H212&lt;&gt;"",ROUND(M211-L212,2),"")</f>
        <v/>
      </c>
    </row>
    <row r="213">
      <c r="H213" s="7">
        <f>IF(AND(M212&gt;0.005,H212&lt;&gt;""),211,"")</f>
        <v/>
      </c>
      <c r="I213" s="8">
        <f>IF(H213&lt;&gt;"",EDATE(StartDate,210),"")</f>
        <v/>
      </c>
      <c r="J213" s="9">
        <f>IF(H213&lt;&gt;"",MIN(MonthlyPmt,M212+K213),"")</f>
        <v/>
      </c>
      <c r="K213" s="9">
        <f>IF(H213&lt;&gt;"",ROUND(M212*AnnualRate/12,2),"")</f>
        <v/>
      </c>
      <c r="L213" s="9">
        <f>IF(H213&lt;&gt;"",MIN(M212,(J213-K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M213" s="9">
        <f>IF(H213&lt;&gt;"",ROUND(M212-L213,2),"")</f>
        <v/>
      </c>
    </row>
    <row r="214">
      <c r="H214" s="11">
        <f>IF(AND(M213&gt;0.005,H213&lt;&gt;""),212,"")</f>
        <v/>
      </c>
      <c r="I214" s="12">
        <f>IF(H214&lt;&gt;"",EDATE(StartDate,211),"")</f>
        <v/>
      </c>
      <c r="J214" s="13">
        <f>IF(H214&lt;&gt;"",MIN(MonthlyPmt,M213+K214),"")</f>
        <v/>
      </c>
      <c r="K214" s="13">
        <f>IF(H214&lt;&gt;"",ROUND(M213*AnnualRate/12,2),"")</f>
        <v/>
      </c>
      <c r="L214" s="13">
        <f>IF(H214&lt;&gt;"",MIN(M213,(J214-K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M214" s="13">
        <f>IF(H214&lt;&gt;"",ROUND(M213-L214,2),"")</f>
        <v/>
      </c>
    </row>
    <row r="215">
      <c r="H215" s="7">
        <f>IF(AND(M214&gt;0.005,H214&lt;&gt;""),213,"")</f>
        <v/>
      </c>
      <c r="I215" s="8">
        <f>IF(H215&lt;&gt;"",EDATE(StartDate,212),"")</f>
        <v/>
      </c>
      <c r="J215" s="9">
        <f>IF(H215&lt;&gt;"",MIN(MonthlyPmt,M214+K215),"")</f>
        <v/>
      </c>
      <c r="K215" s="9">
        <f>IF(H215&lt;&gt;"",ROUND(M214*AnnualRate/12,2),"")</f>
        <v/>
      </c>
      <c r="L215" s="9">
        <f>IF(H215&lt;&gt;"",MIN(M214,(J215-K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M215" s="9">
        <f>IF(H215&lt;&gt;"",ROUND(M214-L215,2),"")</f>
        <v/>
      </c>
    </row>
    <row r="216">
      <c r="H216" s="11">
        <f>IF(AND(M215&gt;0.005,H215&lt;&gt;""),214,"")</f>
        <v/>
      </c>
      <c r="I216" s="12">
        <f>IF(H216&lt;&gt;"",EDATE(StartDate,213),"")</f>
        <v/>
      </c>
      <c r="J216" s="13">
        <f>IF(H216&lt;&gt;"",MIN(MonthlyPmt,M215+K216),"")</f>
        <v/>
      </c>
      <c r="K216" s="13">
        <f>IF(H216&lt;&gt;"",ROUND(M215*AnnualRate/12,2),"")</f>
        <v/>
      </c>
      <c r="L216" s="13">
        <f>IF(H216&lt;&gt;"",MIN(M215,(J216-K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M216" s="13">
        <f>IF(H216&lt;&gt;"",ROUND(M215-L216,2),"")</f>
        <v/>
      </c>
    </row>
    <row r="217">
      <c r="H217" s="7">
        <f>IF(AND(M216&gt;0.005,H216&lt;&gt;""),215,"")</f>
        <v/>
      </c>
      <c r="I217" s="8">
        <f>IF(H217&lt;&gt;"",EDATE(StartDate,214),"")</f>
        <v/>
      </c>
      <c r="J217" s="9">
        <f>IF(H217&lt;&gt;"",MIN(MonthlyPmt,M216+K217),"")</f>
        <v/>
      </c>
      <c r="K217" s="9">
        <f>IF(H217&lt;&gt;"",ROUND(M216*AnnualRate/12,2),"")</f>
        <v/>
      </c>
      <c r="L217" s="9">
        <f>IF(H217&lt;&gt;"",MIN(M216,(J217-K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M217" s="9">
        <f>IF(H217&lt;&gt;"",ROUND(M216-L217,2),"")</f>
        <v/>
      </c>
    </row>
    <row r="218">
      <c r="H218" s="11">
        <f>IF(AND(M217&gt;0.005,H217&lt;&gt;""),216,"")</f>
        <v/>
      </c>
      <c r="I218" s="12">
        <f>IF(H218&lt;&gt;"",EDATE(StartDate,215),"")</f>
        <v/>
      </c>
      <c r="J218" s="13">
        <f>IF(H218&lt;&gt;"",MIN(MonthlyPmt,M217+K218),"")</f>
        <v/>
      </c>
      <c r="K218" s="13">
        <f>IF(H218&lt;&gt;"",ROUND(M217*AnnualRate/12,2),"")</f>
        <v/>
      </c>
      <c r="L218" s="13">
        <f>IF(H218&lt;&gt;"",MIN(M217,(J218-K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M218" s="13">
        <f>IF(H218&lt;&gt;"",ROUND(M217-L218,2),"")</f>
        <v/>
      </c>
    </row>
    <row r="219">
      <c r="H219" s="7">
        <f>IF(AND(M218&gt;0.005,H218&lt;&gt;""),217,"")</f>
        <v/>
      </c>
      <c r="I219" s="8">
        <f>IF(H219&lt;&gt;"",EDATE(StartDate,216),"")</f>
        <v/>
      </c>
      <c r="J219" s="9">
        <f>IF(H219&lt;&gt;"",MIN(MonthlyPmt,M218+K219),"")</f>
        <v/>
      </c>
      <c r="K219" s="9">
        <f>IF(H219&lt;&gt;"",ROUND(M218*AnnualRate/12,2),"")</f>
        <v/>
      </c>
      <c r="L219" s="9">
        <f>IF(H219&lt;&gt;"",MIN(M218,(J219-K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M219" s="9">
        <f>IF(H219&lt;&gt;"",ROUND(M218-L219,2),"")</f>
        <v/>
      </c>
    </row>
    <row r="220">
      <c r="H220" s="11">
        <f>IF(AND(M219&gt;0.005,H219&lt;&gt;""),218,"")</f>
        <v/>
      </c>
      <c r="I220" s="12">
        <f>IF(H220&lt;&gt;"",EDATE(StartDate,217),"")</f>
        <v/>
      </c>
      <c r="J220" s="13">
        <f>IF(H220&lt;&gt;"",MIN(MonthlyPmt,M219+K220),"")</f>
        <v/>
      </c>
      <c r="K220" s="13">
        <f>IF(H220&lt;&gt;"",ROUND(M219*AnnualRate/12,2),"")</f>
        <v/>
      </c>
      <c r="L220" s="13">
        <f>IF(H220&lt;&gt;"",MIN(M219,(J220-K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M220" s="13">
        <f>IF(H220&lt;&gt;"",ROUND(M219-L220,2),"")</f>
        <v/>
      </c>
    </row>
    <row r="221">
      <c r="H221" s="7">
        <f>IF(AND(M220&gt;0.005,H220&lt;&gt;""),219,"")</f>
        <v/>
      </c>
      <c r="I221" s="8">
        <f>IF(H221&lt;&gt;"",EDATE(StartDate,218),"")</f>
        <v/>
      </c>
      <c r="J221" s="9">
        <f>IF(H221&lt;&gt;"",MIN(MonthlyPmt,M220+K221),"")</f>
        <v/>
      </c>
      <c r="K221" s="9">
        <f>IF(H221&lt;&gt;"",ROUND(M220*AnnualRate/12,2),"")</f>
        <v/>
      </c>
      <c r="L221" s="9">
        <f>IF(H221&lt;&gt;"",MIN(M220,(J221-K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M221" s="9">
        <f>IF(H221&lt;&gt;"",ROUND(M220-L221,2),"")</f>
        <v/>
      </c>
    </row>
    <row r="222">
      <c r="H222" s="11">
        <f>IF(AND(M221&gt;0.005,H221&lt;&gt;""),220,"")</f>
        <v/>
      </c>
      <c r="I222" s="12">
        <f>IF(H222&lt;&gt;"",EDATE(StartDate,219),"")</f>
        <v/>
      </c>
      <c r="J222" s="13">
        <f>IF(H222&lt;&gt;"",MIN(MonthlyPmt,M221+K222),"")</f>
        <v/>
      </c>
      <c r="K222" s="13">
        <f>IF(H222&lt;&gt;"",ROUND(M221*AnnualRate/12,2),"")</f>
        <v/>
      </c>
      <c r="L222" s="13">
        <f>IF(H222&lt;&gt;"",MIN(M221,(J222-K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M222" s="13">
        <f>IF(H222&lt;&gt;"",ROUND(M221-L222,2),"")</f>
        <v/>
      </c>
    </row>
    <row r="223">
      <c r="H223" s="7">
        <f>IF(AND(M222&gt;0.005,H222&lt;&gt;""),221,"")</f>
        <v/>
      </c>
      <c r="I223" s="8">
        <f>IF(H223&lt;&gt;"",EDATE(StartDate,220),"")</f>
        <v/>
      </c>
      <c r="J223" s="9">
        <f>IF(H223&lt;&gt;"",MIN(MonthlyPmt,M222+K223),"")</f>
        <v/>
      </c>
      <c r="K223" s="9">
        <f>IF(H223&lt;&gt;"",ROUND(M222*AnnualRate/12,2),"")</f>
        <v/>
      </c>
      <c r="L223" s="9">
        <f>IF(H223&lt;&gt;"",MIN(M222,(J223-K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M223" s="9">
        <f>IF(H223&lt;&gt;"",ROUND(M222-L223,2),"")</f>
        <v/>
      </c>
    </row>
    <row r="224">
      <c r="H224" s="11">
        <f>IF(AND(M223&gt;0.005,H223&lt;&gt;""),222,"")</f>
        <v/>
      </c>
      <c r="I224" s="12">
        <f>IF(H224&lt;&gt;"",EDATE(StartDate,221),"")</f>
        <v/>
      </c>
      <c r="J224" s="13">
        <f>IF(H224&lt;&gt;"",MIN(MonthlyPmt,M223+K224),"")</f>
        <v/>
      </c>
      <c r="K224" s="13">
        <f>IF(H224&lt;&gt;"",ROUND(M223*AnnualRate/12,2),"")</f>
        <v/>
      </c>
      <c r="L224" s="13">
        <f>IF(H224&lt;&gt;"",MIN(M223,(J224-K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M224" s="13">
        <f>IF(H224&lt;&gt;"",ROUND(M223-L224,2),"")</f>
        <v/>
      </c>
    </row>
    <row r="225">
      <c r="H225" s="7">
        <f>IF(AND(M224&gt;0.005,H224&lt;&gt;""),223,"")</f>
        <v/>
      </c>
      <c r="I225" s="8">
        <f>IF(H225&lt;&gt;"",EDATE(StartDate,222),"")</f>
        <v/>
      </c>
      <c r="J225" s="9">
        <f>IF(H225&lt;&gt;"",MIN(MonthlyPmt,M224+K225),"")</f>
        <v/>
      </c>
      <c r="K225" s="9">
        <f>IF(H225&lt;&gt;"",ROUND(M224*AnnualRate/12,2),"")</f>
        <v/>
      </c>
      <c r="L225" s="9">
        <f>IF(H225&lt;&gt;"",MIN(M224,(J225-K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M225" s="9">
        <f>IF(H225&lt;&gt;"",ROUND(M224-L225,2),"")</f>
        <v/>
      </c>
    </row>
    <row r="226">
      <c r="H226" s="11">
        <f>IF(AND(M225&gt;0.005,H225&lt;&gt;""),224,"")</f>
        <v/>
      </c>
      <c r="I226" s="12">
        <f>IF(H226&lt;&gt;"",EDATE(StartDate,223),"")</f>
        <v/>
      </c>
      <c r="J226" s="13">
        <f>IF(H226&lt;&gt;"",MIN(MonthlyPmt,M225+K226),"")</f>
        <v/>
      </c>
      <c r="K226" s="13">
        <f>IF(H226&lt;&gt;"",ROUND(M225*AnnualRate/12,2),"")</f>
        <v/>
      </c>
      <c r="L226" s="13">
        <f>IF(H226&lt;&gt;"",MIN(M225,(J226-K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M226" s="13">
        <f>IF(H226&lt;&gt;"",ROUND(M225-L226,2),"")</f>
        <v/>
      </c>
    </row>
    <row r="227">
      <c r="H227" s="7">
        <f>IF(AND(M226&gt;0.005,H226&lt;&gt;""),225,"")</f>
        <v/>
      </c>
      <c r="I227" s="8">
        <f>IF(H227&lt;&gt;"",EDATE(StartDate,224),"")</f>
        <v/>
      </c>
      <c r="J227" s="9">
        <f>IF(H227&lt;&gt;"",MIN(MonthlyPmt,M226+K227),"")</f>
        <v/>
      </c>
      <c r="K227" s="9">
        <f>IF(H227&lt;&gt;"",ROUND(M226*AnnualRate/12,2),"")</f>
        <v/>
      </c>
      <c r="L227" s="9">
        <f>IF(H227&lt;&gt;"",MIN(M226,(J227-K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M227" s="9">
        <f>IF(H227&lt;&gt;"",ROUND(M226-L227,2),"")</f>
        <v/>
      </c>
    </row>
    <row r="228">
      <c r="H228" s="11">
        <f>IF(AND(M227&gt;0.005,H227&lt;&gt;""),226,"")</f>
        <v/>
      </c>
      <c r="I228" s="12">
        <f>IF(H228&lt;&gt;"",EDATE(StartDate,225),"")</f>
        <v/>
      </c>
      <c r="J228" s="13">
        <f>IF(H228&lt;&gt;"",MIN(MonthlyPmt,M227+K228),"")</f>
        <v/>
      </c>
      <c r="K228" s="13">
        <f>IF(H228&lt;&gt;"",ROUND(M227*AnnualRate/12,2),"")</f>
        <v/>
      </c>
      <c r="L228" s="13">
        <f>IF(H228&lt;&gt;"",MIN(M227,(J228-K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M228" s="13">
        <f>IF(H228&lt;&gt;"",ROUND(M227-L228,2),"")</f>
        <v/>
      </c>
    </row>
    <row r="229">
      <c r="H229" s="7">
        <f>IF(AND(M228&gt;0.005,H228&lt;&gt;""),227,"")</f>
        <v/>
      </c>
      <c r="I229" s="8">
        <f>IF(H229&lt;&gt;"",EDATE(StartDate,226),"")</f>
        <v/>
      </c>
      <c r="J229" s="9">
        <f>IF(H229&lt;&gt;"",MIN(MonthlyPmt,M228+K229),"")</f>
        <v/>
      </c>
      <c r="K229" s="9">
        <f>IF(H229&lt;&gt;"",ROUND(M228*AnnualRate/12,2),"")</f>
        <v/>
      </c>
      <c r="L229" s="9">
        <f>IF(H229&lt;&gt;"",MIN(M228,(J229-K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M229" s="9">
        <f>IF(H229&lt;&gt;"",ROUND(M228-L229,2),"")</f>
        <v/>
      </c>
    </row>
    <row r="230">
      <c r="H230" s="11">
        <f>IF(AND(M229&gt;0.005,H229&lt;&gt;""),228,"")</f>
        <v/>
      </c>
      <c r="I230" s="12">
        <f>IF(H230&lt;&gt;"",EDATE(StartDate,227),"")</f>
        <v/>
      </c>
      <c r="J230" s="13">
        <f>IF(H230&lt;&gt;"",MIN(MonthlyPmt,M229+K230),"")</f>
        <v/>
      </c>
      <c r="K230" s="13">
        <f>IF(H230&lt;&gt;"",ROUND(M229*AnnualRate/12,2),"")</f>
        <v/>
      </c>
      <c r="L230" s="13">
        <f>IF(H230&lt;&gt;"",MIN(M229,(J230-K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M230" s="13">
        <f>IF(H230&lt;&gt;"",ROUND(M229-L230,2),"")</f>
        <v/>
      </c>
    </row>
    <row r="231">
      <c r="H231" s="7">
        <f>IF(AND(M230&gt;0.005,H230&lt;&gt;""),229,"")</f>
        <v/>
      </c>
      <c r="I231" s="8">
        <f>IF(H231&lt;&gt;"",EDATE(StartDate,228),"")</f>
        <v/>
      </c>
      <c r="J231" s="9">
        <f>IF(H231&lt;&gt;"",MIN(MonthlyPmt,M230+K231),"")</f>
        <v/>
      </c>
      <c r="K231" s="9">
        <f>IF(H231&lt;&gt;"",ROUND(M230*AnnualRate/12,2),"")</f>
        <v/>
      </c>
      <c r="L231" s="9">
        <f>IF(H231&lt;&gt;"",MIN(M230,(J231-K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M231" s="9">
        <f>IF(H231&lt;&gt;"",ROUND(M230-L231,2),"")</f>
        <v/>
      </c>
    </row>
    <row r="232">
      <c r="H232" s="11">
        <f>IF(AND(M231&gt;0.005,H231&lt;&gt;""),230,"")</f>
        <v/>
      </c>
      <c r="I232" s="12">
        <f>IF(H232&lt;&gt;"",EDATE(StartDate,229),"")</f>
        <v/>
      </c>
      <c r="J232" s="13">
        <f>IF(H232&lt;&gt;"",MIN(MonthlyPmt,M231+K232),"")</f>
        <v/>
      </c>
      <c r="K232" s="13">
        <f>IF(H232&lt;&gt;"",ROUND(M231*AnnualRate/12,2),"")</f>
        <v/>
      </c>
      <c r="L232" s="13">
        <f>IF(H232&lt;&gt;"",MIN(M231,(J232-K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M232" s="13">
        <f>IF(H232&lt;&gt;"",ROUND(M231-L232,2),"")</f>
        <v/>
      </c>
    </row>
    <row r="233">
      <c r="H233" s="7">
        <f>IF(AND(M232&gt;0.005,H232&lt;&gt;""),231,"")</f>
        <v/>
      </c>
      <c r="I233" s="8">
        <f>IF(H233&lt;&gt;"",EDATE(StartDate,230),"")</f>
        <v/>
      </c>
      <c r="J233" s="9">
        <f>IF(H233&lt;&gt;"",MIN(MonthlyPmt,M232+K233),"")</f>
        <v/>
      </c>
      <c r="K233" s="9">
        <f>IF(H233&lt;&gt;"",ROUND(M232*AnnualRate/12,2),"")</f>
        <v/>
      </c>
      <c r="L233" s="9">
        <f>IF(H233&lt;&gt;"",MIN(M232,(J233-K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M233" s="9">
        <f>IF(H233&lt;&gt;"",ROUND(M232-L233,2),"")</f>
        <v/>
      </c>
    </row>
    <row r="234">
      <c r="H234" s="11">
        <f>IF(AND(M233&gt;0.005,H233&lt;&gt;""),232,"")</f>
        <v/>
      </c>
      <c r="I234" s="12">
        <f>IF(H234&lt;&gt;"",EDATE(StartDate,231),"")</f>
        <v/>
      </c>
      <c r="J234" s="13">
        <f>IF(H234&lt;&gt;"",MIN(MonthlyPmt,M233+K234),"")</f>
        <v/>
      </c>
      <c r="K234" s="13">
        <f>IF(H234&lt;&gt;"",ROUND(M233*AnnualRate/12,2),"")</f>
        <v/>
      </c>
      <c r="L234" s="13">
        <f>IF(H234&lt;&gt;"",MIN(M233,(J234-K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M234" s="13">
        <f>IF(H234&lt;&gt;"",ROUND(M233-L234,2),"")</f>
        <v/>
      </c>
    </row>
    <row r="235">
      <c r="H235" s="7">
        <f>IF(AND(M234&gt;0.005,H234&lt;&gt;""),233,"")</f>
        <v/>
      </c>
      <c r="I235" s="8">
        <f>IF(H235&lt;&gt;"",EDATE(StartDate,232),"")</f>
        <v/>
      </c>
      <c r="J235" s="9">
        <f>IF(H235&lt;&gt;"",MIN(MonthlyPmt,M234+K235),"")</f>
        <v/>
      </c>
      <c r="K235" s="9">
        <f>IF(H235&lt;&gt;"",ROUND(M234*AnnualRate/12,2),"")</f>
        <v/>
      </c>
      <c r="L235" s="9">
        <f>IF(H235&lt;&gt;"",MIN(M234,(J235-K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M235" s="9">
        <f>IF(H235&lt;&gt;"",ROUND(M234-L235,2),"")</f>
        <v/>
      </c>
    </row>
    <row r="236">
      <c r="H236" s="11">
        <f>IF(AND(M235&gt;0.005,H235&lt;&gt;""),234,"")</f>
        <v/>
      </c>
      <c r="I236" s="12">
        <f>IF(H236&lt;&gt;"",EDATE(StartDate,233),"")</f>
        <v/>
      </c>
      <c r="J236" s="13">
        <f>IF(H236&lt;&gt;"",MIN(MonthlyPmt,M235+K236),"")</f>
        <v/>
      </c>
      <c r="K236" s="13">
        <f>IF(H236&lt;&gt;"",ROUND(M235*AnnualRate/12,2),"")</f>
        <v/>
      </c>
      <c r="L236" s="13">
        <f>IF(H236&lt;&gt;"",MIN(M235,(J236-K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M236" s="13">
        <f>IF(H236&lt;&gt;"",ROUND(M235-L236,2),"")</f>
        <v/>
      </c>
    </row>
    <row r="237">
      <c r="H237" s="7">
        <f>IF(AND(M236&gt;0.005,H236&lt;&gt;""),235,"")</f>
        <v/>
      </c>
      <c r="I237" s="8">
        <f>IF(H237&lt;&gt;"",EDATE(StartDate,234),"")</f>
        <v/>
      </c>
      <c r="J237" s="9">
        <f>IF(H237&lt;&gt;"",MIN(MonthlyPmt,M236+K237),"")</f>
        <v/>
      </c>
      <c r="K237" s="9">
        <f>IF(H237&lt;&gt;"",ROUND(M236*AnnualRate/12,2),"")</f>
        <v/>
      </c>
      <c r="L237" s="9">
        <f>IF(H237&lt;&gt;"",MIN(M236,(J237-K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M237" s="9">
        <f>IF(H237&lt;&gt;"",ROUND(M236-L237,2),"")</f>
        <v/>
      </c>
    </row>
    <row r="238">
      <c r="H238" s="11">
        <f>IF(AND(M237&gt;0.005,H237&lt;&gt;""),236,"")</f>
        <v/>
      </c>
      <c r="I238" s="12">
        <f>IF(H238&lt;&gt;"",EDATE(StartDate,235),"")</f>
        <v/>
      </c>
      <c r="J238" s="13">
        <f>IF(H238&lt;&gt;"",MIN(MonthlyPmt,M237+K238),"")</f>
        <v/>
      </c>
      <c r="K238" s="13">
        <f>IF(H238&lt;&gt;"",ROUND(M237*AnnualRate/12,2),"")</f>
        <v/>
      </c>
      <c r="L238" s="13">
        <f>IF(H238&lt;&gt;"",MIN(M237,(J238-K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M238" s="13">
        <f>IF(H238&lt;&gt;"",ROUND(M237-L238,2),"")</f>
        <v/>
      </c>
    </row>
    <row r="239">
      <c r="H239" s="7">
        <f>IF(AND(M238&gt;0.005,H238&lt;&gt;""),237,"")</f>
        <v/>
      </c>
      <c r="I239" s="8">
        <f>IF(H239&lt;&gt;"",EDATE(StartDate,236),"")</f>
        <v/>
      </c>
      <c r="J239" s="9">
        <f>IF(H239&lt;&gt;"",MIN(MonthlyPmt,M238+K239),"")</f>
        <v/>
      </c>
      <c r="K239" s="9">
        <f>IF(H239&lt;&gt;"",ROUND(M238*AnnualRate/12,2),"")</f>
        <v/>
      </c>
      <c r="L239" s="9">
        <f>IF(H239&lt;&gt;"",MIN(M238,(J239-K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M239" s="9">
        <f>IF(H239&lt;&gt;"",ROUND(M238-L239,2),"")</f>
        <v/>
      </c>
    </row>
    <row r="240">
      <c r="H240" s="11">
        <f>IF(AND(M239&gt;0.005,H239&lt;&gt;""),238,"")</f>
        <v/>
      </c>
      <c r="I240" s="12">
        <f>IF(H240&lt;&gt;"",EDATE(StartDate,237),"")</f>
        <v/>
      </c>
      <c r="J240" s="13">
        <f>IF(H240&lt;&gt;"",MIN(MonthlyPmt,M239+K240),"")</f>
        <v/>
      </c>
      <c r="K240" s="13">
        <f>IF(H240&lt;&gt;"",ROUND(M239*AnnualRate/12,2),"")</f>
        <v/>
      </c>
      <c r="L240" s="13">
        <f>IF(H240&lt;&gt;"",MIN(M239,(J240-K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M240" s="13">
        <f>IF(H240&lt;&gt;"",ROUND(M239-L240,2),"")</f>
        <v/>
      </c>
    </row>
    <row r="241">
      <c r="H241" s="7">
        <f>IF(AND(M240&gt;0.005,H240&lt;&gt;""),239,"")</f>
        <v/>
      </c>
      <c r="I241" s="8">
        <f>IF(H241&lt;&gt;"",EDATE(StartDate,238),"")</f>
        <v/>
      </c>
      <c r="J241" s="9">
        <f>IF(H241&lt;&gt;"",MIN(MonthlyPmt,M240+K241),"")</f>
        <v/>
      </c>
      <c r="K241" s="9">
        <f>IF(H241&lt;&gt;"",ROUND(M240*AnnualRate/12,2),"")</f>
        <v/>
      </c>
      <c r="L241" s="9">
        <f>IF(H241&lt;&gt;"",MIN(M240,(J241-K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M241" s="9">
        <f>IF(H241&lt;&gt;"",ROUND(M240-L241,2),"")</f>
        <v/>
      </c>
    </row>
    <row r="242">
      <c r="H242" s="11">
        <f>IF(AND(M241&gt;0.005,H241&lt;&gt;""),240,"")</f>
        <v/>
      </c>
      <c r="I242" s="12">
        <f>IF(H242&lt;&gt;"",EDATE(StartDate,239),"")</f>
        <v/>
      </c>
      <c r="J242" s="13">
        <f>IF(H242&lt;&gt;"",MIN(MonthlyPmt,M241+K242),"")</f>
        <v/>
      </c>
      <c r="K242" s="13">
        <f>IF(H242&lt;&gt;"",ROUND(M241*AnnualRate/12,2),"")</f>
        <v/>
      </c>
      <c r="L242" s="13">
        <f>IF(H242&lt;&gt;"",MIN(M241,(J242-K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M242" s="13">
        <f>IF(H242&lt;&gt;"",ROUND(M241-L242,2),"")</f>
        <v/>
      </c>
    </row>
    <row r="243">
      <c r="H243" s="7">
        <f>IF(AND(M242&gt;0.005,H242&lt;&gt;""),241,"")</f>
        <v/>
      </c>
      <c r="I243" s="8">
        <f>IF(H243&lt;&gt;"",EDATE(StartDate,240),"")</f>
        <v/>
      </c>
      <c r="J243" s="9">
        <f>IF(H243&lt;&gt;"",MIN(MonthlyPmt,M242+K243),"")</f>
        <v/>
      </c>
      <c r="K243" s="9">
        <f>IF(H243&lt;&gt;"",ROUND(M242*AnnualRate/12,2),"")</f>
        <v/>
      </c>
      <c r="L243" s="9">
        <f>IF(H243&lt;&gt;"",MIN(M242,(J243-K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M243" s="9">
        <f>IF(H243&lt;&gt;"",ROUND(M242-L243,2),"")</f>
        <v/>
      </c>
    </row>
    <row r="244">
      <c r="H244" s="11">
        <f>IF(AND(M243&gt;0.005,H243&lt;&gt;""),242,"")</f>
        <v/>
      </c>
      <c r="I244" s="12">
        <f>IF(H244&lt;&gt;"",EDATE(StartDate,241),"")</f>
        <v/>
      </c>
      <c r="J244" s="13">
        <f>IF(H244&lt;&gt;"",MIN(MonthlyPmt,M243+K244),"")</f>
        <v/>
      </c>
      <c r="K244" s="13">
        <f>IF(H244&lt;&gt;"",ROUND(M243*AnnualRate/12,2),"")</f>
        <v/>
      </c>
      <c r="L244" s="13">
        <f>IF(H244&lt;&gt;"",MIN(M243,(J244-K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M244" s="13">
        <f>IF(H244&lt;&gt;"",ROUND(M243-L244,2),"")</f>
        <v/>
      </c>
    </row>
    <row r="245">
      <c r="H245" s="7">
        <f>IF(AND(M244&gt;0.005,H244&lt;&gt;""),243,"")</f>
        <v/>
      </c>
      <c r="I245" s="8">
        <f>IF(H245&lt;&gt;"",EDATE(StartDate,242),"")</f>
        <v/>
      </c>
      <c r="J245" s="9">
        <f>IF(H245&lt;&gt;"",MIN(MonthlyPmt,M244+K245),"")</f>
        <v/>
      </c>
      <c r="K245" s="9">
        <f>IF(H245&lt;&gt;"",ROUND(M244*AnnualRate/12,2),"")</f>
        <v/>
      </c>
      <c r="L245" s="9">
        <f>IF(H245&lt;&gt;"",MIN(M244,(J245-K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M245" s="9">
        <f>IF(H245&lt;&gt;"",ROUND(M244-L245,2),"")</f>
        <v/>
      </c>
    </row>
    <row r="246">
      <c r="H246" s="11">
        <f>IF(AND(M245&gt;0.005,H245&lt;&gt;""),244,"")</f>
        <v/>
      </c>
      <c r="I246" s="12">
        <f>IF(H246&lt;&gt;"",EDATE(StartDate,243),"")</f>
        <v/>
      </c>
      <c r="J246" s="13">
        <f>IF(H246&lt;&gt;"",MIN(MonthlyPmt,M245+K246),"")</f>
        <v/>
      </c>
      <c r="K246" s="13">
        <f>IF(H246&lt;&gt;"",ROUND(M245*AnnualRate/12,2),"")</f>
        <v/>
      </c>
      <c r="L246" s="13">
        <f>IF(H246&lt;&gt;"",MIN(M245,(J246-K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M246" s="13">
        <f>IF(H246&lt;&gt;"",ROUND(M245-L246,2),"")</f>
        <v/>
      </c>
    </row>
    <row r="247">
      <c r="H247" s="7">
        <f>IF(AND(M246&gt;0.005,H246&lt;&gt;""),245,"")</f>
        <v/>
      </c>
      <c r="I247" s="8">
        <f>IF(H247&lt;&gt;"",EDATE(StartDate,244),"")</f>
        <v/>
      </c>
      <c r="J247" s="9">
        <f>IF(H247&lt;&gt;"",MIN(MonthlyPmt,M246+K247),"")</f>
        <v/>
      </c>
      <c r="K247" s="9">
        <f>IF(H247&lt;&gt;"",ROUND(M246*AnnualRate/12,2),"")</f>
        <v/>
      </c>
      <c r="L247" s="9">
        <f>IF(H247&lt;&gt;"",MIN(M246,(J247-K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M247" s="9">
        <f>IF(H247&lt;&gt;"",ROUND(M246-L247,2),"")</f>
        <v/>
      </c>
    </row>
    <row r="248">
      <c r="H248" s="11">
        <f>IF(AND(M247&gt;0.005,H247&lt;&gt;""),246,"")</f>
        <v/>
      </c>
      <c r="I248" s="12">
        <f>IF(H248&lt;&gt;"",EDATE(StartDate,245),"")</f>
        <v/>
      </c>
      <c r="J248" s="13">
        <f>IF(H248&lt;&gt;"",MIN(MonthlyPmt,M247+K248),"")</f>
        <v/>
      </c>
      <c r="K248" s="13">
        <f>IF(H248&lt;&gt;"",ROUND(M247*AnnualRate/12,2),"")</f>
        <v/>
      </c>
      <c r="L248" s="13">
        <f>IF(H248&lt;&gt;"",MIN(M247,(J248-K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M248" s="13">
        <f>IF(H248&lt;&gt;"",ROUND(M247-L248,2),"")</f>
        <v/>
      </c>
    </row>
    <row r="249">
      <c r="H249" s="7">
        <f>IF(AND(M248&gt;0.005,H248&lt;&gt;""),247,"")</f>
        <v/>
      </c>
      <c r="I249" s="8">
        <f>IF(H249&lt;&gt;"",EDATE(StartDate,246),"")</f>
        <v/>
      </c>
      <c r="J249" s="9">
        <f>IF(H249&lt;&gt;"",MIN(MonthlyPmt,M248+K249),"")</f>
        <v/>
      </c>
      <c r="K249" s="9">
        <f>IF(H249&lt;&gt;"",ROUND(M248*AnnualRate/12,2),"")</f>
        <v/>
      </c>
      <c r="L249" s="9">
        <f>IF(H249&lt;&gt;"",MIN(M248,(J249-K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M249" s="9">
        <f>IF(H249&lt;&gt;"",ROUND(M248-L249,2),"")</f>
        <v/>
      </c>
    </row>
    <row r="250">
      <c r="H250" s="11">
        <f>IF(AND(M249&gt;0.005,H249&lt;&gt;""),248,"")</f>
        <v/>
      </c>
      <c r="I250" s="12">
        <f>IF(H250&lt;&gt;"",EDATE(StartDate,247),"")</f>
        <v/>
      </c>
      <c r="J250" s="13">
        <f>IF(H250&lt;&gt;"",MIN(MonthlyPmt,M249+K250),"")</f>
        <v/>
      </c>
      <c r="K250" s="13">
        <f>IF(H250&lt;&gt;"",ROUND(M249*AnnualRate/12,2),"")</f>
        <v/>
      </c>
      <c r="L250" s="13">
        <f>IF(H250&lt;&gt;"",MIN(M249,(J250-K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M250" s="13">
        <f>IF(H250&lt;&gt;"",ROUND(M249-L250,2),"")</f>
        <v/>
      </c>
    </row>
    <row r="251">
      <c r="H251" s="7">
        <f>IF(AND(M250&gt;0.005,H250&lt;&gt;""),249,"")</f>
        <v/>
      </c>
      <c r="I251" s="8">
        <f>IF(H251&lt;&gt;"",EDATE(StartDate,248),"")</f>
        <v/>
      </c>
      <c r="J251" s="9">
        <f>IF(H251&lt;&gt;"",MIN(MonthlyPmt,M250+K251),"")</f>
        <v/>
      </c>
      <c r="K251" s="9">
        <f>IF(H251&lt;&gt;"",ROUND(M250*AnnualRate/12,2),"")</f>
        <v/>
      </c>
      <c r="L251" s="9">
        <f>IF(H251&lt;&gt;"",MIN(M250,(J251-K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M251" s="9">
        <f>IF(H251&lt;&gt;"",ROUND(M250-L251,2),"")</f>
        <v/>
      </c>
    </row>
    <row r="252">
      <c r="H252" s="11">
        <f>IF(AND(M251&gt;0.005,H251&lt;&gt;""),250,"")</f>
        <v/>
      </c>
      <c r="I252" s="12">
        <f>IF(H252&lt;&gt;"",EDATE(StartDate,249),"")</f>
        <v/>
      </c>
      <c r="J252" s="13">
        <f>IF(H252&lt;&gt;"",MIN(MonthlyPmt,M251+K252),"")</f>
        <v/>
      </c>
      <c r="K252" s="13">
        <f>IF(H252&lt;&gt;"",ROUND(M251*AnnualRate/12,2),"")</f>
        <v/>
      </c>
      <c r="L252" s="13">
        <f>IF(H252&lt;&gt;"",MIN(M251,(J252-K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M252" s="13">
        <f>IF(H252&lt;&gt;"",ROUND(M251-L252,2),"")</f>
        <v/>
      </c>
    </row>
    <row r="253">
      <c r="H253" s="7">
        <f>IF(AND(M252&gt;0.005,H252&lt;&gt;""),251,"")</f>
        <v/>
      </c>
      <c r="I253" s="8">
        <f>IF(H253&lt;&gt;"",EDATE(StartDate,250),"")</f>
        <v/>
      </c>
      <c r="J253" s="9">
        <f>IF(H253&lt;&gt;"",MIN(MonthlyPmt,M252+K253),"")</f>
        <v/>
      </c>
      <c r="K253" s="9">
        <f>IF(H253&lt;&gt;"",ROUND(M252*AnnualRate/12,2),"")</f>
        <v/>
      </c>
      <c r="L253" s="9">
        <f>IF(H253&lt;&gt;"",MIN(M252,(J253-K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M253" s="9">
        <f>IF(H253&lt;&gt;"",ROUND(M252-L253,2),"")</f>
        <v/>
      </c>
    </row>
    <row r="254">
      <c r="H254" s="11">
        <f>IF(AND(M253&gt;0.005,H253&lt;&gt;""),252,"")</f>
        <v/>
      </c>
      <c r="I254" s="12">
        <f>IF(H254&lt;&gt;"",EDATE(StartDate,251),"")</f>
        <v/>
      </c>
      <c r="J254" s="13">
        <f>IF(H254&lt;&gt;"",MIN(MonthlyPmt,M253+K254),"")</f>
        <v/>
      </c>
      <c r="K254" s="13">
        <f>IF(H254&lt;&gt;"",ROUND(M253*AnnualRate/12,2),"")</f>
        <v/>
      </c>
      <c r="L254" s="13">
        <f>IF(H254&lt;&gt;"",MIN(M253,(J254-K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M254" s="13">
        <f>IF(H254&lt;&gt;"",ROUND(M253-L254,2),"")</f>
        <v/>
      </c>
    </row>
    <row r="255">
      <c r="H255" s="7">
        <f>IF(AND(M254&gt;0.005,H254&lt;&gt;""),253,"")</f>
        <v/>
      </c>
      <c r="I255" s="8">
        <f>IF(H255&lt;&gt;"",EDATE(StartDate,252),"")</f>
        <v/>
      </c>
      <c r="J255" s="9">
        <f>IF(H255&lt;&gt;"",MIN(MonthlyPmt,M254+K255),"")</f>
        <v/>
      </c>
      <c r="K255" s="9">
        <f>IF(H255&lt;&gt;"",ROUND(M254*AnnualRate/12,2),"")</f>
        <v/>
      </c>
      <c r="L255" s="9">
        <f>IF(H255&lt;&gt;"",MIN(M254,(J255-K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M255" s="9">
        <f>IF(H255&lt;&gt;"",ROUND(M254-L255,2),"")</f>
        <v/>
      </c>
    </row>
    <row r="256">
      <c r="H256" s="11">
        <f>IF(AND(M255&gt;0.005,H255&lt;&gt;""),254,"")</f>
        <v/>
      </c>
      <c r="I256" s="12">
        <f>IF(H256&lt;&gt;"",EDATE(StartDate,253),"")</f>
        <v/>
      </c>
      <c r="J256" s="13">
        <f>IF(H256&lt;&gt;"",MIN(MonthlyPmt,M255+K256),"")</f>
        <v/>
      </c>
      <c r="K256" s="13">
        <f>IF(H256&lt;&gt;"",ROUND(M255*AnnualRate/12,2),"")</f>
        <v/>
      </c>
      <c r="L256" s="13">
        <f>IF(H256&lt;&gt;"",MIN(M255,(J256-K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M256" s="13">
        <f>IF(H256&lt;&gt;"",ROUND(M255-L256,2),"")</f>
        <v/>
      </c>
    </row>
    <row r="257">
      <c r="H257" s="7">
        <f>IF(AND(M256&gt;0.005,H256&lt;&gt;""),255,"")</f>
        <v/>
      </c>
      <c r="I257" s="8">
        <f>IF(H257&lt;&gt;"",EDATE(StartDate,254),"")</f>
        <v/>
      </c>
      <c r="J257" s="9">
        <f>IF(H257&lt;&gt;"",MIN(MonthlyPmt,M256+K257),"")</f>
        <v/>
      </c>
      <c r="K257" s="9">
        <f>IF(H257&lt;&gt;"",ROUND(M256*AnnualRate/12,2),"")</f>
        <v/>
      </c>
      <c r="L257" s="9">
        <f>IF(H257&lt;&gt;"",MIN(M256,(J257-K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M257" s="9">
        <f>IF(H257&lt;&gt;"",ROUND(M256-L257,2),"")</f>
        <v/>
      </c>
    </row>
    <row r="258">
      <c r="H258" s="11">
        <f>IF(AND(M257&gt;0.005,H257&lt;&gt;""),256,"")</f>
        <v/>
      </c>
      <c r="I258" s="12">
        <f>IF(H258&lt;&gt;"",EDATE(StartDate,255),"")</f>
        <v/>
      </c>
      <c r="J258" s="13">
        <f>IF(H258&lt;&gt;"",MIN(MonthlyPmt,M257+K258),"")</f>
        <v/>
      </c>
      <c r="K258" s="13">
        <f>IF(H258&lt;&gt;"",ROUND(M257*AnnualRate/12,2),"")</f>
        <v/>
      </c>
      <c r="L258" s="13">
        <f>IF(H258&lt;&gt;"",MIN(M257,(J258-K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M258" s="13">
        <f>IF(H258&lt;&gt;"",ROUND(M257-L258,2),"")</f>
        <v/>
      </c>
    </row>
    <row r="259">
      <c r="H259" s="7">
        <f>IF(AND(M258&gt;0.005,H258&lt;&gt;""),257,"")</f>
        <v/>
      </c>
      <c r="I259" s="8">
        <f>IF(H259&lt;&gt;"",EDATE(StartDate,256),"")</f>
        <v/>
      </c>
      <c r="J259" s="9">
        <f>IF(H259&lt;&gt;"",MIN(MonthlyPmt,M258+K259),"")</f>
        <v/>
      </c>
      <c r="K259" s="9">
        <f>IF(H259&lt;&gt;"",ROUND(M258*AnnualRate/12,2),"")</f>
        <v/>
      </c>
      <c r="L259" s="9">
        <f>IF(H259&lt;&gt;"",MIN(M258,(J259-K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M259" s="9">
        <f>IF(H259&lt;&gt;"",ROUND(M258-L259,2),"")</f>
        <v/>
      </c>
    </row>
    <row r="260">
      <c r="H260" s="11">
        <f>IF(AND(M259&gt;0.005,H259&lt;&gt;""),258,"")</f>
        <v/>
      </c>
      <c r="I260" s="12">
        <f>IF(H260&lt;&gt;"",EDATE(StartDate,257),"")</f>
        <v/>
      </c>
      <c r="J260" s="13">
        <f>IF(H260&lt;&gt;"",MIN(MonthlyPmt,M259+K260),"")</f>
        <v/>
      </c>
      <c r="K260" s="13">
        <f>IF(H260&lt;&gt;"",ROUND(M259*AnnualRate/12,2),"")</f>
        <v/>
      </c>
      <c r="L260" s="13">
        <f>IF(H260&lt;&gt;"",MIN(M259,(J260-K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M260" s="13">
        <f>IF(H260&lt;&gt;"",ROUND(M259-L260,2),"")</f>
        <v/>
      </c>
    </row>
    <row r="261">
      <c r="H261" s="7">
        <f>IF(AND(M260&gt;0.005,H260&lt;&gt;""),259,"")</f>
        <v/>
      </c>
      <c r="I261" s="8">
        <f>IF(H261&lt;&gt;"",EDATE(StartDate,258),"")</f>
        <v/>
      </c>
      <c r="J261" s="9">
        <f>IF(H261&lt;&gt;"",MIN(MonthlyPmt,M260+K261),"")</f>
        <v/>
      </c>
      <c r="K261" s="9">
        <f>IF(H261&lt;&gt;"",ROUND(M260*AnnualRate/12,2),"")</f>
        <v/>
      </c>
      <c r="L261" s="9">
        <f>IF(H261&lt;&gt;"",MIN(M260,(J261-K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M261" s="9">
        <f>IF(H261&lt;&gt;"",ROUND(M260-L261,2),"")</f>
        <v/>
      </c>
    </row>
    <row r="262">
      <c r="H262" s="11">
        <f>IF(AND(M261&gt;0.005,H261&lt;&gt;""),260,"")</f>
        <v/>
      </c>
      <c r="I262" s="12">
        <f>IF(H262&lt;&gt;"",EDATE(StartDate,259),"")</f>
        <v/>
      </c>
      <c r="J262" s="13">
        <f>IF(H262&lt;&gt;"",MIN(MonthlyPmt,M261+K262),"")</f>
        <v/>
      </c>
      <c r="K262" s="13">
        <f>IF(H262&lt;&gt;"",ROUND(M261*AnnualRate/12,2),"")</f>
        <v/>
      </c>
      <c r="L262" s="13">
        <f>IF(H262&lt;&gt;"",MIN(M261,(J262-K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M262" s="13">
        <f>IF(H262&lt;&gt;"",ROUND(M261-L262,2),"")</f>
        <v/>
      </c>
    </row>
    <row r="263">
      <c r="H263" s="7">
        <f>IF(AND(M262&gt;0.005,H262&lt;&gt;""),261,"")</f>
        <v/>
      </c>
      <c r="I263" s="8">
        <f>IF(H263&lt;&gt;"",EDATE(StartDate,260),"")</f>
        <v/>
      </c>
      <c r="J263" s="9">
        <f>IF(H263&lt;&gt;"",MIN(MonthlyPmt,M262+K263),"")</f>
        <v/>
      </c>
      <c r="K263" s="9">
        <f>IF(H263&lt;&gt;"",ROUND(M262*AnnualRate/12,2),"")</f>
        <v/>
      </c>
      <c r="L263" s="9">
        <f>IF(H263&lt;&gt;"",MIN(M262,(J263-K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M263" s="9">
        <f>IF(H263&lt;&gt;"",ROUND(M262-L263,2),"")</f>
        <v/>
      </c>
    </row>
    <row r="264">
      <c r="H264" s="11">
        <f>IF(AND(M263&gt;0.005,H263&lt;&gt;""),262,"")</f>
        <v/>
      </c>
      <c r="I264" s="12">
        <f>IF(H264&lt;&gt;"",EDATE(StartDate,261),"")</f>
        <v/>
      </c>
      <c r="J264" s="13">
        <f>IF(H264&lt;&gt;"",MIN(MonthlyPmt,M263+K264),"")</f>
        <v/>
      </c>
      <c r="K264" s="13">
        <f>IF(H264&lt;&gt;"",ROUND(M263*AnnualRate/12,2),"")</f>
        <v/>
      </c>
      <c r="L264" s="13">
        <f>IF(H264&lt;&gt;"",MIN(M263,(J264-K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M264" s="13">
        <f>IF(H264&lt;&gt;"",ROUND(M263-L264,2),"")</f>
        <v/>
      </c>
    </row>
    <row r="265">
      <c r="H265" s="7">
        <f>IF(AND(M264&gt;0.005,H264&lt;&gt;""),263,"")</f>
        <v/>
      </c>
      <c r="I265" s="8">
        <f>IF(H265&lt;&gt;"",EDATE(StartDate,262),"")</f>
        <v/>
      </c>
      <c r="J265" s="9">
        <f>IF(H265&lt;&gt;"",MIN(MonthlyPmt,M264+K265),"")</f>
        <v/>
      </c>
      <c r="K265" s="9">
        <f>IF(H265&lt;&gt;"",ROUND(M264*AnnualRate/12,2),"")</f>
        <v/>
      </c>
      <c r="L265" s="9">
        <f>IF(H265&lt;&gt;"",MIN(M264,(J265-K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M265" s="9">
        <f>IF(H265&lt;&gt;"",ROUND(M264-L265,2),"")</f>
        <v/>
      </c>
    </row>
    <row r="266">
      <c r="H266" s="11">
        <f>IF(AND(M265&gt;0.005,H265&lt;&gt;""),264,"")</f>
        <v/>
      </c>
      <c r="I266" s="12">
        <f>IF(H266&lt;&gt;"",EDATE(StartDate,263),"")</f>
        <v/>
      </c>
      <c r="J266" s="13">
        <f>IF(H266&lt;&gt;"",MIN(MonthlyPmt,M265+K266),"")</f>
        <v/>
      </c>
      <c r="K266" s="13">
        <f>IF(H266&lt;&gt;"",ROUND(M265*AnnualRate/12,2),"")</f>
        <v/>
      </c>
      <c r="L266" s="13">
        <f>IF(H266&lt;&gt;"",MIN(M265,(J266-K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M266" s="13">
        <f>IF(H266&lt;&gt;"",ROUND(M265-L266,2),"")</f>
        <v/>
      </c>
    </row>
    <row r="267">
      <c r="H267" s="7">
        <f>IF(AND(M266&gt;0.005,H266&lt;&gt;""),265,"")</f>
        <v/>
      </c>
      <c r="I267" s="8">
        <f>IF(H267&lt;&gt;"",EDATE(StartDate,264),"")</f>
        <v/>
      </c>
      <c r="J267" s="9">
        <f>IF(H267&lt;&gt;"",MIN(MonthlyPmt,M266+K267),"")</f>
        <v/>
      </c>
      <c r="K267" s="9">
        <f>IF(H267&lt;&gt;"",ROUND(M266*AnnualRate/12,2),"")</f>
        <v/>
      </c>
      <c r="L267" s="9">
        <f>IF(H267&lt;&gt;"",MIN(M266,(J267-K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M267" s="9">
        <f>IF(H267&lt;&gt;"",ROUND(M266-L267,2),"")</f>
        <v/>
      </c>
    </row>
    <row r="268">
      <c r="H268" s="11">
        <f>IF(AND(M267&gt;0.005,H267&lt;&gt;""),266,"")</f>
        <v/>
      </c>
      <c r="I268" s="12">
        <f>IF(H268&lt;&gt;"",EDATE(StartDate,265),"")</f>
        <v/>
      </c>
      <c r="J268" s="13">
        <f>IF(H268&lt;&gt;"",MIN(MonthlyPmt,M267+K268),"")</f>
        <v/>
      </c>
      <c r="K268" s="13">
        <f>IF(H268&lt;&gt;"",ROUND(M267*AnnualRate/12,2),"")</f>
        <v/>
      </c>
      <c r="L268" s="13">
        <f>IF(H268&lt;&gt;"",MIN(M267,(J268-K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M268" s="13">
        <f>IF(H268&lt;&gt;"",ROUND(M267-L268,2),"")</f>
        <v/>
      </c>
    </row>
    <row r="269">
      <c r="H269" s="7">
        <f>IF(AND(M268&gt;0.005,H268&lt;&gt;""),267,"")</f>
        <v/>
      </c>
      <c r="I269" s="8">
        <f>IF(H269&lt;&gt;"",EDATE(StartDate,266),"")</f>
        <v/>
      </c>
      <c r="J269" s="9">
        <f>IF(H269&lt;&gt;"",MIN(MonthlyPmt,M268+K269),"")</f>
        <v/>
      </c>
      <c r="K269" s="9">
        <f>IF(H269&lt;&gt;"",ROUND(M268*AnnualRate/12,2),"")</f>
        <v/>
      </c>
      <c r="L269" s="9">
        <f>IF(H269&lt;&gt;"",MIN(M268,(J269-K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M269" s="9">
        <f>IF(H269&lt;&gt;"",ROUND(M268-L269,2),"")</f>
        <v/>
      </c>
    </row>
    <row r="270">
      <c r="H270" s="11">
        <f>IF(AND(M269&gt;0.005,H269&lt;&gt;""),268,"")</f>
        <v/>
      </c>
      <c r="I270" s="12">
        <f>IF(H270&lt;&gt;"",EDATE(StartDate,267),"")</f>
        <v/>
      </c>
      <c r="J270" s="13">
        <f>IF(H270&lt;&gt;"",MIN(MonthlyPmt,M269+K270),"")</f>
        <v/>
      </c>
      <c r="K270" s="13">
        <f>IF(H270&lt;&gt;"",ROUND(M269*AnnualRate/12,2),"")</f>
        <v/>
      </c>
      <c r="L270" s="13">
        <f>IF(H270&lt;&gt;"",MIN(M269,(J270-K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M270" s="13">
        <f>IF(H270&lt;&gt;"",ROUND(M269-L270,2),"")</f>
        <v/>
      </c>
    </row>
    <row r="271">
      <c r="H271" s="7">
        <f>IF(AND(M270&gt;0.005,H270&lt;&gt;""),269,"")</f>
        <v/>
      </c>
      <c r="I271" s="8">
        <f>IF(H271&lt;&gt;"",EDATE(StartDate,268),"")</f>
        <v/>
      </c>
      <c r="J271" s="9">
        <f>IF(H271&lt;&gt;"",MIN(MonthlyPmt,M270+K271),"")</f>
        <v/>
      </c>
      <c r="K271" s="9">
        <f>IF(H271&lt;&gt;"",ROUND(M270*AnnualRate/12,2),"")</f>
        <v/>
      </c>
      <c r="L271" s="9">
        <f>IF(H271&lt;&gt;"",MIN(M270,(J271-K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M271" s="9">
        <f>IF(H271&lt;&gt;"",ROUND(M270-L271,2),"")</f>
        <v/>
      </c>
    </row>
    <row r="272">
      <c r="H272" s="11">
        <f>IF(AND(M271&gt;0.005,H271&lt;&gt;""),270,"")</f>
        <v/>
      </c>
      <c r="I272" s="12">
        <f>IF(H272&lt;&gt;"",EDATE(StartDate,269),"")</f>
        <v/>
      </c>
      <c r="J272" s="13">
        <f>IF(H272&lt;&gt;"",MIN(MonthlyPmt,M271+K272),"")</f>
        <v/>
      </c>
      <c r="K272" s="13">
        <f>IF(H272&lt;&gt;"",ROUND(M271*AnnualRate/12,2),"")</f>
        <v/>
      </c>
      <c r="L272" s="13">
        <f>IF(H272&lt;&gt;"",MIN(M271,(J272-K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M272" s="13">
        <f>IF(H272&lt;&gt;"",ROUND(M271-L272,2),"")</f>
        <v/>
      </c>
    </row>
    <row r="273">
      <c r="H273" s="7">
        <f>IF(AND(M272&gt;0.005,H272&lt;&gt;""),271,"")</f>
        <v/>
      </c>
      <c r="I273" s="8">
        <f>IF(H273&lt;&gt;"",EDATE(StartDate,270),"")</f>
        <v/>
      </c>
      <c r="J273" s="9">
        <f>IF(H273&lt;&gt;"",MIN(MonthlyPmt,M272+K273),"")</f>
        <v/>
      </c>
      <c r="K273" s="9">
        <f>IF(H273&lt;&gt;"",ROUND(M272*AnnualRate/12,2),"")</f>
        <v/>
      </c>
      <c r="L273" s="9">
        <f>IF(H273&lt;&gt;"",MIN(M272,(J273-K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M273" s="9">
        <f>IF(H273&lt;&gt;"",ROUND(M272-L273,2),"")</f>
        <v/>
      </c>
    </row>
    <row r="274">
      <c r="H274" s="11">
        <f>IF(AND(M273&gt;0.005,H273&lt;&gt;""),272,"")</f>
        <v/>
      </c>
      <c r="I274" s="12">
        <f>IF(H274&lt;&gt;"",EDATE(StartDate,271),"")</f>
        <v/>
      </c>
      <c r="J274" s="13">
        <f>IF(H274&lt;&gt;"",MIN(MonthlyPmt,M273+K274),"")</f>
        <v/>
      </c>
      <c r="K274" s="13">
        <f>IF(H274&lt;&gt;"",ROUND(M273*AnnualRate/12,2),"")</f>
        <v/>
      </c>
      <c r="L274" s="13">
        <f>IF(H274&lt;&gt;"",MIN(M273,(J274-K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M274" s="13">
        <f>IF(H274&lt;&gt;"",ROUND(M273-L274,2),"")</f>
        <v/>
      </c>
    </row>
    <row r="275">
      <c r="H275" s="7">
        <f>IF(AND(M274&gt;0.005,H274&lt;&gt;""),273,"")</f>
        <v/>
      </c>
      <c r="I275" s="8">
        <f>IF(H275&lt;&gt;"",EDATE(StartDate,272),"")</f>
        <v/>
      </c>
      <c r="J275" s="9">
        <f>IF(H275&lt;&gt;"",MIN(MonthlyPmt,M274+K275),"")</f>
        <v/>
      </c>
      <c r="K275" s="9">
        <f>IF(H275&lt;&gt;"",ROUND(M274*AnnualRate/12,2),"")</f>
        <v/>
      </c>
      <c r="L275" s="9">
        <f>IF(H275&lt;&gt;"",MIN(M274,(J275-K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M275" s="9">
        <f>IF(H275&lt;&gt;"",ROUND(M274-L275,2),"")</f>
        <v/>
      </c>
    </row>
    <row r="276">
      <c r="H276" s="11">
        <f>IF(AND(M275&gt;0.005,H275&lt;&gt;""),274,"")</f>
        <v/>
      </c>
      <c r="I276" s="12">
        <f>IF(H276&lt;&gt;"",EDATE(StartDate,273),"")</f>
        <v/>
      </c>
      <c r="J276" s="13">
        <f>IF(H276&lt;&gt;"",MIN(MonthlyPmt,M275+K276),"")</f>
        <v/>
      </c>
      <c r="K276" s="13">
        <f>IF(H276&lt;&gt;"",ROUND(M275*AnnualRate/12,2),"")</f>
        <v/>
      </c>
      <c r="L276" s="13">
        <f>IF(H276&lt;&gt;"",MIN(M275,(J276-K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M276" s="13">
        <f>IF(H276&lt;&gt;"",ROUND(M275-L276,2),"")</f>
        <v/>
      </c>
    </row>
    <row r="277">
      <c r="H277" s="7">
        <f>IF(AND(M276&gt;0.005,H276&lt;&gt;""),275,"")</f>
        <v/>
      </c>
      <c r="I277" s="8">
        <f>IF(H277&lt;&gt;"",EDATE(StartDate,274),"")</f>
        <v/>
      </c>
      <c r="J277" s="9">
        <f>IF(H277&lt;&gt;"",MIN(MonthlyPmt,M276+K277),"")</f>
        <v/>
      </c>
      <c r="K277" s="9">
        <f>IF(H277&lt;&gt;"",ROUND(M276*AnnualRate/12,2),"")</f>
        <v/>
      </c>
      <c r="L277" s="9">
        <f>IF(H277&lt;&gt;"",MIN(M276,(J277-K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M277" s="9">
        <f>IF(H277&lt;&gt;"",ROUND(M276-L277,2),"")</f>
        <v/>
      </c>
    </row>
    <row r="278">
      <c r="H278" s="11">
        <f>IF(AND(M277&gt;0.005,H277&lt;&gt;""),276,"")</f>
        <v/>
      </c>
      <c r="I278" s="12">
        <f>IF(H278&lt;&gt;"",EDATE(StartDate,275),"")</f>
        <v/>
      </c>
      <c r="J278" s="13">
        <f>IF(H278&lt;&gt;"",MIN(MonthlyPmt,M277+K278),"")</f>
        <v/>
      </c>
      <c r="K278" s="13">
        <f>IF(H278&lt;&gt;"",ROUND(M277*AnnualRate/12,2),"")</f>
        <v/>
      </c>
      <c r="L278" s="13">
        <f>IF(H278&lt;&gt;"",MIN(M277,(J278-K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M278" s="13">
        <f>IF(H278&lt;&gt;"",ROUND(M277-L278,2),"")</f>
        <v/>
      </c>
    </row>
    <row r="279">
      <c r="H279" s="7">
        <f>IF(AND(M278&gt;0.005,H278&lt;&gt;""),277,"")</f>
        <v/>
      </c>
      <c r="I279" s="8">
        <f>IF(H279&lt;&gt;"",EDATE(StartDate,276),"")</f>
        <v/>
      </c>
      <c r="J279" s="9">
        <f>IF(H279&lt;&gt;"",MIN(MonthlyPmt,M278+K279),"")</f>
        <v/>
      </c>
      <c r="K279" s="9">
        <f>IF(H279&lt;&gt;"",ROUND(M278*AnnualRate/12,2),"")</f>
        <v/>
      </c>
      <c r="L279" s="9">
        <f>IF(H279&lt;&gt;"",MIN(M278,(J279-K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M279" s="9">
        <f>IF(H279&lt;&gt;"",ROUND(M278-L279,2),"")</f>
        <v/>
      </c>
    </row>
    <row r="280">
      <c r="H280" s="11">
        <f>IF(AND(M279&gt;0.005,H279&lt;&gt;""),278,"")</f>
        <v/>
      </c>
      <c r="I280" s="12">
        <f>IF(H280&lt;&gt;"",EDATE(StartDate,277),"")</f>
        <v/>
      </c>
      <c r="J280" s="13">
        <f>IF(H280&lt;&gt;"",MIN(MonthlyPmt,M279+K280),"")</f>
        <v/>
      </c>
      <c r="K280" s="13">
        <f>IF(H280&lt;&gt;"",ROUND(M279*AnnualRate/12,2),"")</f>
        <v/>
      </c>
      <c r="L280" s="13">
        <f>IF(H280&lt;&gt;"",MIN(M279,(J280-K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M280" s="13">
        <f>IF(H280&lt;&gt;"",ROUND(M279-L280,2),"")</f>
        <v/>
      </c>
    </row>
    <row r="281">
      <c r="H281" s="7">
        <f>IF(AND(M280&gt;0.005,H280&lt;&gt;""),279,"")</f>
        <v/>
      </c>
      <c r="I281" s="8">
        <f>IF(H281&lt;&gt;"",EDATE(StartDate,278),"")</f>
        <v/>
      </c>
      <c r="J281" s="9">
        <f>IF(H281&lt;&gt;"",MIN(MonthlyPmt,M280+K281),"")</f>
        <v/>
      </c>
      <c r="K281" s="9">
        <f>IF(H281&lt;&gt;"",ROUND(M280*AnnualRate/12,2),"")</f>
        <v/>
      </c>
      <c r="L281" s="9">
        <f>IF(H281&lt;&gt;"",MIN(M280,(J281-K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M281" s="9">
        <f>IF(H281&lt;&gt;"",ROUND(M280-L281,2),"")</f>
        <v/>
      </c>
    </row>
    <row r="282">
      <c r="H282" s="11">
        <f>IF(AND(M281&gt;0.005,H281&lt;&gt;""),280,"")</f>
        <v/>
      </c>
      <c r="I282" s="12">
        <f>IF(H282&lt;&gt;"",EDATE(StartDate,279),"")</f>
        <v/>
      </c>
      <c r="J282" s="13">
        <f>IF(H282&lt;&gt;"",MIN(MonthlyPmt,M281+K282),"")</f>
        <v/>
      </c>
      <c r="K282" s="13">
        <f>IF(H282&lt;&gt;"",ROUND(M281*AnnualRate/12,2),"")</f>
        <v/>
      </c>
      <c r="L282" s="13">
        <f>IF(H282&lt;&gt;"",MIN(M281,(J282-K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M282" s="13">
        <f>IF(H282&lt;&gt;"",ROUND(M281-L282,2),"")</f>
        <v/>
      </c>
    </row>
    <row r="283">
      <c r="H283" s="7">
        <f>IF(AND(M282&gt;0.005,H282&lt;&gt;""),281,"")</f>
        <v/>
      </c>
      <c r="I283" s="8">
        <f>IF(H283&lt;&gt;"",EDATE(StartDate,280),"")</f>
        <v/>
      </c>
      <c r="J283" s="9">
        <f>IF(H283&lt;&gt;"",MIN(MonthlyPmt,M282+K283),"")</f>
        <v/>
      </c>
      <c r="K283" s="9">
        <f>IF(H283&lt;&gt;"",ROUND(M282*AnnualRate/12,2),"")</f>
        <v/>
      </c>
      <c r="L283" s="9">
        <f>IF(H283&lt;&gt;"",MIN(M282,(J283-K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M283" s="9">
        <f>IF(H283&lt;&gt;"",ROUND(M282-L283,2),"")</f>
        <v/>
      </c>
    </row>
    <row r="284">
      <c r="H284" s="11">
        <f>IF(AND(M283&gt;0.005,H283&lt;&gt;""),282,"")</f>
        <v/>
      </c>
      <c r="I284" s="12">
        <f>IF(H284&lt;&gt;"",EDATE(StartDate,281),"")</f>
        <v/>
      </c>
      <c r="J284" s="13">
        <f>IF(H284&lt;&gt;"",MIN(MonthlyPmt,M283+K284),"")</f>
        <v/>
      </c>
      <c r="K284" s="13">
        <f>IF(H284&lt;&gt;"",ROUND(M283*AnnualRate/12,2),"")</f>
        <v/>
      </c>
      <c r="L284" s="13">
        <f>IF(H284&lt;&gt;"",MIN(M283,(J284-K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M284" s="13">
        <f>IF(H284&lt;&gt;"",ROUND(M283-L284,2),"")</f>
        <v/>
      </c>
    </row>
    <row r="285">
      <c r="H285" s="7">
        <f>IF(AND(M284&gt;0.005,H284&lt;&gt;""),283,"")</f>
        <v/>
      </c>
      <c r="I285" s="8">
        <f>IF(H285&lt;&gt;"",EDATE(StartDate,282),"")</f>
        <v/>
      </c>
      <c r="J285" s="9">
        <f>IF(H285&lt;&gt;"",MIN(MonthlyPmt,M284+K285),"")</f>
        <v/>
      </c>
      <c r="K285" s="9">
        <f>IF(H285&lt;&gt;"",ROUND(M284*AnnualRate/12,2),"")</f>
        <v/>
      </c>
      <c r="L285" s="9">
        <f>IF(H285&lt;&gt;"",MIN(M284,(J285-K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M285" s="9">
        <f>IF(H285&lt;&gt;"",ROUND(M284-L285,2),"")</f>
        <v/>
      </c>
    </row>
    <row r="286">
      <c r="H286" s="11">
        <f>IF(AND(M285&gt;0.005,H285&lt;&gt;""),284,"")</f>
        <v/>
      </c>
      <c r="I286" s="12">
        <f>IF(H286&lt;&gt;"",EDATE(StartDate,283),"")</f>
        <v/>
      </c>
      <c r="J286" s="13">
        <f>IF(H286&lt;&gt;"",MIN(MonthlyPmt,M285+K286),"")</f>
        <v/>
      </c>
      <c r="K286" s="13">
        <f>IF(H286&lt;&gt;"",ROUND(M285*AnnualRate/12,2),"")</f>
        <v/>
      </c>
      <c r="L286" s="13">
        <f>IF(H286&lt;&gt;"",MIN(M285,(J286-K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M286" s="13">
        <f>IF(H286&lt;&gt;"",ROUND(M285-L286,2),"")</f>
        <v/>
      </c>
    </row>
    <row r="287">
      <c r="H287" s="7">
        <f>IF(AND(M286&gt;0.005,H286&lt;&gt;""),285,"")</f>
        <v/>
      </c>
      <c r="I287" s="8">
        <f>IF(H287&lt;&gt;"",EDATE(StartDate,284),"")</f>
        <v/>
      </c>
      <c r="J287" s="9">
        <f>IF(H287&lt;&gt;"",MIN(MonthlyPmt,M286+K287),"")</f>
        <v/>
      </c>
      <c r="K287" s="9">
        <f>IF(H287&lt;&gt;"",ROUND(M286*AnnualRate/12,2),"")</f>
        <v/>
      </c>
      <c r="L287" s="9">
        <f>IF(H287&lt;&gt;"",MIN(M286,(J287-K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M287" s="9">
        <f>IF(H287&lt;&gt;"",ROUND(M286-L287,2),"")</f>
        <v/>
      </c>
    </row>
    <row r="288">
      <c r="H288" s="11">
        <f>IF(AND(M287&gt;0.005,H287&lt;&gt;""),286,"")</f>
        <v/>
      </c>
      <c r="I288" s="12">
        <f>IF(H288&lt;&gt;"",EDATE(StartDate,285),"")</f>
        <v/>
      </c>
      <c r="J288" s="13">
        <f>IF(H288&lt;&gt;"",MIN(MonthlyPmt,M287+K288),"")</f>
        <v/>
      </c>
      <c r="K288" s="13">
        <f>IF(H288&lt;&gt;"",ROUND(M287*AnnualRate/12,2),"")</f>
        <v/>
      </c>
      <c r="L288" s="13">
        <f>IF(H288&lt;&gt;"",MIN(M287,(J288-K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M288" s="13">
        <f>IF(H288&lt;&gt;"",ROUND(M287-L288,2),"")</f>
        <v/>
      </c>
    </row>
    <row r="289">
      <c r="H289" s="7">
        <f>IF(AND(M288&gt;0.005,H288&lt;&gt;""),287,"")</f>
        <v/>
      </c>
      <c r="I289" s="8">
        <f>IF(H289&lt;&gt;"",EDATE(StartDate,286),"")</f>
        <v/>
      </c>
      <c r="J289" s="9">
        <f>IF(H289&lt;&gt;"",MIN(MonthlyPmt,M288+K289),"")</f>
        <v/>
      </c>
      <c r="K289" s="9">
        <f>IF(H289&lt;&gt;"",ROUND(M288*AnnualRate/12,2),"")</f>
        <v/>
      </c>
      <c r="L289" s="9">
        <f>IF(H289&lt;&gt;"",MIN(M288,(J289-K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M289" s="9">
        <f>IF(H289&lt;&gt;"",ROUND(M288-L289,2),"")</f>
        <v/>
      </c>
    </row>
    <row r="290">
      <c r="H290" s="11">
        <f>IF(AND(M289&gt;0.005,H289&lt;&gt;""),288,"")</f>
        <v/>
      </c>
      <c r="I290" s="12">
        <f>IF(H290&lt;&gt;"",EDATE(StartDate,287),"")</f>
        <v/>
      </c>
      <c r="J290" s="13">
        <f>IF(H290&lt;&gt;"",MIN(MonthlyPmt,M289+K290),"")</f>
        <v/>
      </c>
      <c r="K290" s="13">
        <f>IF(H290&lt;&gt;"",ROUND(M289*AnnualRate/12,2),"")</f>
        <v/>
      </c>
      <c r="L290" s="13">
        <f>IF(H290&lt;&gt;"",MIN(M289,(J290-K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M290" s="13">
        <f>IF(H290&lt;&gt;"",ROUND(M289-L290,2),"")</f>
        <v/>
      </c>
    </row>
    <row r="291">
      <c r="H291" s="7">
        <f>IF(AND(M290&gt;0.005,H290&lt;&gt;""),289,"")</f>
        <v/>
      </c>
      <c r="I291" s="8">
        <f>IF(H291&lt;&gt;"",EDATE(StartDate,288),"")</f>
        <v/>
      </c>
      <c r="J291" s="9">
        <f>IF(H291&lt;&gt;"",MIN(MonthlyPmt,M290+K291),"")</f>
        <v/>
      </c>
      <c r="K291" s="9">
        <f>IF(H291&lt;&gt;"",ROUND(M290*AnnualRate/12,2),"")</f>
        <v/>
      </c>
      <c r="L291" s="9">
        <f>IF(H291&lt;&gt;"",MIN(M290,(J291-K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M291" s="9">
        <f>IF(H291&lt;&gt;"",ROUND(M290-L291,2),"")</f>
        <v/>
      </c>
    </row>
    <row r="292">
      <c r="H292" s="11">
        <f>IF(AND(M291&gt;0.005,H291&lt;&gt;""),290,"")</f>
        <v/>
      </c>
      <c r="I292" s="12">
        <f>IF(H292&lt;&gt;"",EDATE(StartDate,289),"")</f>
        <v/>
      </c>
      <c r="J292" s="13">
        <f>IF(H292&lt;&gt;"",MIN(MonthlyPmt,M291+K292),"")</f>
        <v/>
      </c>
      <c r="K292" s="13">
        <f>IF(H292&lt;&gt;"",ROUND(M291*AnnualRate/12,2),"")</f>
        <v/>
      </c>
      <c r="L292" s="13">
        <f>IF(H292&lt;&gt;"",MIN(M291,(J292-K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M292" s="13">
        <f>IF(H292&lt;&gt;"",ROUND(M291-L292,2),"")</f>
        <v/>
      </c>
    </row>
    <row r="293">
      <c r="H293" s="7">
        <f>IF(AND(M292&gt;0.005,H292&lt;&gt;""),291,"")</f>
        <v/>
      </c>
      <c r="I293" s="8">
        <f>IF(H293&lt;&gt;"",EDATE(StartDate,290),"")</f>
        <v/>
      </c>
      <c r="J293" s="9">
        <f>IF(H293&lt;&gt;"",MIN(MonthlyPmt,M292+K293),"")</f>
        <v/>
      </c>
      <c r="K293" s="9">
        <f>IF(H293&lt;&gt;"",ROUND(M292*AnnualRate/12,2),"")</f>
        <v/>
      </c>
      <c r="L293" s="9">
        <f>IF(H293&lt;&gt;"",MIN(M292,(J293-K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M293" s="9">
        <f>IF(H293&lt;&gt;"",ROUND(M292-L293,2),"")</f>
        <v/>
      </c>
    </row>
    <row r="294">
      <c r="H294" s="11">
        <f>IF(AND(M293&gt;0.005,H293&lt;&gt;""),292,"")</f>
        <v/>
      </c>
      <c r="I294" s="12">
        <f>IF(H294&lt;&gt;"",EDATE(StartDate,291),"")</f>
        <v/>
      </c>
      <c r="J294" s="13">
        <f>IF(H294&lt;&gt;"",MIN(MonthlyPmt,M293+K294),"")</f>
        <v/>
      </c>
      <c r="K294" s="13">
        <f>IF(H294&lt;&gt;"",ROUND(M293*AnnualRate/12,2),"")</f>
        <v/>
      </c>
      <c r="L294" s="13">
        <f>IF(H294&lt;&gt;"",MIN(M293,(J294-K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M294" s="13">
        <f>IF(H294&lt;&gt;"",ROUND(M293-L294,2),"")</f>
        <v/>
      </c>
    </row>
    <row r="295">
      <c r="H295" s="7">
        <f>IF(AND(M294&gt;0.005,H294&lt;&gt;""),293,"")</f>
        <v/>
      </c>
      <c r="I295" s="8">
        <f>IF(H295&lt;&gt;"",EDATE(StartDate,292),"")</f>
        <v/>
      </c>
      <c r="J295" s="9">
        <f>IF(H295&lt;&gt;"",MIN(MonthlyPmt,M294+K295),"")</f>
        <v/>
      </c>
      <c r="K295" s="9">
        <f>IF(H295&lt;&gt;"",ROUND(M294*AnnualRate/12,2),"")</f>
        <v/>
      </c>
      <c r="L295" s="9">
        <f>IF(H295&lt;&gt;"",MIN(M294,(J295-K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M295" s="9">
        <f>IF(H295&lt;&gt;"",ROUND(M294-L295,2),"")</f>
        <v/>
      </c>
    </row>
    <row r="296">
      <c r="H296" s="11">
        <f>IF(AND(M295&gt;0.005,H295&lt;&gt;""),294,"")</f>
        <v/>
      </c>
      <c r="I296" s="12">
        <f>IF(H296&lt;&gt;"",EDATE(StartDate,293),"")</f>
        <v/>
      </c>
      <c r="J296" s="13">
        <f>IF(H296&lt;&gt;"",MIN(MonthlyPmt,M295+K296),"")</f>
        <v/>
      </c>
      <c r="K296" s="13">
        <f>IF(H296&lt;&gt;"",ROUND(M295*AnnualRate/12,2),"")</f>
        <v/>
      </c>
      <c r="L296" s="13">
        <f>IF(H296&lt;&gt;"",MIN(M295,(J296-K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M296" s="13">
        <f>IF(H296&lt;&gt;"",ROUND(M295-L296,2),"")</f>
        <v/>
      </c>
    </row>
    <row r="297">
      <c r="H297" s="7">
        <f>IF(AND(M296&gt;0.005,H296&lt;&gt;""),295,"")</f>
        <v/>
      </c>
      <c r="I297" s="8">
        <f>IF(H297&lt;&gt;"",EDATE(StartDate,294),"")</f>
        <v/>
      </c>
      <c r="J297" s="9">
        <f>IF(H297&lt;&gt;"",MIN(MonthlyPmt,M296+K297),"")</f>
        <v/>
      </c>
      <c r="K297" s="9">
        <f>IF(H297&lt;&gt;"",ROUND(M296*AnnualRate/12,2),"")</f>
        <v/>
      </c>
      <c r="L297" s="9">
        <f>IF(H297&lt;&gt;"",MIN(M296,(J297-K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M297" s="9">
        <f>IF(H297&lt;&gt;"",ROUND(M296-L297,2),"")</f>
        <v/>
      </c>
    </row>
    <row r="298">
      <c r="H298" s="11">
        <f>IF(AND(M297&gt;0.005,H297&lt;&gt;""),296,"")</f>
        <v/>
      </c>
      <c r="I298" s="12">
        <f>IF(H298&lt;&gt;"",EDATE(StartDate,295),"")</f>
        <v/>
      </c>
      <c r="J298" s="13">
        <f>IF(H298&lt;&gt;"",MIN(MonthlyPmt,M297+K298),"")</f>
        <v/>
      </c>
      <c r="K298" s="13">
        <f>IF(H298&lt;&gt;"",ROUND(M297*AnnualRate/12,2),"")</f>
        <v/>
      </c>
      <c r="L298" s="13">
        <f>IF(H298&lt;&gt;"",MIN(M297,(J298-K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M298" s="13">
        <f>IF(H298&lt;&gt;"",ROUND(M297-L298,2),"")</f>
        <v/>
      </c>
    </row>
    <row r="299">
      <c r="H299" s="7">
        <f>IF(AND(M298&gt;0.005,H298&lt;&gt;""),297,"")</f>
        <v/>
      </c>
      <c r="I299" s="8">
        <f>IF(H299&lt;&gt;"",EDATE(StartDate,296),"")</f>
        <v/>
      </c>
      <c r="J299" s="9">
        <f>IF(H299&lt;&gt;"",MIN(MonthlyPmt,M298+K299),"")</f>
        <v/>
      </c>
      <c r="K299" s="9">
        <f>IF(H299&lt;&gt;"",ROUND(M298*AnnualRate/12,2),"")</f>
        <v/>
      </c>
      <c r="L299" s="9">
        <f>IF(H299&lt;&gt;"",MIN(M298,(J299-K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M299" s="9">
        <f>IF(H299&lt;&gt;"",ROUND(M298-L299,2),"")</f>
        <v/>
      </c>
    </row>
    <row r="300">
      <c r="H300" s="11">
        <f>IF(AND(M299&gt;0.005,H299&lt;&gt;""),298,"")</f>
        <v/>
      </c>
      <c r="I300" s="12">
        <f>IF(H300&lt;&gt;"",EDATE(StartDate,297),"")</f>
        <v/>
      </c>
      <c r="J300" s="13">
        <f>IF(H300&lt;&gt;"",MIN(MonthlyPmt,M299+K300),"")</f>
        <v/>
      </c>
      <c r="K300" s="13">
        <f>IF(H300&lt;&gt;"",ROUND(M299*AnnualRate/12,2),"")</f>
        <v/>
      </c>
      <c r="L300" s="13">
        <f>IF(H300&lt;&gt;"",MIN(M299,(J300-K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M300" s="13">
        <f>IF(H300&lt;&gt;"",ROUND(M299-L300,2),"")</f>
        <v/>
      </c>
    </row>
    <row r="301">
      <c r="H301" s="7">
        <f>IF(AND(M300&gt;0.005,H300&lt;&gt;""),299,"")</f>
        <v/>
      </c>
      <c r="I301" s="8">
        <f>IF(H301&lt;&gt;"",EDATE(StartDate,298),"")</f>
        <v/>
      </c>
      <c r="J301" s="9">
        <f>IF(H301&lt;&gt;"",MIN(MonthlyPmt,M300+K301),"")</f>
        <v/>
      </c>
      <c r="K301" s="9">
        <f>IF(H301&lt;&gt;"",ROUND(M300*AnnualRate/12,2),"")</f>
        <v/>
      </c>
      <c r="L301" s="9">
        <f>IF(H301&lt;&gt;"",MIN(M300,(J301-K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M301" s="9">
        <f>IF(H301&lt;&gt;"",ROUND(M300-L301,2),"")</f>
        <v/>
      </c>
    </row>
    <row r="302">
      <c r="H302" s="11">
        <f>IF(AND(M301&gt;0.005,H301&lt;&gt;""),300,"")</f>
        <v/>
      </c>
      <c r="I302" s="12">
        <f>IF(H302&lt;&gt;"",EDATE(StartDate,299),"")</f>
        <v/>
      </c>
      <c r="J302" s="13">
        <f>IF(H302&lt;&gt;"",MIN(MonthlyPmt,M301+K302),"")</f>
        <v/>
      </c>
      <c r="K302" s="13">
        <f>IF(H302&lt;&gt;"",ROUND(M301*AnnualRate/12,2),"")</f>
        <v/>
      </c>
      <c r="L302" s="13">
        <f>IF(H302&lt;&gt;"",MIN(M301,(J302-K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M302" s="13">
        <f>IF(H302&lt;&gt;"",ROUND(M301-L302,2),"")</f>
        <v/>
      </c>
    </row>
    <row r="303">
      <c r="H303" s="7">
        <f>IF(AND(M302&gt;0.005,H302&lt;&gt;""),301,"")</f>
        <v/>
      </c>
      <c r="I303" s="8">
        <f>IF(H303&lt;&gt;"",EDATE(StartDate,300),"")</f>
        <v/>
      </c>
      <c r="J303" s="9">
        <f>IF(H303&lt;&gt;"",MIN(MonthlyPmt,M302+K303),"")</f>
        <v/>
      </c>
      <c r="K303" s="9">
        <f>IF(H303&lt;&gt;"",ROUND(M302*AnnualRate/12,2),"")</f>
        <v/>
      </c>
      <c r="L303" s="9">
        <f>IF(H303&lt;&gt;"",MIN(M302,(J303-K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M303" s="9">
        <f>IF(H303&lt;&gt;"",ROUND(M302-L303,2),"")</f>
        <v/>
      </c>
    </row>
    <row r="304">
      <c r="H304" s="11">
        <f>IF(AND(M303&gt;0.005,H303&lt;&gt;""),302,"")</f>
        <v/>
      </c>
      <c r="I304" s="12">
        <f>IF(H304&lt;&gt;"",EDATE(StartDate,301),"")</f>
        <v/>
      </c>
      <c r="J304" s="13">
        <f>IF(H304&lt;&gt;"",MIN(MonthlyPmt,M303+K304),"")</f>
        <v/>
      </c>
      <c r="K304" s="13">
        <f>IF(H304&lt;&gt;"",ROUND(M303*AnnualRate/12,2),"")</f>
        <v/>
      </c>
      <c r="L304" s="13">
        <f>IF(H304&lt;&gt;"",MIN(M303,(J304-K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M304" s="13">
        <f>IF(H304&lt;&gt;"",ROUND(M303-L304,2),"")</f>
        <v/>
      </c>
    </row>
    <row r="305">
      <c r="H305" s="7">
        <f>IF(AND(M304&gt;0.005,H304&lt;&gt;""),303,"")</f>
        <v/>
      </c>
      <c r="I305" s="8">
        <f>IF(H305&lt;&gt;"",EDATE(StartDate,302),"")</f>
        <v/>
      </c>
      <c r="J305" s="9">
        <f>IF(H305&lt;&gt;"",MIN(MonthlyPmt,M304+K305),"")</f>
        <v/>
      </c>
      <c r="K305" s="9">
        <f>IF(H305&lt;&gt;"",ROUND(M304*AnnualRate/12,2),"")</f>
        <v/>
      </c>
      <c r="L305" s="9">
        <f>IF(H305&lt;&gt;"",MIN(M304,(J305-K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M305" s="9">
        <f>IF(H305&lt;&gt;"",ROUND(M304-L305,2),"")</f>
        <v/>
      </c>
    </row>
    <row r="306">
      <c r="H306" s="11">
        <f>IF(AND(M305&gt;0.005,H305&lt;&gt;""),304,"")</f>
        <v/>
      </c>
      <c r="I306" s="12">
        <f>IF(H306&lt;&gt;"",EDATE(StartDate,303),"")</f>
        <v/>
      </c>
      <c r="J306" s="13">
        <f>IF(H306&lt;&gt;"",MIN(MonthlyPmt,M305+K306),"")</f>
        <v/>
      </c>
      <c r="K306" s="13">
        <f>IF(H306&lt;&gt;"",ROUND(M305*AnnualRate/12,2),"")</f>
        <v/>
      </c>
      <c r="L306" s="13">
        <f>IF(H306&lt;&gt;"",MIN(M305,(J306-K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M306" s="13">
        <f>IF(H306&lt;&gt;"",ROUND(M305-L306,2),"")</f>
        <v/>
      </c>
    </row>
    <row r="307">
      <c r="H307" s="7">
        <f>IF(AND(M306&gt;0.005,H306&lt;&gt;""),305,"")</f>
        <v/>
      </c>
      <c r="I307" s="8">
        <f>IF(H307&lt;&gt;"",EDATE(StartDate,304),"")</f>
        <v/>
      </c>
      <c r="J307" s="9">
        <f>IF(H307&lt;&gt;"",MIN(MonthlyPmt,M306+K307),"")</f>
        <v/>
      </c>
      <c r="K307" s="9">
        <f>IF(H307&lt;&gt;"",ROUND(M306*AnnualRate/12,2),"")</f>
        <v/>
      </c>
      <c r="L307" s="9">
        <f>IF(H307&lt;&gt;"",MIN(M306,(J307-K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M307" s="9">
        <f>IF(H307&lt;&gt;"",ROUND(M306-L307,2),"")</f>
        <v/>
      </c>
    </row>
    <row r="308">
      <c r="H308" s="11">
        <f>IF(AND(M307&gt;0.005,H307&lt;&gt;""),306,"")</f>
        <v/>
      </c>
      <c r="I308" s="12">
        <f>IF(H308&lt;&gt;"",EDATE(StartDate,305),"")</f>
        <v/>
      </c>
      <c r="J308" s="13">
        <f>IF(H308&lt;&gt;"",MIN(MonthlyPmt,M307+K308),"")</f>
        <v/>
      </c>
      <c r="K308" s="13">
        <f>IF(H308&lt;&gt;"",ROUND(M307*AnnualRate/12,2),"")</f>
        <v/>
      </c>
      <c r="L308" s="13">
        <f>IF(H308&lt;&gt;"",MIN(M307,(J308-K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M308" s="13">
        <f>IF(H308&lt;&gt;"",ROUND(M307-L308,2),"")</f>
        <v/>
      </c>
    </row>
    <row r="309">
      <c r="H309" s="7">
        <f>IF(AND(M308&gt;0.005,H308&lt;&gt;""),307,"")</f>
        <v/>
      </c>
      <c r="I309" s="8">
        <f>IF(H309&lt;&gt;"",EDATE(StartDate,306),"")</f>
        <v/>
      </c>
      <c r="J309" s="9">
        <f>IF(H309&lt;&gt;"",MIN(MonthlyPmt,M308+K309),"")</f>
        <v/>
      </c>
      <c r="K309" s="9">
        <f>IF(H309&lt;&gt;"",ROUND(M308*AnnualRate/12,2),"")</f>
        <v/>
      </c>
      <c r="L309" s="9">
        <f>IF(H309&lt;&gt;"",MIN(M308,(J309-K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M309" s="9">
        <f>IF(H309&lt;&gt;"",ROUND(M308-L309,2),"")</f>
        <v/>
      </c>
    </row>
    <row r="310">
      <c r="H310" s="11">
        <f>IF(AND(M309&gt;0.005,H309&lt;&gt;""),308,"")</f>
        <v/>
      </c>
      <c r="I310" s="12">
        <f>IF(H310&lt;&gt;"",EDATE(StartDate,307),"")</f>
        <v/>
      </c>
      <c r="J310" s="13">
        <f>IF(H310&lt;&gt;"",MIN(MonthlyPmt,M309+K310),"")</f>
        <v/>
      </c>
      <c r="K310" s="13">
        <f>IF(H310&lt;&gt;"",ROUND(M309*AnnualRate/12,2),"")</f>
        <v/>
      </c>
      <c r="L310" s="13">
        <f>IF(H310&lt;&gt;"",MIN(M309,(J310-K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M310" s="13">
        <f>IF(H310&lt;&gt;"",ROUND(M309-L310,2),"")</f>
        <v/>
      </c>
    </row>
    <row r="311">
      <c r="H311" s="7">
        <f>IF(AND(M310&gt;0.005,H310&lt;&gt;""),309,"")</f>
        <v/>
      </c>
      <c r="I311" s="8">
        <f>IF(H311&lt;&gt;"",EDATE(StartDate,308),"")</f>
        <v/>
      </c>
      <c r="J311" s="9">
        <f>IF(H311&lt;&gt;"",MIN(MonthlyPmt,M310+K311),"")</f>
        <v/>
      </c>
      <c r="K311" s="9">
        <f>IF(H311&lt;&gt;"",ROUND(M310*AnnualRate/12,2),"")</f>
        <v/>
      </c>
      <c r="L311" s="9">
        <f>IF(H311&lt;&gt;"",MIN(M310,(J311-K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M311" s="9">
        <f>IF(H311&lt;&gt;"",ROUND(M310-L311,2),"")</f>
        <v/>
      </c>
    </row>
    <row r="312">
      <c r="H312" s="11">
        <f>IF(AND(M311&gt;0.005,H311&lt;&gt;""),310,"")</f>
        <v/>
      </c>
      <c r="I312" s="12">
        <f>IF(H312&lt;&gt;"",EDATE(StartDate,309),"")</f>
        <v/>
      </c>
      <c r="J312" s="13">
        <f>IF(H312&lt;&gt;"",MIN(MonthlyPmt,M311+K312),"")</f>
        <v/>
      </c>
      <c r="K312" s="13">
        <f>IF(H312&lt;&gt;"",ROUND(M311*AnnualRate/12,2),"")</f>
        <v/>
      </c>
      <c r="L312" s="13">
        <f>IF(H312&lt;&gt;"",MIN(M311,(J312-K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M312" s="13">
        <f>IF(H312&lt;&gt;"",ROUND(M311-L312,2),"")</f>
        <v/>
      </c>
    </row>
    <row r="313">
      <c r="H313" s="7">
        <f>IF(AND(M312&gt;0.005,H312&lt;&gt;""),311,"")</f>
        <v/>
      </c>
      <c r="I313" s="8">
        <f>IF(H313&lt;&gt;"",EDATE(StartDate,310),"")</f>
        <v/>
      </c>
      <c r="J313" s="9">
        <f>IF(H313&lt;&gt;"",MIN(MonthlyPmt,M312+K313),"")</f>
        <v/>
      </c>
      <c r="K313" s="9">
        <f>IF(H313&lt;&gt;"",ROUND(M312*AnnualRate/12,2),"")</f>
        <v/>
      </c>
      <c r="L313" s="9">
        <f>IF(H313&lt;&gt;"",MIN(M312,(J313-K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M313" s="9">
        <f>IF(H313&lt;&gt;"",ROUND(M312-L313,2),"")</f>
        <v/>
      </c>
    </row>
    <row r="314">
      <c r="H314" s="11">
        <f>IF(AND(M313&gt;0.005,H313&lt;&gt;""),312,"")</f>
        <v/>
      </c>
      <c r="I314" s="12">
        <f>IF(H314&lt;&gt;"",EDATE(StartDate,311),"")</f>
        <v/>
      </c>
      <c r="J314" s="13">
        <f>IF(H314&lt;&gt;"",MIN(MonthlyPmt,M313+K314),"")</f>
        <v/>
      </c>
      <c r="K314" s="13">
        <f>IF(H314&lt;&gt;"",ROUND(M313*AnnualRate/12,2),"")</f>
        <v/>
      </c>
      <c r="L314" s="13">
        <f>IF(H314&lt;&gt;"",MIN(M313,(J314-K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M314" s="13">
        <f>IF(H314&lt;&gt;"",ROUND(M313-L314,2),"")</f>
        <v/>
      </c>
    </row>
    <row r="315">
      <c r="H315" s="7">
        <f>IF(AND(M314&gt;0.005,H314&lt;&gt;""),313,"")</f>
        <v/>
      </c>
      <c r="I315" s="8">
        <f>IF(H315&lt;&gt;"",EDATE(StartDate,312),"")</f>
        <v/>
      </c>
      <c r="J315" s="9">
        <f>IF(H315&lt;&gt;"",MIN(MonthlyPmt,M314+K315),"")</f>
        <v/>
      </c>
      <c r="K315" s="9">
        <f>IF(H315&lt;&gt;"",ROUND(M314*AnnualRate/12,2),"")</f>
        <v/>
      </c>
      <c r="L315" s="9">
        <f>IF(H315&lt;&gt;"",MIN(M314,(J315-K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M315" s="9">
        <f>IF(H315&lt;&gt;"",ROUND(M314-L315,2),"")</f>
        <v/>
      </c>
    </row>
    <row r="316">
      <c r="H316" s="11">
        <f>IF(AND(M315&gt;0.005,H315&lt;&gt;""),314,"")</f>
        <v/>
      </c>
      <c r="I316" s="12">
        <f>IF(H316&lt;&gt;"",EDATE(StartDate,313),"")</f>
        <v/>
      </c>
      <c r="J316" s="13">
        <f>IF(H316&lt;&gt;"",MIN(MonthlyPmt,M315+K316),"")</f>
        <v/>
      </c>
      <c r="K316" s="13">
        <f>IF(H316&lt;&gt;"",ROUND(M315*AnnualRate/12,2),"")</f>
        <v/>
      </c>
      <c r="L316" s="13">
        <f>IF(H316&lt;&gt;"",MIN(M315,(J316-K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M316" s="13">
        <f>IF(H316&lt;&gt;"",ROUND(M315-L316,2),"")</f>
        <v/>
      </c>
    </row>
    <row r="317">
      <c r="H317" s="7">
        <f>IF(AND(M316&gt;0.005,H316&lt;&gt;""),315,"")</f>
        <v/>
      </c>
      <c r="I317" s="8">
        <f>IF(H317&lt;&gt;"",EDATE(StartDate,314),"")</f>
        <v/>
      </c>
      <c r="J317" s="9">
        <f>IF(H317&lt;&gt;"",MIN(MonthlyPmt,M316+K317),"")</f>
        <v/>
      </c>
      <c r="K317" s="9">
        <f>IF(H317&lt;&gt;"",ROUND(M316*AnnualRate/12,2),"")</f>
        <v/>
      </c>
      <c r="L317" s="9">
        <f>IF(H317&lt;&gt;"",MIN(M316,(J317-K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M317" s="9">
        <f>IF(H317&lt;&gt;"",ROUND(M316-L317,2),"")</f>
        <v/>
      </c>
    </row>
    <row r="318">
      <c r="H318" s="11">
        <f>IF(AND(M317&gt;0.005,H317&lt;&gt;""),316,"")</f>
        <v/>
      </c>
      <c r="I318" s="12">
        <f>IF(H318&lt;&gt;"",EDATE(StartDate,315),"")</f>
        <v/>
      </c>
      <c r="J318" s="13">
        <f>IF(H318&lt;&gt;"",MIN(MonthlyPmt,M317+K318),"")</f>
        <v/>
      </c>
      <c r="K318" s="13">
        <f>IF(H318&lt;&gt;"",ROUND(M317*AnnualRate/12,2),"")</f>
        <v/>
      </c>
      <c r="L318" s="13">
        <f>IF(H318&lt;&gt;"",MIN(M317,(J318-K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M318" s="13">
        <f>IF(H318&lt;&gt;"",ROUND(M317-L318,2),"")</f>
        <v/>
      </c>
    </row>
    <row r="319">
      <c r="H319" s="7">
        <f>IF(AND(M318&gt;0.005,H318&lt;&gt;""),317,"")</f>
        <v/>
      </c>
      <c r="I319" s="8">
        <f>IF(H319&lt;&gt;"",EDATE(StartDate,316),"")</f>
        <v/>
      </c>
      <c r="J319" s="9">
        <f>IF(H319&lt;&gt;"",MIN(MonthlyPmt,M318+K319),"")</f>
        <v/>
      </c>
      <c r="K319" s="9">
        <f>IF(H319&lt;&gt;"",ROUND(M318*AnnualRate/12,2),"")</f>
        <v/>
      </c>
      <c r="L319" s="9">
        <f>IF(H319&lt;&gt;"",MIN(M318,(J319-K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M319" s="9">
        <f>IF(H319&lt;&gt;"",ROUND(M318-L319,2),"")</f>
        <v/>
      </c>
    </row>
    <row r="320">
      <c r="H320" s="11">
        <f>IF(AND(M319&gt;0.005,H319&lt;&gt;""),318,"")</f>
        <v/>
      </c>
      <c r="I320" s="12">
        <f>IF(H320&lt;&gt;"",EDATE(StartDate,317),"")</f>
        <v/>
      </c>
      <c r="J320" s="13">
        <f>IF(H320&lt;&gt;"",MIN(MonthlyPmt,M319+K320),"")</f>
        <v/>
      </c>
      <c r="K320" s="13">
        <f>IF(H320&lt;&gt;"",ROUND(M319*AnnualRate/12,2),"")</f>
        <v/>
      </c>
      <c r="L320" s="13">
        <f>IF(H320&lt;&gt;"",MIN(M319,(J320-K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M320" s="13">
        <f>IF(H320&lt;&gt;"",ROUND(M319-L320,2),"")</f>
        <v/>
      </c>
    </row>
    <row r="321">
      <c r="H321" s="7">
        <f>IF(AND(M320&gt;0.005,H320&lt;&gt;""),319,"")</f>
        <v/>
      </c>
      <c r="I321" s="8">
        <f>IF(H321&lt;&gt;"",EDATE(StartDate,318),"")</f>
        <v/>
      </c>
      <c r="J321" s="9">
        <f>IF(H321&lt;&gt;"",MIN(MonthlyPmt,M320+K321),"")</f>
        <v/>
      </c>
      <c r="K321" s="9">
        <f>IF(H321&lt;&gt;"",ROUND(M320*AnnualRate/12,2),"")</f>
        <v/>
      </c>
      <c r="L321" s="9">
        <f>IF(H321&lt;&gt;"",MIN(M320,(J321-K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M321" s="9">
        <f>IF(H321&lt;&gt;"",ROUND(M320-L321,2),"")</f>
        <v/>
      </c>
    </row>
    <row r="322">
      <c r="H322" s="11">
        <f>IF(AND(M321&gt;0.005,H321&lt;&gt;""),320,"")</f>
        <v/>
      </c>
      <c r="I322" s="12">
        <f>IF(H322&lt;&gt;"",EDATE(StartDate,319),"")</f>
        <v/>
      </c>
      <c r="J322" s="13">
        <f>IF(H322&lt;&gt;"",MIN(MonthlyPmt,M321+K322),"")</f>
        <v/>
      </c>
      <c r="K322" s="13">
        <f>IF(H322&lt;&gt;"",ROUND(M321*AnnualRate/12,2),"")</f>
        <v/>
      </c>
      <c r="L322" s="13">
        <f>IF(H322&lt;&gt;"",MIN(M321,(J322-K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M322" s="13">
        <f>IF(H322&lt;&gt;"",ROUND(M321-L322,2),"")</f>
        <v/>
      </c>
    </row>
    <row r="323">
      <c r="H323" s="7">
        <f>IF(AND(M322&gt;0.005,H322&lt;&gt;""),321,"")</f>
        <v/>
      </c>
      <c r="I323" s="8">
        <f>IF(H323&lt;&gt;"",EDATE(StartDate,320),"")</f>
        <v/>
      </c>
      <c r="J323" s="9">
        <f>IF(H323&lt;&gt;"",MIN(MonthlyPmt,M322+K323),"")</f>
        <v/>
      </c>
      <c r="K323" s="9">
        <f>IF(H323&lt;&gt;"",ROUND(M322*AnnualRate/12,2),"")</f>
        <v/>
      </c>
      <c r="L323" s="9">
        <f>IF(H323&lt;&gt;"",MIN(M322,(J323-K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M323" s="9">
        <f>IF(H323&lt;&gt;"",ROUND(M322-L323,2),"")</f>
        <v/>
      </c>
    </row>
    <row r="324">
      <c r="H324" s="11">
        <f>IF(AND(M323&gt;0.005,H323&lt;&gt;""),322,"")</f>
        <v/>
      </c>
      <c r="I324" s="12">
        <f>IF(H324&lt;&gt;"",EDATE(StartDate,321),"")</f>
        <v/>
      </c>
      <c r="J324" s="13">
        <f>IF(H324&lt;&gt;"",MIN(MonthlyPmt,M323+K324),"")</f>
        <v/>
      </c>
      <c r="K324" s="13">
        <f>IF(H324&lt;&gt;"",ROUND(M323*AnnualRate/12,2),"")</f>
        <v/>
      </c>
      <c r="L324" s="13">
        <f>IF(H324&lt;&gt;"",MIN(M323,(J324-K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M324" s="13">
        <f>IF(H324&lt;&gt;"",ROUND(M323-L324,2),"")</f>
        <v/>
      </c>
    </row>
    <row r="325">
      <c r="H325" s="7">
        <f>IF(AND(M324&gt;0.005,H324&lt;&gt;""),323,"")</f>
        <v/>
      </c>
      <c r="I325" s="8">
        <f>IF(H325&lt;&gt;"",EDATE(StartDate,322),"")</f>
        <v/>
      </c>
      <c r="J325" s="9">
        <f>IF(H325&lt;&gt;"",MIN(MonthlyPmt,M324+K325),"")</f>
        <v/>
      </c>
      <c r="K325" s="9">
        <f>IF(H325&lt;&gt;"",ROUND(M324*AnnualRate/12,2),"")</f>
        <v/>
      </c>
      <c r="L325" s="9">
        <f>IF(H325&lt;&gt;"",MIN(M324,(J325-K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M325" s="9">
        <f>IF(H325&lt;&gt;"",ROUND(M324-L325,2),"")</f>
        <v/>
      </c>
    </row>
    <row r="326">
      <c r="H326" s="11">
        <f>IF(AND(M325&gt;0.005,H325&lt;&gt;""),324,"")</f>
        <v/>
      </c>
      <c r="I326" s="12">
        <f>IF(H326&lt;&gt;"",EDATE(StartDate,323),"")</f>
        <v/>
      </c>
      <c r="J326" s="13">
        <f>IF(H326&lt;&gt;"",MIN(MonthlyPmt,M325+K326),"")</f>
        <v/>
      </c>
      <c r="K326" s="13">
        <f>IF(H326&lt;&gt;"",ROUND(M325*AnnualRate/12,2),"")</f>
        <v/>
      </c>
      <c r="L326" s="13">
        <f>IF(H326&lt;&gt;"",MIN(M325,(J326-K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M326" s="13">
        <f>IF(H326&lt;&gt;"",ROUND(M325-L326,2),"")</f>
        <v/>
      </c>
    </row>
    <row r="327">
      <c r="H327" s="7">
        <f>IF(AND(M326&gt;0.005,H326&lt;&gt;""),325,"")</f>
        <v/>
      </c>
      <c r="I327" s="8">
        <f>IF(H327&lt;&gt;"",EDATE(StartDate,324),"")</f>
        <v/>
      </c>
      <c r="J327" s="9">
        <f>IF(H327&lt;&gt;"",MIN(MonthlyPmt,M326+K327),"")</f>
        <v/>
      </c>
      <c r="K327" s="9">
        <f>IF(H327&lt;&gt;"",ROUND(M326*AnnualRate/12,2),"")</f>
        <v/>
      </c>
      <c r="L327" s="9">
        <f>IF(H327&lt;&gt;"",MIN(M326,(J327-K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M327" s="9">
        <f>IF(H327&lt;&gt;"",ROUND(M326-L327,2),"")</f>
        <v/>
      </c>
    </row>
    <row r="328">
      <c r="H328" s="11">
        <f>IF(AND(M327&gt;0.005,H327&lt;&gt;""),326,"")</f>
        <v/>
      </c>
      <c r="I328" s="12">
        <f>IF(H328&lt;&gt;"",EDATE(StartDate,325),"")</f>
        <v/>
      </c>
      <c r="J328" s="13">
        <f>IF(H328&lt;&gt;"",MIN(MonthlyPmt,M327+K328),"")</f>
        <v/>
      </c>
      <c r="K328" s="13">
        <f>IF(H328&lt;&gt;"",ROUND(M327*AnnualRate/12,2),"")</f>
        <v/>
      </c>
      <c r="L328" s="13">
        <f>IF(H328&lt;&gt;"",MIN(M327,(J328-K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M328" s="13">
        <f>IF(H328&lt;&gt;"",ROUND(M327-L328,2),"")</f>
        <v/>
      </c>
    </row>
    <row r="329">
      <c r="H329" s="7">
        <f>IF(AND(M328&gt;0.005,H328&lt;&gt;""),327,"")</f>
        <v/>
      </c>
      <c r="I329" s="8">
        <f>IF(H329&lt;&gt;"",EDATE(StartDate,326),"")</f>
        <v/>
      </c>
      <c r="J329" s="9">
        <f>IF(H329&lt;&gt;"",MIN(MonthlyPmt,M328+K329),"")</f>
        <v/>
      </c>
      <c r="K329" s="9">
        <f>IF(H329&lt;&gt;"",ROUND(M328*AnnualRate/12,2),"")</f>
        <v/>
      </c>
      <c r="L329" s="9">
        <f>IF(H329&lt;&gt;"",MIN(M328,(J329-K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M329" s="9">
        <f>IF(H329&lt;&gt;"",ROUND(M328-L329,2),"")</f>
        <v/>
      </c>
    </row>
    <row r="330">
      <c r="H330" s="11">
        <f>IF(AND(M329&gt;0.005,H329&lt;&gt;""),328,"")</f>
        <v/>
      </c>
      <c r="I330" s="12">
        <f>IF(H330&lt;&gt;"",EDATE(StartDate,327),"")</f>
        <v/>
      </c>
      <c r="J330" s="13">
        <f>IF(H330&lt;&gt;"",MIN(MonthlyPmt,M329+K330),"")</f>
        <v/>
      </c>
      <c r="K330" s="13">
        <f>IF(H330&lt;&gt;"",ROUND(M329*AnnualRate/12,2),"")</f>
        <v/>
      </c>
      <c r="L330" s="13">
        <f>IF(H330&lt;&gt;"",MIN(M329,(J330-K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M330" s="13">
        <f>IF(H330&lt;&gt;"",ROUND(M329-L330,2),"")</f>
        <v/>
      </c>
    </row>
    <row r="331">
      <c r="H331" s="7">
        <f>IF(AND(M330&gt;0.005,H330&lt;&gt;""),329,"")</f>
        <v/>
      </c>
      <c r="I331" s="8">
        <f>IF(H331&lt;&gt;"",EDATE(StartDate,328),"")</f>
        <v/>
      </c>
      <c r="J331" s="9">
        <f>IF(H331&lt;&gt;"",MIN(MonthlyPmt,M330+K331),"")</f>
        <v/>
      </c>
      <c r="K331" s="9">
        <f>IF(H331&lt;&gt;"",ROUND(M330*AnnualRate/12,2),"")</f>
        <v/>
      </c>
      <c r="L331" s="9">
        <f>IF(H331&lt;&gt;"",MIN(M330,(J331-K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M331" s="9">
        <f>IF(H331&lt;&gt;"",ROUND(M330-L331,2),"")</f>
        <v/>
      </c>
    </row>
    <row r="332">
      <c r="H332" s="11">
        <f>IF(AND(M331&gt;0.005,H331&lt;&gt;""),330,"")</f>
        <v/>
      </c>
      <c r="I332" s="12">
        <f>IF(H332&lt;&gt;"",EDATE(StartDate,329),"")</f>
        <v/>
      </c>
      <c r="J332" s="13">
        <f>IF(H332&lt;&gt;"",MIN(MonthlyPmt,M331+K332),"")</f>
        <v/>
      </c>
      <c r="K332" s="13">
        <f>IF(H332&lt;&gt;"",ROUND(M331*AnnualRate/12,2),"")</f>
        <v/>
      </c>
      <c r="L332" s="13">
        <f>IF(H332&lt;&gt;"",MIN(M331,(J332-K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M332" s="13">
        <f>IF(H332&lt;&gt;"",ROUND(M331-L332,2),"")</f>
        <v/>
      </c>
    </row>
    <row r="333">
      <c r="H333" s="7">
        <f>IF(AND(M332&gt;0.005,H332&lt;&gt;""),331,"")</f>
        <v/>
      </c>
      <c r="I333" s="8">
        <f>IF(H333&lt;&gt;"",EDATE(StartDate,330),"")</f>
        <v/>
      </c>
      <c r="J333" s="9">
        <f>IF(H333&lt;&gt;"",MIN(MonthlyPmt,M332+K333),"")</f>
        <v/>
      </c>
      <c r="K333" s="9">
        <f>IF(H333&lt;&gt;"",ROUND(M332*AnnualRate/12,2),"")</f>
        <v/>
      </c>
      <c r="L333" s="9">
        <f>IF(H333&lt;&gt;"",MIN(M332,(J333-K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M333" s="9">
        <f>IF(H333&lt;&gt;"",ROUND(M332-L333,2),"")</f>
        <v/>
      </c>
    </row>
    <row r="334">
      <c r="H334" s="11">
        <f>IF(AND(M333&gt;0.005,H333&lt;&gt;""),332,"")</f>
        <v/>
      </c>
      <c r="I334" s="12">
        <f>IF(H334&lt;&gt;"",EDATE(StartDate,331),"")</f>
        <v/>
      </c>
      <c r="J334" s="13">
        <f>IF(H334&lt;&gt;"",MIN(MonthlyPmt,M333+K334),"")</f>
        <v/>
      </c>
      <c r="K334" s="13">
        <f>IF(H334&lt;&gt;"",ROUND(M333*AnnualRate/12,2),"")</f>
        <v/>
      </c>
      <c r="L334" s="13">
        <f>IF(H334&lt;&gt;"",MIN(M333,(J334-K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M334" s="13">
        <f>IF(H334&lt;&gt;"",ROUND(M333-L334,2),"")</f>
        <v/>
      </c>
    </row>
    <row r="335">
      <c r="H335" s="7">
        <f>IF(AND(M334&gt;0.005,H334&lt;&gt;""),333,"")</f>
        <v/>
      </c>
      <c r="I335" s="8">
        <f>IF(H335&lt;&gt;"",EDATE(StartDate,332),"")</f>
        <v/>
      </c>
      <c r="J335" s="9">
        <f>IF(H335&lt;&gt;"",MIN(MonthlyPmt,M334+K335),"")</f>
        <v/>
      </c>
      <c r="K335" s="9">
        <f>IF(H335&lt;&gt;"",ROUND(M334*AnnualRate/12,2),"")</f>
        <v/>
      </c>
      <c r="L335" s="9">
        <f>IF(H335&lt;&gt;"",MIN(M334,(J335-K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M335" s="9">
        <f>IF(H335&lt;&gt;"",ROUND(M334-L335,2),"")</f>
        <v/>
      </c>
    </row>
    <row r="336">
      <c r="H336" s="11">
        <f>IF(AND(M335&gt;0.005,H335&lt;&gt;""),334,"")</f>
        <v/>
      </c>
      <c r="I336" s="12">
        <f>IF(H336&lt;&gt;"",EDATE(StartDate,333),"")</f>
        <v/>
      </c>
      <c r="J336" s="13">
        <f>IF(H336&lt;&gt;"",MIN(MonthlyPmt,M335+K336),"")</f>
        <v/>
      </c>
      <c r="K336" s="13">
        <f>IF(H336&lt;&gt;"",ROUND(M335*AnnualRate/12,2),"")</f>
        <v/>
      </c>
      <c r="L336" s="13">
        <f>IF(H336&lt;&gt;"",MIN(M335,(J336-K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M336" s="13">
        <f>IF(H336&lt;&gt;"",ROUND(M335-L336,2),"")</f>
        <v/>
      </c>
    </row>
    <row r="337">
      <c r="H337" s="7">
        <f>IF(AND(M336&gt;0.005,H336&lt;&gt;""),335,"")</f>
        <v/>
      </c>
      <c r="I337" s="8">
        <f>IF(H337&lt;&gt;"",EDATE(StartDate,334),"")</f>
        <v/>
      </c>
      <c r="J337" s="9">
        <f>IF(H337&lt;&gt;"",MIN(MonthlyPmt,M336+K337),"")</f>
        <v/>
      </c>
      <c r="K337" s="9">
        <f>IF(H337&lt;&gt;"",ROUND(M336*AnnualRate/12,2),"")</f>
        <v/>
      </c>
      <c r="L337" s="9">
        <f>IF(H337&lt;&gt;"",MIN(M336,(J337-K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M337" s="9">
        <f>IF(H337&lt;&gt;"",ROUND(M336-L337,2),"")</f>
        <v/>
      </c>
    </row>
    <row r="338">
      <c r="H338" s="11">
        <f>IF(AND(M337&gt;0.005,H337&lt;&gt;""),336,"")</f>
        <v/>
      </c>
      <c r="I338" s="12">
        <f>IF(H338&lt;&gt;"",EDATE(StartDate,335),"")</f>
        <v/>
      </c>
      <c r="J338" s="13">
        <f>IF(H338&lt;&gt;"",MIN(MonthlyPmt,M337+K338),"")</f>
        <v/>
      </c>
      <c r="K338" s="13">
        <f>IF(H338&lt;&gt;"",ROUND(M337*AnnualRate/12,2),"")</f>
        <v/>
      </c>
      <c r="L338" s="13">
        <f>IF(H338&lt;&gt;"",MIN(M337,(J338-K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M338" s="13">
        <f>IF(H338&lt;&gt;"",ROUND(M337-L338,2),"")</f>
        <v/>
      </c>
    </row>
    <row r="339">
      <c r="H339" s="7">
        <f>IF(AND(M338&gt;0.005,H338&lt;&gt;""),337,"")</f>
        <v/>
      </c>
      <c r="I339" s="8">
        <f>IF(H339&lt;&gt;"",EDATE(StartDate,336),"")</f>
        <v/>
      </c>
      <c r="J339" s="9">
        <f>IF(H339&lt;&gt;"",MIN(MonthlyPmt,M338+K339),"")</f>
        <v/>
      </c>
      <c r="K339" s="9">
        <f>IF(H339&lt;&gt;"",ROUND(M338*AnnualRate/12,2),"")</f>
        <v/>
      </c>
      <c r="L339" s="9">
        <f>IF(H339&lt;&gt;"",MIN(M338,(J339-K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M339" s="9">
        <f>IF(H339&lt;&gt;"",ROUND(M338-L339,2),"")</f>
        <v/>
      </c>
    </row>
    <row r="340">
      <c r="H340" s="11">
        <f>IF(AND(M339&gt;0.005,H339&lt;&gt;""),338,"")</f>
        <v/>
      </c>
      <c r="I340" s="12">
        <f>IF(H340&lt;&gt;"",EDATE(StartDate,337),"")</f>
        <v/>
      </c>
      <c r="J340" s="13">
        <f>IF(H340&lt;&gt;"",MIN(MonthlyPmt,M339+K340),"")</f>
        <v/>
      </c>
      <c r="K340" s="13">
        <f>IF(H340&lt;&gt;"",ROUND(M339*AnnualRate/12,2),"")</f>
        <v/>
      </c>
      <c r="L340" s="13">
        <f>IF(H340&lt;&gt;"",MIN(M339,(J340-K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M340" s="13">
        <f>IF(H340&lt;&gt;"",ROUND(M339-L340,2),"")</f>
        <v/>
      </c>
    </row>
    <row r="341">
      <c r="H341" s="7">
        <f>IF(AND(M340&gt;0.005,H340&lt;&gt;""),339,"")</f>
        <v/>
      </c>
      <c r="I341" s="8">
        <f>IF(H341&lt;&gt;"",EDATE(StartDate,338),"")</f>
        <v/>
      </c>
      <c r="J341" s="9">
        <f>IF(H341&lt;&gt;"",MIN(MonthlyPmt,M340+K341),"")</f>
        <v/>
      </c>
      <c r="K341" s="9">
        <f>IF(H341&lt;&gt;"",ROUND(M340*AnnualRate/12,2),"")</f>
        <v/>
      </c>
      <c r="L341" s="9">
        <f>IF(H341&lt;&gt;"",MIN(M340,(J341-K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M341" s="9">
        <f>IF(H341&lt;&gt;"",ROUND(M340-L341,2),"")</f>
        <v/>
      </c>
    </row>
    <row r="342">
      <c r="H342" s="11">
        <f>IF(AND(M341&gt;0.005,H341&lt;&gt;""),340,"")</f>
        <v/>
      </c>
      <c r="I342" s="12">
        <f>IF(H342&lt;&gt;"",EDATE(StartDate,339),"")</f>
        <v/>
      </c>
      <c r="J342" s="13">
        <f>IF(H342&lt;&gt;"",MIN(MonthlyPmt,M341+K342),"")</f>
        <v/>
      </c>
      <c r="K342" s="13">
        <f>IF(H342&lt;&gt;"",ROUND(M341*AnnualRate/12,2),"")</f>
        <v/>
      </c>
      <c r="L342" s="13">
        <f>IF(H342&lt;&gt;"",MIN(M341,(J342-K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M342" s="13">
        <f>IF(H342&lt;&gt;"",ROUND(M341-L342,2),"")</f>
        <v/>
      </c>
    </row>
    <row r="343">
      <c r="H343" s="7">
        <f>IF(AND(M342&gt;0.005,H342&lt;&gt;""),341,"")</f>
        <v/>
      </c>
      <c r="I343" s="8">
        <f>IF(H343&lt;&gt;"",EDATE(StartDate,340),"")</f>
        <v/>
      </c>
      <c r="J343" s="9">
        <f>IF(H343&lt;&gt;"",MIN(MonthlyPmt,M342+K343),"")</f>
        <v/>
      </c>
      <c r="K343" s="9">
        <f>IF(H343&lt;&gt;"",ROUND(M342*AnnualRate/12,2),"")</f>
        <v/>
      </c>
      <c r="L343" s="9">
        <f>IF(H343&lt;&gt;"",MIN(M342,(J343-K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M343" s="9">
        <f>IF(H343&lt;&gt;"",ROUND(M342-L343,2),"")</f>
        <v/>
      </c>
    </row>
    <row r="344">
      <c r="H344" s="11">
        <f>IF(AND(M343&gt;0.005,H343&lt;&gt;""),342,"")</f>
        <v/>
      </c>
      <c r="I344" s="12">
        <f>IF(H344&lt;&gt;"",EDATE(StartDate,341),"")</f>
        <v/>
      </c>
      <c r="J344" s="13">
        <f>IF(H344&lt;&gt;"",MIN(MonthlyPmt,M343+K344),"")</f>
        <v/>
      </c>
      <c r="K344" s="13">
        <f>IF(H344&lt;&gt;"",ROUND(M343*AnnualRate/12,2),"")</f>
        <v/>
      </c>
      <c r="L344" s="13">
        <f>IF(H344&lt;&gt;"",MIN(M343,(J344-K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M344" s="13">
        <f>IF(H344&lt;&gt;"",ROUND(M343-L344,2),"")</f>
        <v/>
      </c>
    </row>
    <row r="345">
      <c r="H345" s="7">
        <f>IF(AND(M344&gt;0.005,H344&lt;&gt;""),343,"")</f>
        <v/>
      </c>
      <c r="I345" s="8">
        <f>IF(H345&lt;&gt;"",EDATE(StartDate,342),"")</f>
        <v/>
      </c>
      <c r="J345" s="9">
        <f>IF(H345&lt;&gt;"",MIN(MonthlyPmt,M344+K345),"")</f>
        <v/>
      </c>
      <c r="K345" s="9">
        <f>IF(H345&lt;&gt;"",ROUND(M344*AnnualRate/12,2),"")</f>
        <v/>
      </c>
      <c r="L345" s="9">
        <f>IF(H345&lt;&gt;"",MIN(M344,(J345-K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M345" s="9">
        <f>IF(H345&lt;&gt;"",ROUND(M344-L345,2),"")</f>
        <v/>
      </c>
    </row>
    <row r="346">
      <c r="H346" s="11">
        <f>IF(AND(M345&gt;0.005,H345&lt;&gt;""),344,"")</f>
        <v/>
      </c>
      <c r="I346" s="12">
        <f>IF(H346&lt;&gt;"",EDATE(StartDate,343),"")</f>
        <v/>
      </c>
      <c r="J346" s="13">
        <f>IF(H346&lt;&gt;"",MIN(MonthlyPmt,M345+K346),"")</f>
        <v/>
      </c>
      <c r="K346" s="13">
        <f>IF(H346&lt;&gt;"",ROUND(M345*AnnualRate/12,2),"")</f>
        <v/>
      </c>
      <c r="L346" s="13">
        <f>IF(H346&lt;&gt;"",MIN(M345,(J346-K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M346" s="13">
        <f>IF(H346&lt;&gt;"",ROUND(M345-L346,2),"")</f>
        <v/>
      </c>
    </row>
    <row r="347">
      <c r="H347" s="7">
        <f>IF(AND(M346&gt;0.005,H346&lt;&gt;""),345,"")</f>
        <v/>
      </c>
      <c r="I347" s="8">
        <f>IF(H347&lt;&gt;"",EDATE(StartDate,344),"")</f>
        <v/>
      </c>
      <c r="J347" s="9">
        <f>IF(H347&lt;&gt;"",MIN(MonthlyPmt,M346+K347),"")</f>
        <v/>
      </c>
      <c r="K347" s="9">
        <f>IF(H347&lt;&gt;"",ROUND(M346*AnnualRate/12,2),"")</f>
        <v/>
      </c>
      <c r="L347" s="9">
        <f>IF(H347&lt;&gt;"",MIN(M346,(J347-K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M347" s="9">
        <f>IF(H347&lt;&gt;"",ROUND(M346-L347,2),"")</f>
        <v/>
      </c>
    </row>
    <row r="348">
      <c r="H348" s="11">
        <f>IF(AND(M347&gt;0.005,H347&lt;&gt;""),346,"")</f>
        <v/>
      </c>
      <c r="I348" s="12">
        <f>IF(H348&lt;&gt;"",EDATE(StartDate,345),"")</f>
        <v/>
      </c>
      <c r="J348" s="13">
        <f>IF(H348&lt;&gt;"",MIN(MonthlyPmt,M347+K348),"")</f>
        <v/>
      </c>
      <c r="K348" s="13">
        <f>IF(H348&lt;&gt;"",ROUND(M347*AnnualRate/12,2),"")</f>
        <v/>
      </c>
      <c r="L348" s="13">
        <f>IF(H348&lt;&gt;"",MIN(M347,(J348-K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M348" s="13">
        <f>IF(H348&lt;&gt;"",ROUND(M347-L348,2),"")</f>
        <v/>
      </c>
    </row>
    <row r="349">
      <c r="H349" s="7">
        <f>IF(AND(M348&gt;0.005,H348&lt;&gt;""),347,"")</f>
        <v/>
      </c>
      <c r="I349" s="8">
        <f>IF(H349&lt;&gt;"",EDATE(StartDate,346),"")</f>
        <v/>
      </c>
      <c r="J349" s="9">
        <f>IF(H349&lt;&gt;"",MIN(MonthlyPmt,M348+K349),"")</f>
        <v/>
      </c>
      <c r="K349" s="9">
        <f>IF(H349&lt;&gt;"",ROUND(M348*AnnualRate/12,2),"")</f>
        <v/>
      </c>
      <c r="L349" s="9">
        <f>IF(H349&lt;&gt;"",MIN(M348,(J349-K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M349" s="9">
        <f>IF(H349&lt;&gt;"",ROUND(M348-L349,2),"")</f>
        <v/>
      </c>
    </row>
    <row r="350">
      <c r="H350" s="11">
        <f>IF(AND(M349&gt;0.005,H349&lt;&gt;""),348,"")</f>
        <v/>
      </c>
      <c r="I350" s="12">
        <f>IF(H350&lt;&gt;"",EDATE(StartDate,347),"")</f>
        <v/>
      </c>
      <c r="J350" s="13">
        <f>IF(H350&lt;&gt;"",MIN(MonthlyPmt,M349+K350),"")</f>
        <v/>
      </c>
      <c r="K350" s="13">
        <f>IF(H350&lt;&gt;"",ROUND(M349*AnnualRate/12,2),"")</f>
        <v/>
      </c>
      <c r="L350" s="13">
        <f>IF(H350&lt;&gt;"",MIN(M349,(J350-K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M350" s="13">
        <f>IF(H350&lt;&gt;"",ROUND(M349-L350,2),"")</f>
        <v/>
      </c>
    </row>
    <row r="351">
      <c r="H351" s="7">
        <f>IF(AND(M350&gt;0.005,H350&lt;&gt;""),349,"")</f>
        <v/>
      </c>
      <c r="I351" s="8">
        <f>IF(H351&lt;&gt;"",EDATE(StartDate,348),"")</f>
        <v/>
      </c>
      <c r="J351" s="9">
        <f>IF(H351&lt;&gt;"",MIN(MonthlyPmt,M350+K351),"")</f>
        <v/>
      </c>
      <c r="K351" s="9">
        <f>IF(H351&lt;&gt;"",ROUND(M350*AnnualRate/12,2),"")</f>
        <v/>
      </c>
      <c r="L351" s="9">
        <f>IF(H351&lt;&gt;"",MIN(M350,(J351-K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M351" s="9">
        <f>IF(H351&lt;&gt;"",ROUND(M350-L351,2),"")</f>
        <v/>
      </c>
    </row>
    <row r="352">
      <c r="H352" s="11">
        <f>IF(AND(M351&gt;0.005,H351&lt;&gt;""),350,"")</f>
        <v/>
      </c>
      <c r="I352" s="12">
        <f>IF(H352&lt;&gt;"",EDATE(StartDate,349),"")</f>
        <v/>
      </c>
      <c r="J352" s="13">
        <f>IF(H352&lt;&gt;"",MIN(MonthlyPmt,M351+K352),"")</f>
        <v/>
      </c>
      <c r="K352" s="13">
        <f>IF(H352&lt;&gt;"",ROUND(M351*AnnualRate/12,2),"")</f>
        <v/>
      </c>
      <c r="L352" s="13">
        <f>IF(H352&lt;&gt;"",MIN(M351,(J352-K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M352" s="13">
        <f>IF(H352&lt;&gt;"",ROUND(M351-L352,2),"")</f>
        <v/>
      </c>
    </row>
    <row r="353">
      <c r="H353" s="7">
        <f>IF(AND(M352&gt;0.005,H352&lt;&gt;""),351,"")</f>
        <v/>
      </c>
      <c r="I353" s="8">
        <f>IF(H353&lt;&gt;"",EDATE(StartDate,350),"")</f>
        <v/>
      </c>
      <c r="J353" s="9">
        <f>IF(H353&lt;&gt;"",MIN(MonthlyPmt,M352+K353),"")</f>
        <v/>
      </c>
      <c r="K353" s="9">
        <f>IF(H353&lt;&gt;"",ROUND(M352*AnnualRate/12,2),"")</f>
        <v/>
      </c>
      <c r="L353" s="9">
        <f>IF(H353&lt;&gt;"",MIN(M352,(J353-K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M353" s="9">
        <f>IF(H353&lt;&gt;"",ROUND(M352-L353,2),"")</f>
        <v/>
      </c>
    </row>
    <row r="354">
      <c r="H354" s="11">
        <f>IF(AND(M353&gt;0.005,H353&lt;&gt;""),352,"")</f>
        <v/>
      </c>
      <c r="I354" s="12">
        <f>IF(H354&lt;&gt;"",EDATE(StartDate,351),"")</f>
        <v/>
      </c>
      <c r="J354" s="13">
        <f>IF(H354&lt;&gt;"",MIN(MonthlyPmt,M353+K354),"")</f>
        <v/>
      </c>
      <c r="K354" s="13">
        <f>IF(H354&lt;&gt;"",ROUND(M353*AnnualRate/12,2),"")</f>
        <v/>
      </c>
      <c r="L354" s="13">
        <f>IF(H354&lt;&gt;"",MIN(M353,(J354-K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M354" s="13">
        <f>IF(H354&lt;&gt;"",ROUND(M353-L354,2),"")</f>
        <v/>
      </c>
    </row>
    <row r="355">
      <c r="H355" s="7">
        <f>IF(AND(M354&gt;0.005,H354&lt;&gt;""),353,"")</f>
        <v/>
      </c>
      <c r="I355" s="8">
        <f>IF(H355&lt;&gt;"",EDATE(StartDate,352),"")</f>
        <v/>
      </c>
      <c r="J355" s="9">
        <f>IF(H355&lt;&gt;"",MIN(MonthlyPmt,M354+K355),"")</f>
        <v/>
      </c>
      <c r="K355" s="9">
        <f>IF(H355&lt;&gt;"",ROUND(M354*AnnualRate/12,2),"")</f>
        <v/>
      </c>
      <c r="L355" s="9">
        <f>IF(H355&lt;&gt;"",MIN(M354,(J355-K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M355" s="9">
        <f>IF(H355&lt;&gt;"",ROUND(M354-L355,2),"")</f>
        <v/>
      </c>
    </row>
    <row r="356">
      <c r="H356" s="11">
        <f>IF(AND(M355&gt;0.005,H355&lt;&gt;""),354,"")</f>
        <v/>
      </c>
      <c r="I356" s="12">
        <f>IF(H356&lt;&gt;"",EDATE(StartDate,353),"")</f>
        <v/>
      </c>
      <c r="J356" s="13">
        <f>IF(H356&lt;&gt;"",MIN(MonthlyPmt,M355+K356),"")</f>
        <v/>
      </c>
      <c r="K356" s="13">
        <f>IF(H356&lt;&gt;"",ROUND(M355*AnnualRate/12,2),"")</f>
        <v/>
      </c>
      <c r="L356" s="13">
        <f>IF(H356&lt;&gt;"",MIN(M355,(J356-K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M356" s="13">
        <f>IF(H356&lt;&gt;"",ROUND(M355-L356,2),"")</f>
        <v/>
      </c>
    </row>
    <row r="357">
      <c r="H357" s="7">
        <f>IF(AND(M356&gt;0.005,H356&lt;&gt;""),355,"")</f>
        <v/>
      </c>
      <c r="I357" s="8">
        <f>IF(H357&lt;&gt;"",EDATE(StartDate,354),"")</f>
        <v/>
      </c>
      <c r="J357" s="9">
        <f>IF(H357&lt;&gt;"",MIN(MonthlyPmt,M356+K357),"")</f>
        <v/>
      </c>
      <c r="K357" s="9">
        <f>IF(H357&lt;&gt;"",ROUND(M356*AnnualRate/12,2),"")</f>
        <v/>
      </c>
      <c r="L357" s="9">
        <f>IF(H357&lt;&gt;"",MIN(M356,(J357-K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M357" s="9">
        <f>IF(H357&lt;&gt;"",ROUND(M356-L357,2),"")</f>
        <v/>
      </c>
    </row>
    <row r="358">
      <c r="H358" s="11">
        <f>IF(AND(M357&gt;0.005,H357&lt;&gt;""),356,"")</f>
        <v/>
      </c>
      <c r="I358" s="12">
        <f>IF(H358&lt;&gt;"",EDATE(StartDate,355),"")</f>
        <v/>
      </c>
      <c r="J358" s="13">
        <f>IF(H358&lt;&gt;"",MIN(MonthlyPmt,M357+K358),"")</f>
        <v/>
      </c>
      <c r="K358" s="13">
        <f>IF(H358&lt;&gt;"",ROUND(M357*AnnualRate/12,2),"")</f>
        <v/>
      </c>
      <c r="L358" s="13">
        <f>IF(H358&lt;&gt;"",MIN(M357,(J358-K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M358" s="13">
        <f>IF(H358&lt;&gt;"",ROUND(M357-L358,2),"")</f>
        <v/>
      </c>
    </row>
    <row r="359">
      <c r="H359" s="7">
        <f>IF(AND(M358&gt;0.005,H358&lt;&gt;""),357,"")</f>
        <v/>
      </c>
      <c r="I359" s="8">
        <f>IF(H359&lt;&gt;"",EDATE(StartDate,356),"")</f>
        <v/>
      </c>
      <c r="J359" s="9">
        <f>IF(H359&lt;&gt;"",MIN(MonthlyPmt,M358+K359),"")</f>
        <v/>
      </c>
      <c r="K359" s="9">
        <f>IF(H359&lt;&gt;"",ROUND(M358*AnnualRate/12,2),"")</f>
        <v/>
      </c>
      <c r="L359" s="9">
        <f>IF(H359&lt;&gt;"",MIN(M358,(J359-K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M359" s="9">
        <f>IF(H359&lt;&gt;"",ROUND(M358-L359,2),"")</f>
        <v/>
      </c>
    </row>
    <row r="360">
      <c r="H360" s="11">
        <f>IF(AND(M359&gt;0.005,H359&lt;&gt;""),358,"")</f>
        <v/>
      </c>
      <c r="I360" s="12">
        <f>IF(H360&lt;&gt;"",EDATE(StartDate,357),"")</f>
        <v/>
      </c>
      <c r="J360" s="13">
        <f>IF(H360&lt;&gt;"",MIN(MonthlyPmt,M359+K360),"")</f>
        <v/>
      </c>
      <c r="K360" s="13">
        <f>IF(H360&lt;&gt;"",ROUND(M359*AnnualRate/12,2),"")</f>
        <v/>
      </c>
      <c r="L360" s="13">
        <f>IF(H360&lt;&gt;"",MIN(M359,(J360-K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M360" s="13">
        <f>IF(H360&lt;&gt;"",ROUND(M359-L360,2),"")</f>
        <v/>
      </c>
    </row>
    <row r="361">
      <c r="H361" s="7">
        <f>IF(AND(M360&gt;0.005,H360&lt;&gt;""),359,"")</f>
        <v/>
      </c>
      <c r="I361" s="8">
        <f>IF(H361&lt;&gt;"",EDATE(StartDate,358),"")</f>
        <v/>
      </c>
      <c r="J361" s="9">
        <f>IF(H361&lt;&gt;"",MIN(MonthlyPmt,M360+K361),"")</f>
        <v/>
      </c>
      <c r="K361" s="9">
        <f>IF(H361&lt;&gt;"",ROUND(M360*AnnualRate/12,2),"")</f>
        <v/>
      </c>
      <c r="L361" s="9">
        <f>IF(H361&lt;&gt;"",MIN(M360,(J361-K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M361" s="9">
        <f>IF(H361&lt;&gt;"",ROUND(M360-L361,2),"")</f>
        <v/>
      </c>
    </row>
    <row r="362">
      <c r="H362" s="11">
        <f>IF(AND(M361&gt;0.005,H361&lt;&gt;""),360,"")</f>
        <v/>
      </c>
      <c r="I362" s="12">
        <f>IF(H362&lt;&gt;"",EDATE(StartDate,359),"")</f>
        <v/>
      </c>
      <c r="J362" s="13">
        <f>IF(H362&lt;&gt;"",MIN(MonthlyPmt,M361+K362),"")</f>
        <v/>
      </c>
      <c r="K362" s="13">
        <f>IF(H362&lt;&gt;"",ROUND(M361*AnnualRate/12,2),"")</f>
        <v/>
      </c>
      <c r="L362" s="13">
        <f>IF(H362&lt;&gt;"",MIN(M361,(J362-K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M362" s="13">
        <f>IF(H362&lt;&gt;"",ROUND(M361-L362,2),"")</f>
        <v/>
      </c>
    </row>
  </sheetData>
  <mergeCells count="5">
    <mergeCell ref="H1:M1"/>
    <mergeCell ref="A32:C32"/>
    <mergeCell ref="A19:E19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2026-05-15T20:34:28Z</dcterms:created>
  <dcterms:modified xsi:type="dcterms:W3CDTF">2026-05-15T20:34:28Z</dcterms:modified>
</cp:coreProperties>
</file>