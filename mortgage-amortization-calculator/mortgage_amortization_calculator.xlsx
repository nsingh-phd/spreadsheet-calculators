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</sheets>
  <definedNames>
    <definedName name="LoanAmount">Calculator!$B$2</definedName>
    <definedName name="AnnualRate">Calculator!$B$3</definedName>
    <definedName name="TermYears">Calculator!$B$4</definedName>
    <definedName name="StartDate">Calculator!$B$5</definedName>
    <definedName name="MonthlyPmt">Calculator!$B$6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00%"/>
    <numFmt numFmtId="166" formatCode="MMM YYYY"/>
  </numFmts>
  <fonts count="7">
    <font>
      <name val="Calibri"/>
      <family val="2"/>
      <color theme="1"/>
      <sz val="11"/>
      <scheme val="minor"/>
    </font>
    <font>
      <b val="1"/>
      <color rgb="002F5496"/>
      <sz val="12"/>
    </font>
    <font>
      <b val="1"/>
    </font>
    <font>
      <b val="1"/>
      <color rgb="00006600"/>
    </font>
    <font>
      <b val="1"/>
      <color rgb="00006600"/>
      <sz val="12"/>
    </font>
    <font>
      <b val="1"/>
      <color rgb="00FFFFFF"/>
      <sz val="11"/>
    </font>
    <font>
      <color rgb="00FFFFFF"/>
      <sz val="1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F2F7FB"/>
        <bgColor rgb="00F2F7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right"/>
    </xf>
    <xf numFmtId="164" fontId="0" fillId="2" borderId="1" applyAlignment="1" pivotButton="0" quotePrefix="0" xfId="0">
      <alignment horizontal="right"/>
    </xf>
    <xf numFmtId="0" fontId="5" fillId="3" borderId="1" applyAlignment="1" pivotButton="0" quotePrefix="0" xfId="0">
      <alignment horizontal="center" vertical="center"/>
    </xf>
    <xf numFmtId="165" fontId="0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0" fillId="0" borderId="0" pivotButton="0" quotePrefix="0" xfId="0"/>
    <xf numFmtId="3" fontId="0" fillId="2" borderId="1" applyAlignment="1" pivotButton="0" quotePrefix="0" xfId="0">
      <alignment horizontal="right"/>
    </xf>
    <xf numFmtId="0" fontId="0" fillId="4" borderId="1" applyAlignment="1" pivotButton="0" quotePrefix="0" xfId="0">
      <alignment horizontal="center"/>
    </xf>
    <xf numFmtId="166" fontId="0" fillId="4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166" fontId="0" fillId="2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66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right"/>
    </xf>
    <xf numFmtId="166" fontId="0" fillId="2" borderId="1" applyAlignment="1" pivotButton="0" quotePrefix="0" xfId="0">
      <alignment horizontal="center"/>
    </xf>
    <xf numFmtId="164" fontId="0" fillId="2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Principal vs Interest</a:t>
            </a:r>
          </a:p>
        </rich>
      </tx>
    </title>
    <plotArea>
      <pieChart>
        <varyColors val="1"/>
        <ser>
          <idx val="0"/>
          <order val="0"/>
          <tx>
            <strRef>
              <f>'Calculator'!Q1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619CFF"/>
              </a:solidFill>
              <a:ln>
                <a:prstDash val="solid"/>
              </a:ln>
            </spPr>
          </dPt>
          <dPt>
            <idx val="1"/>
            <spPr>
              <a:solidFill>
                <a:srgbClr val="F8766D"/>
              </a:solidFill>
              <a:ln>
                <a:prstDash val="solid"/>
              </a:ln>
            </spPr>
          </dPt>
          <dLbls>
            <showVal val="0"/>
            <showCatName val="0"/>
            <showSerName val="0"/>
            <showPercent val="0"/>
          </dLbls>
          <cat>
            <numRef>
              <f>'Calculator'!$P$2:$P$3</f>
            </numRef>
          </cat>
          <val>
            <numRef>
              <f>'Calculator'!$Q$2:$Q$3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Loan Amortization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'Calculator'!N2</f>
            </strRef>
          </tx>
          <spPr>
            <a:ln w="28000">
              <a:solidFill>
                <a:srgbClr val="619C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'Calculator'!$N$3:$N$362</f>
            </numRef>
          </val>
          <smooth val="0"/>
        </ser>
        <ser>
          <idx val="1"/>
          <order val="1"/>
          <tx>
            <strRef>
              <f>'Calculator'!O2</f>
            </strRef>
          </tx>
          <spPr>
            <a:ln w="28000">
              <a:solidFill>
                <a:srgbClr val="F8766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'Calculator'!$O$3:$O$362</f>
            </numRef>
          </val>
          <smooth val="0"/>
        </ser>
        <ser>
          <idx val="2"/>
          <order val="2"/>
          <tx>
            <strRef>
              <f>'Calculator'!L2</f>
            </strRef>
          </tx>
          <spPr>
            <a:ln w="28000">
              <a:solidFill>
                <a:srgbClr val="00BA3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'Calculator'!$L$3:$L$362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Gridlines>
          <spPr>
            <a:ln w="6350">
              <a:solidFill>
                <a:srgbClr val="E0E0E0"/>
              </a:solidFill>
              <a:prstDash val="solid"/>
            </a:ln>
          </spPr>
        </majorGridlines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0E0E0"/>
              </a:solidFill>
              <a:prstDash val="solid"/>
            </a:ln>
          </spPr>
        </majorGridlines>
        <numFmt formatCode="$#,##0,K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3</row>
      <rowOff>0</rowOff>
    </from>
    <ext cx="3780000" cy="297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21</row>
      <rowOff>0</rowOff>
    </from>
    <ext cx="5940000" cy="351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62"/>
  <sheetViews>
    <sheetView workbookViewId="0">
      <pane xSplit="7" ySplit="2" topLeftCell="H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0" customWidth="1" min="3" max="3"/>
    <col width="16" customWidth="1" min="4" max="4"/>
    <col width="14" customWidth="1" min="5" max="5"/>
    <col width="3" customWidth="1" min="6" max="6"/>
    <col width="3" customWidth="1" min="7" max="7"/>
    <col width="12" customWidth="1" min="8" max="8"/>
    <col width="14" customWidth="1" min="9" max="9"/>
    <col width="16" customWidth="1" min="10" max="10"/>
    <col width="16" customWidth="1" min="11" max="11"/>
    <col width="18" customWidth="1" min="12" max="12"/>
    <col width="0.5" customWidth="1" min="13" max="13"/>
    <col width="0.5" customWidth="1" min="14" max="14"/>
    <col width="0.5" customWidth="1" min="15" max="15"/>
    <col width="0.5" customWidth="1" min="16" max="16"/>
    <col width="0.5" customWidth="1" min="17" max="17"/>
  </cols>
  <sheetData>
    <row r="1">
      <c r="A1" s="1" t="inlineStr">
        <is>
          <t>LOAN DETAILS</t>
        </is>
      </c>
      <c r="H1" s="1" t="inlineStr">
        <is>
          <t>AMORTIZATION SCHEDULE</t>
        </is>
      </c>
      <c r="P1" s="2" t="inlineStr">
        <is>
          <t>Category</t>
        </is>
      </c>
      <c r="Q1" s="2" t="inlineStr">
        <is>
          <t>Amount</t>
        </is>
      </c>
    </row>
    <row r="2">
      <c r="A2" s="3" t="inlineStr">
        <is>
          <t>Loan Amount ($)</t>
        </is>
      </c>
      <c r="B2" s="4" t="n">
        <v>300000</v>
      </c>
      <c r="H2" s="5" t="inlineStr">
        <is>
          <t>Payment #</t>
        </is>
      </c>
      <c r="I2" s="5" t="inlineStr">
        <is>
          <t>Date</t>
        </is>
      </c>
      <c r="J2" s="5" t="inlineStr">
        <is>
          <t>Interest</t>
        </is>
      </c>
      <c r="K2" s="5" t="inlineStr">
        <is>
          <t>Principal</t>
        </is>
      </c>
      <c r="L2" s="5" t="inlineStr">
        <is>
          <t>Ending Balance</t>
        </is>
      </c>
      <c r="M2" t="inlineStr">
        <is>
          <t>Payment</t>
        </is>
      </c>
      <c r="N2" t="inlineStr">
        <is>
          <t>Cumul. Principal</t>
        </is>
      </c>
      <c r="O2" t="inlineStr">
        <is>
          <t>Cumul. Interest</t>
        </is>
      </c>
      <c r="P2" s="2" t="inlineStr">
        <is>
          <t>Principal</t>
        </is>
      </c>
      <c r="Q2" s="2">
        <f>LoanAmount</f>
        <v/>
      </c>
    </row>
    <row r="3">
      <c r="A3" s="3" t="inlineStr">
        <is>
          <t>Annual Interest Rate</t>
        </is>
      </c>
      <c r="B3" s="6" t="n">
        <v>0.05875</v>
      </c>
      <c r="H3" s="7">
        <f>IF(LoanAmount&gt;0,1,"")</f>
        <v/>
      </c>
      <c r="I3" s="8">
        <f>IF(H3&lt;&gt;"",StartDate,"")</f>
        <v/>
      </c>
      <c r="J3" s="9">
        <f>IF(H3&lt;&gt;"",ROUND(LoanAmount*AnnualRate/12,2),"")</f>
        <v/>
      </c>
      <c r="K3" s="9">
        <f>IF(H3&lt;&gt;"",MIN(LoanAmount,(M3-J3)+SUMPRODUCT(($B$22:$B$31&lt;&gt;"")*($B$22:$B$31&lt;=I3)*(($C$22:$C$31="")+($C$22:$C$31&lt;&gt;"")*($C$22:$C$31&gt;=I3))*($E$22:$E$31="Monthly")*$D$22:$D$31)+SUMPRODUCT(($B$22:$B$31&lt;&gt;"")*($B$22:$B$31&lt;=I3)*(($C$22:$C$31="")+($C$22:$C$31&lt;&gt;"")*($C$22:$C$31&gt;=I3))*($E$22:$E$31="Annual")*(MONTH($B$22:$B$31)=MONTH(I3))*$D$22:$D$31)+SUMPRODUCT(($B$35:$B$49&lt;&gt;"")*(YEAR($B$35:$B$49)=YEAR(I3))*(MONTH($B$35:$B$49)=MONTH(I3))*$C$35:$C$49)),"")</f>
        <v/>
      </c>
      <c r="L3" s="9">
        <f>IF(H3&lt;&gt;"",ROUND(LoanAmount-K3,2),"")</f>
        <v/>
      </c>
      <c r="M3" s="10">
        <f>IF(H3&lt;&gt;"",MIN(MonthlyPmt,LoanAmount+J3),"")</f>
        <v/>
      </c>
      <c r="N3" s="10">
        <f>IF(H3&lt;&gt;"",K3,"")</f>
        <v/>
      </c>
      <c r="O3" s="10">
        <f>IF(H3&lt;&gt;"",J3,"")</f>
        <v/>
      </c>
      <c r="P3" s="2" t="inlineStr">
        <is>
          <t>Interest</t>
        </is>
      </c>
      <c r="Q3" s="2">
        <f>B14</f>
        <v/>
      </c>
    </row>
    <row r="4">
      <c r="A4" s="3" t="inlineStr">
        <is>
          <t>Loan Term (years)</t>
        </is>
      </c>
      <c r="B4" s="11" t="n">
        <v>30</v>
      </c>
      <c r="H4" s="12">
        <f>IF(AND(L3&gt;0.005,H3&lt;&gt;""),2,"")</f>
        <v/>
      </c>
      <c r="I4" s="13">
        <f>IF(H4&lt;&gt;"",EDATE(StartDate,1),"")</f>
        <v/>
      </c>
      <c r="J4" s="14">
        <f>IF(H4&lt;&gt;"",ROUND(L3*AnnualRate/12,2),"")</f>
        <v/>
      </c>
      <c r="K4" s="14">
        <f>IF(H4&lt;&gt;"",MIN(L3,(M4-J4)+SUMPRODUCT(($B$22:$B$31&lt;&gt;"")*($B$22:$B$31&lt;=I4)*(($C$22:$C$31="")+($C$22:$C$31&lt;&gt;"")*($C$22:$C$31&gt;=I4))*($E$22:$E$31="Monthly")*$D$22:$D$31)+SUMPRODUCT(($B$22:$B$31&lt;&gt;"")*($B$22:$B$31&lt;=I4)*(($C$22:$C$31="")+($C$22:$C$31&lt;&gt;"")*($C$22:$C$31&gt;=I4))*($E$22:$E$31="Annual")*(MONTH($B$22:$B$31)=MONTH(I4))*$D$22:$D$31)+SUMPRODUCT(($B$35:$B$49&lt;&gt;"")*(YEAR($B$35:$B$49)=YEAR(I4))*(MONTH($B$35:$B$49)=MONTH(I4))*$C$35:$C$49)),"")</f>
        <v/>
      </c>
      <c r="L4" s="14">
        <f>IF(H4&lt;&gt;"",ROUND(L3-K4,2),"")</f>
        <v/>
      </c>
      <c r="M4" s="10">
        <f>IF(H4&lt;&gt;"",MIN(MonthlyPmt,L3+J4),"")</f>
        <v/>
      </c>
      <c r="N4" s="10">
        <f>IF(H4&lt;&gt;"",N3+K4,"")</f>
        <v/>
      </c>
      <c r="O4" s="10">
        <f>IF(H4&lt;&gt;"",O3+J4,"")</f>
        <v/>
      </c>
    </row>
    <row r="5">
      <c r="A5" s="3" t="inlineStr">
        <is>
          <t>Start Date</t>
        </is>
      </c>
      <c r="B5" s="15" t="n">
        <v>46023</v>
      </c>
      <c r="H5" s="7">
        <f>IF(AND(L4&gt;0.005,H4&lt;&gt;""),3,"")</f>
        <v/>
      </c>
      <c r="I5" s="8">
        <f>IF(H5&lt;&gt;"",EDATE(StartDate,2),"")</f>
        <v/>
      </c>
      <c r="J5" s="9">
        <f>IF(H5&lt;&gt;"",ROUND(L4*AnnualRate/12,2),"")</f>
        <v/>
      </c>
      <c r="K5" s="9">
        <f>IF(H5&lt;&gt;"",MIN(L4,(M5-J5)+SUMPRODUCT(($B$22:$B$31&lt;&gt;"")*($B$22:$B$31&lt;=I5)*(($C$22:$C$31="")+($C$22:$C$31&lt;&gt;"")*($C$22:$C$31&gt;=I5))*($E$22:$E$31="Monthly")*$D$22:$D$31)+SUMPRODUCT(($B$22:$B$31&lt;&gt;"")*($B$22:$B$31&lt;=I5)*(($C$22:$C$31="")+($C$22:$C$31&lt;&gt;"")*($C$22:$C$31&gt;=I5))*($E$22:$E$31="Annual")*(MONTH($B$22:$B$31)=MONTH(I5))*$D$22:$D$31)+SUMPRODUCT(($B$35:$B$49&lt;&gt;"")*(YEAR($B$35:$B$49)=YEAR(I5))*(MONTH($B$35:$B$49)=MONTH(I5))*$C$35:$C$49)),"")</f>
        <v/>
      </c>
      <c r="L5" s="9">
        <f>IF(H5&lt;&gt;"",ROUND(L4-K5,2),"")</f>
        <v/>
      </c>
      <c r="M5" s="10">
        <f>IF(H5&lt;&gt;"",MIN(MonthlyPmt,L4+J5),"")</f>
        <v/>
      </c>
      <c r="N5" s="10">
        <f>IF(H5&lt;&gt;"",N4+K5,"")</f>
        <v/>
      </c>
      <c r="O5" s="10">
        <f>IF(H5&lt;&gt;"",O4+J5,"")</f>
        <v/>
      </c>
    </row>
    <row r="6">
      <c r="A6" s="3" t="inlineStr">
        <is>
          <t>Base Monthly Payment</t>
        </is>
      </c>
      <c r="B6" s="16">
        <f>ROUND(-PMT(B3/12,B4*12,B2),2)</f>
        <v/>
      </c>
      <c r="H6" s="12">
        <f>IF(AND(L5&gt;0.005,H5&lt;&gt;""),4,"")</f>
        <v/>
      </c>
      <c r="I6" s="13">
        <f>IF(H6&lt;&gt;"",EDATE(StartDate,3),"")</f>
        <v/>
      </c>
      <c r="J6" s="14">
        <f>IF(H6&lt;&gt;"",ROUND(L5*AnnualRate/12,2),"")</f>
        <v/>
      </c>
      <c r="K6" s="14">
        <f>IF(H6&lt;&gt;"",MIN(L5,(M6-J6)+SUMPRODUCT(($B$22:$B$31&lt;&gt;"")*($B$22:$B$31&lt;=I6)*(($C$22:$C$31="")+($C$22:$C$31&lt;&gt;"")*($C$22:$C$31&gt;=I6))*($E$22:$E$31="Monthly")*$D$22:$D$31)+SUMPRODUCT(($B$22:$B$31&lt;&gt;"")*($B$22:$B$31&lt;=I6)*(($C$22:$C$31="")+($C$22:$C$31&lt;&gt;"")*($C$22:$C$31&gt;=I6))*($E$22:$E$31="Annual")*(MONTH($B$22:$B$31)=MONTH(I6))*$D$22:$D$31)+SUMPRODUCT(($B$35:$B$49&lt;&gt;"")*(YEAR($B$35:$B$49)=YEAR(I6))*(MONTH($B$35:$B$49)=MONTH(I6))*$C$35:$C$49)),"")</f>
        <v/>
      </c>
      <c r="L6" s="14">
        <f>IF(H6&lt;&gt;"",ROUND(L5-K6,2),"")</f>
        <v/>
      </c>
      <c r="M6" s="10">
        <f>IF(H6&lt;&gt;"",MIN(MonthlyPmt,L5+J6),"")</f>
        <v/>
      </c>
      <c r="N6" s="10">
        <f>IF(H6&lt;&gt;"",N5+K6,"")</f>
        <v/>
      </c>
      <c r="O6" s="10">
        <f>IF(H6&lt;&gt;"",O5+J6,"")</f>
        <v/>
      </c>
    </row>
    <row r="7">
      <c r="A7" s="3" t="inlineStr">
        <is>
          <t>Current Monthly Payment</t>
        </is>
      </c>
      <c r="B7" s="16">
        <f>B6+SUMPRODUCT(($E$22:$E$31="Monthly")*($D$22:$D$31&lt;&gt;"")*$D$22:$D$31)</f>
        <v/>
      </c>
      <c r="H7" s="7">
        <f>IF(AND(L6&gt;0.005,H6&lt;&gt;""),5,"")</f>
        <v/>
      </c>
      <c r="I7" s="8">
        <f>IF(H7&lt;&gt;"",EDATE(StartDate,4),"")</f>
        <v/>
      </c>
      <c r="J7" s="9">
        <f>IF(H7&lt;&gt;"",ROUND(L6*AnnualRate/12,2),"")</f>
        <v/>
      </c>
      <c r="K7" s="9">
        <f>IF(H7&lt;&gt;"",MIN(L6,(M7-J7)+SUMPRODUCT(($B$22:$B$31&lt;&gt;"")*($B$22:$B$31&lt;=I7)*(($C$22:$C$31="")+($C$22:$C$31&lt;&gt;"")*($C$22:$C$31&gt;=I7))*($E$22:$E$31="Monthly")*$D$22:$D$31)+SUMPRODUCT(($B$22:$B$31&lt;&gt;"")*($B$22:$B$31&lt;=I7)*(($C$22:$C$31="")+($C$22:$C$31&lt;&gt;"")*($C$22:$C$31&gt;=I7))*($E$22:$E$31="Annual")*(MONTH($B$22:$B$31)=MONTH(I7))*$D$22:$D$31)+SUMPRODUCT(($B$35:$B$49&lt;&gt;"")*(YEAR($B$35:$B$49)=YEAR(I7))*(MONTH($B$35:$B$49)=MONTH(I7))*$C$35:$C$49)),"")</f>
        <v/>
      </c>
      <c r="L7" s="9">
        <f>IF(H7&lt;&gt;"",ROUND(L6-K7,2),"")</f>
        <v/>
      </c>
      <c r="M7" s="10">
        <f>IF(H7&lt;&gt;"",MIN(MonthlyPmt,L6+J7),"")</f>
        <v/>
      </c>
      <c r="N7" s="10">
        <f>IF(H7&lt;&gt;"",N6+K7,"")</f>
        <v/>
      </c>
      <c r="O7" s="10">
        <f>IF(H7&lt;&gt;"",O6+J7,"")</f>
        <v/>
      </c>
    </row>
    <row r="8">
      <c r="H8" s="12">
        <f>IF(AND(L7&gt;0.005,H7&lt;&gt;""),6,"")</f>
        <v/>
      </c>
      <c r="I8" s="13">
        <f>IF(H8&lt;&gt;"",EDATE(StartDate,5),"")</f>
        <v/>
      </c>
      <c r="J8" s="14">
        <f>IF(H8&lt;&gt;"",ROUND(L7*AnnualRate/12,2),"")</f>
        <v/>
      </c>
      <c r="K8" s="14">
        <f>IF(H8&lt;&gt;"",MIN(L7,(M8-J8)+SUMPRODUCT(($B$22:$B$31&lt;&gt;"")*($B$22:$B$31&lt;=I8)*(($C$22:$C$31="")+($C$22:$C$31&lt;&gt;"")*($C$22:$C$31&gt;=I8))*($E$22:$E$31="Monthly")*$D$22:$D$31)+SUMPRODUCT(($B$22:$B$31&lt;&gt;"")*($B$22:$B$31&lt;=I8)*(($C$22:$C$31="")+($C$22:$C$31&lt;&gt;"")*($C$22:$C$31&gt;=I8))*($E$22:$E$31="Annual")*(MONTH($B$22:$B$31)=MONTH(I8))*$D$22:$D$31)+SUMPRODUCT(($B$35:$B$49&lt;&gt;"")*(YEAR($B$35:$B$49)=YEAR(I8))*(MONTH($B$35:$B$49)=MONTH(I8))*$C$35:$C$49)),"")</f>
        <v/>
      </c>
      <c r="L8" s="14">
        <f>IF(H8&lt;&gt;"",ROUND(L7-K8,2),"")</f>
        <v/>
      </c>
      <c r="M8" s="10">
        <f>IF(H8&lt;&gt;"",MIN(MonthlyPmt,L7+J8),"")</f>
        <v/>
      </c>
      <c r="N8" s="10">
        <f>IF(H8&lt;&gt;"",N7+K8,"")</f>
        <v/>
      </c>
      <c r="O8" s="10">
        <f>IF(H8&lt;&gt;"",O7+J8,"")</f>
        <v/>
      </c>
    </row>
    <row r="9">
      <c r="A9" s="1" t="inlineStr">
        <is>
          <t>LOAN SUMMARY</t>
        </is>
      </c>
      <c r="H9" s="7">
        <f>IF(AND(L8&gt;0.005,H8&lt;&gt;""),7,"")</f>
        <v/>
      </c>
      <c r="I9" s="8">
        <f>IF(H9&lt;&gt;"",EDATE(StartDate,6),"")</f>
        <v/>
      </c>
      <c r="J9" s="9">
        <f>IF(H9&lt;&gt;"",ROUND(L8*AnnualRate/12,2),"")</f>
        <v/>
      </c>
      <c r="K9" s="9">
        <f>IF(H9&lt;&gt;"",MIN(L8,(M9-J9)+SUMPRODUCT(($B$22:$B$31&lt;&gt;"")*($B$22:$B$31&lt;=I9)*(($C$22:$C$31="")+($C$22:$C$31&lt;&gt;"")*($C$22:$C$31&gt;=I9))*($E$22:$E$31="Monthly")*$D$22:$D$31)+SUMPRODUCT(($B$22:$B$31&lt;&gt;"")*($B$22:$B$31&lt;=I9)*(($C$22:$C$31="")+($C$22:$C$31&lt;&gt;"")*($C$22:$C$31&gt;=I9))*($E$22:$E$31="Annual")*(MONTH($B$22:$B$31)=MONTH(I9))*$D$22:$D$31)+SUMPRODUCT(($B$35:$B$49&lt;&gt;"")*(YEAR($B$35:$B$49)=YEAR(I9))*(MONTH($B$35:$B$49)=MONTH(I9))*$C$35:$C$49)),"")</f>
        <v/>
      </c>
      <c r="L9" s="9">
        <f>IF(H9&lt;&gt;"",ROUND(L8-K9,2),"")</f>
        <v/>
      </c>
      <c r="M9" s="10">
        <f>IF(H9&lt;&gt;"",MIN(MonthlyPmt,L8+J9),"")</f>
        <v/>
      </c>
      <c r="N9" s="10">
        <f>IF(H9&lt;&gt;"",N8+K9,"")</f>
        <v/>
      </c>
      <c r="O9" s="10">
        <f>IF(H9&lt;&gt;"",O8+J9,"")</f>
        <v/>
      </c>
    </row>
    <row r="10">
      <c r="A10" s="3" t="inlineStr">
        <is>
          <t>Original Payoff Date</t>
        </is>
      </c>
      <c r="B10" s="17">
        <f>EDATE(StartDate,TermYears*12-1)</f>
        <v/>
      </c>
      <c r="H10" s="12">
        <f>IF(AND(L9&gt;0.005,H9&lt;&gt;""),8,"")</f>
        <v/>
      </c>
      <c r="I10" s="13">
        <f>IF(H10&lt;&gt;"",EDATE(StartDate,7),"")</f>
        <v/>
      </c>
      <c r="J10" s="14">
        <f>IF(H10&lt;&gt;"",ROUND(L9*AnnualRate/12,2),"")</f>
        <v/>
      </c>
      <c r="K10" s="14">
        <f>IF(H10&lt;&gt;"",MIN(L9,(M10-J10)+SUMPRODUCT(($B$22:$B$31&lt;&gt;"")*($B$22:$B$31&lt;=I10)*(($C$22:$C$31="")+($C$22:$C$31&lt;&gt;"")*($C$22:$C$31&gt;=I10))*($E$22:$E$31="Monthly")*$D$22:$D$31)+SUMPRODUCT(($B$22:$B$31&lt;&gt;"")*($B$22:$B$31&lt;=I10)*(($C$22:$C$31="")+($C$22:$C$31&lt;&gt;"")*($C$22:$C$31&gt;=I10))*($E$22:$E$31="Annual")*(MONTH($B$22:$B$31)=MONTH(I10))*$D$22:$D$31)+SUMPRODUCT(($B$35:$B$49&lt;&gt;"")*(YEAR($B$35:$B$49)=YEAR(I10))*(MONTH($B$35:$B$49)=MONTH(I10))*$C$35:$C$49)),"")</f>
        <v/>
      </c>
      <c r="L10" s="14">
        <f>IF(H10&lt;&gt;"",ROUND(L9-K10,2),"")</f>
        <v/>
      </c>
      <c r="M10" s="10">
        <f>IF(H10&lt;&gt;"",MIN(MonthlyPmt,L9+J10),"")</f>
        <v/>
      </c>
      <c r="N10" s="10">
        <f>IF(H10&lt;&gt;"",N9+K10,"")</f>
        <v/>
      </c>
      <c r="O10" s="10">
        <f>IF(H10&lt;&gt;"",O9+J10,"")</f>
        <v/>
      </c>
    </row>
    <row r="11">
      <c r="A11" s="3" t="inlineStr">
        <is>
          <t>Accelerated Payoff Date</t>
        </is>
      </c>
      <c r="B11" s="17">
        <f>LOOKUP(2,1/(I3:I362&lt;&gt;""),I3:I362)</f>
        <v/>
      </c>
      <c r="H11" s="7">
        <f>IF(AND(L10&gt;0.005,H10&lt;&gt;""),9,"")</f>
        <v/>
      </c>
      <c r="I11" s="8">
        <f>IF(H11&lt;&gt;"",EDATE(StartDate,8),"")</f>
        <v/>
      </c>
      <c r="J11" s="9">
        <f>IF(H11&lt;&gt;"",ROUND(L10*AnnualRate/12,2),"")</f>
        <v/>
      </c>
      <c r="K11" s="9">
        <f>IF(H11&lt;&gt;"",MIN(L10,(M11-J11)+SUMPRODUCT(($B$22:$B$31&lt;&gt;"")*($B$22:$B$31&lt;=I11)*(($C$22:$C$31="")+($C$22:$C$31&lt;&gt;"")*($C$22:$C$31&gt;=I11))*($E$22:$E$31="Monthly")*$D$22:$D$31)+SUMPRODUCT(($B$22:$B$31&lt;&gt;"")*($B$22:$B$31&lt;=I11)*(($C$22:$C$31="")+($C$22:$C$31&lt;&gt;"")*($C$22:$C$31&gt;=I11))*($E$22:$E$31="Annual")*(MONTH($B$22:$B$31)=MONTH(I11))*$D$22:$D$31)+SUMPRODUCT(($B$35:$B$49&lt;&gt;"")*(YEAR($B$35:$B$49)=YEAR(I11))*(MONTH($B$35:$B$49)=MONTH(I11))*$C$35:$C$49)),"")</f>
        <v/>
      </c>
      <c r="L11" s="9">
        <f>IF(H11&lt;&gt;"",ROUND(L10-K11,2),"")</f>
        <v/>
      </c>
      <c r="M11" s="10">
        <f>IF(H11&lt;&gt;"",MIN(MonthlyPmt,L10+J11),"")</f>
        <v/>
      </c>
      <c r="N11" s="10">
        <f>IF(H11&lt;&gt;"",N10+K11,"")</f>
        <v/>
      </c>
      <c r="O11" s="10">
        <f>IF(H11&lt;&gt;"",O10+J11,"")</f>
        <v/>
      </c>
    </row>
    <row r="12">
      <c r="A12" s="3" t="inlineStr">
        <is>
          <t>Accelerated Payoff Time</t>
        </is>
      </c>
      <c r="B12" s="18">
        <f>INT(SUMPRODUCT(1*(ISNUMBER(H3:H362)))/12)&amp;" years, "&amp;MOD(SUMPRODUCT(1*(ISNUMBER(H3:H362))),12)&amp;" months"</f>
        <v/>
      </c>
      <c r="H12" s="12">
        <f>IF(AND(L11&gt;0.005,H11&lt;&gt;""),10,"")</f>
        <v/>
      </c>
      <c r="I12" s="13">
        <f>IF(H12&lt;&gt;"",EDATE(StartDate,9),"")</f>
        <v/>
      </c>
      <c r="J12" s="14">
        <f>IF(H12&lt;&gt;"",ROUND(L11*AnnualRate/12,2),"")</f>
        <v/>
      </c>
      <c r="K12" s="14">
        <f>IF(H12&lt;&gt;"",MIN(L11,(M12-J12)+SUMPRODUCT(($B$22:$B$31&lt;&gt;"")*($B$22:$B$31&lt;=I12)*(($C$22:$C$31="")+($C$22:$C$31&lt;&gt;"")*($C$22:$C$31&gt;=I12))*($E$22:$E$31="Monthly")*$D$22:$D$31)+SUMPRODUCT(($B$22:$B$31&lt;&gt;"")*($B$22:$B$31&lt;=I12)*(($C$22:$C$31="")+($C$22:$C$31&lt;&gt;"")*($C$22:$C$31&gt;=I12))*($E$22:$E$31="Annual")*(MONTH($B$22:$B$31)=MONTH(I12))*$D$22:$D$31)+SUMPRODUCT(($B$35:$B$49&lt;&gt;"")*(YEAR($B$35:$B$49)=YEAR(I12))*(MONTH($B$35:$B$49)=MONTH(I12))*$C$35:$C$49)),"")</f>
        <v/>
      </c>
      <c r="L12" s="14">
        <f>IF(H12&lt;&gt;"",ROUND(L11-K12,2),"")</f>
        <v/>
      </c>
      <c r="M12" s="10">
        <f>IF(H12&lt;&gt;"",MIN(MonthlyPmt,L11+J12),"")</f>
        <v/>
      </c>
      <c r="N12" s="10">
        <f>IF(H12&lt;&gt;"",N11+K12,"")</f>
        <v/>
      </c>
      <c r="O12" s="10">
        <f>IF(H12&lt;&gt;"",O11+J12,"")</f>
        <v/>
      </c>
    </row>
    <row r="13">
      <c r="A13" s="3" t="inlineStr">
        <is>
          <t>Original Total Interest</t>
        </is>
      </c>
      <c r="B13" s="19">
        <f>ROUND(MonthlyPmt*TermYears*12-LoanAmount,2)</f>
        <v/>
      </c>
      <c r="H13" s="7">
        <f>IF(AND(L12&gt;0.005,H12&lt;&gt;""),11,"")</f>
        <v/>
      </c>
      <c r="I13" s="8">
        <f>IF(H13&lt;&gt;"",EDATE(StartDate,10),"")</f>
        <v/>
      </c>
      <c r="J13" s="9">
        <f>IF(H13&lt;&gt;"",ROUND(L12*AnnualRate/12,2),"")</f>
        <v/>
      </c>
      <c r="K13" s="9">
        <f>IF(H13&lt;&gt;"",MIN(L12,(M13-J13)+SUMPRODUCT(($B$22:$B$31&lt;&gt;"")*($B$22:$B$31&lt;=I13)*(($C$22:$C$31="")+($C$22:$C$31&lt;&gt;"")*($C$22:$C$31&gt;=I13))*($E$22:$E$31="Monthly")*$D$22:$D$31)+SUMPRODUCT(($B$22:$B$31&lt;&gt;"")*($B$22:$B$31&lt;=I13)*(($C$22:$C$31="")+($C$22:$C$31&lt;&gt;"")*($C$22:$C$31&gt;=I13))*($E$22:$E$31="Annual")*(MONTH($B$22:$B$31)=MONTH(I13))*$D$22:$D$31)+SUMPRODUCT(($B$35:$B$49&lt;&gt;"")*(YEAR($B$35:$B$49)=YEAR(I13))*(MONTH($B$35:$B$49)=MONTH(I13))*$C$35:$C$49)),"")</f>
        <v/>
      </c>
      <c r="L13" s="9">
        <f>IF(H13&lt;&gt;"",ROUND(L12-K13,2),"")</f>
        <v/>
      </c>
      <c r="M13" s="10">
        <f>IF(H13&lt;&gt;"",MIN(MonthlyPmt,L12+J13),"")</f>
        <v/>
      </c>
      <c r="N13" s="10">
        <f>IF(H13&lt;&gt;"",N12+K13,"")</f>
        <v/>
      </c>
      <c r="O13" s="10">
        <f>IF(H13&lt;&gt;"",O12+J13,"")</f>
        <v/>
      </c>
    </row>
    <row r="14">
      <c r="A14" s="3" t="inlineStr">
        <is>
          <t>Accelerated Total Interest</t>
        </is>
      </c>
      <c r="B14" s="19">
        <f>ROUND(SUM(J3:J362),2)</f>
        <v/>
      </c>
      <c r="H14" s="12">
        <f>IF(AND(L13&gt;0.005,H13&lt;&gt;""),12,"")</f>
        <v/>
      </c>
      <c r="I14" s="13">
        <f>IF(H14&lt;&gt;"",EDATE(StartDate,11),"")</f>
        <v/>
      </c>
      <c r="J14" s="14">
        <f>IF(H14&lt;&gt;"",ROUND(L13*AnnualRate/12,2),"")</f>
        <v/>
      </c>
      <c r="K14" s="14">
        <f>IF(H14&lt;&gt;"",MIN(L13,(M14-J14)+SUMPRODUCT(($B$22:$B$31&lt;&gt;"")*($B$22:$B$31&lt;=I14)*(($C$22:$C$31="")+($C$22:$C$31&lt;&gt;"")*($C$22:$C$31&gt;=I14))*($E$22:$E$31="Monthly")*$D$22:$D$31)+SUMPRODUCT(($B$22:$B$31&lt;&gt;"")*($B$22:$B$31&lt;=I14)*(($C$22:$C$31="")+($C$22:$C$31&lt;&gt;"")*($C$22:$C$31&gt;=I14))*($E$22:$E$31="Annual")*(MONTH($B$22:$B$31)=MONTH(I14))*$D$22:$D$31)+SUMPRODUCT(($B$35:$B$49&lt;&gt;"")*(YEAR($B$35:$B$49)=YEAR(I14))*(MONTH($B$35:$B$49)=MONTH(I14))*$C$35:$C$49)),"")</f>
        <v/>
      </c>
      <c r="L14" s="14">
        <f>IF(H14&lt;&gt;"",ROUND(L13-K14,2),"")</f>
        <v/>
      </c>
      <c r="M14" s="10">
        <f>IF(H14&lt;&gt;"",MIN(MonthlyPmt,L13+J14),"")</f>
        <v/>
      </c>
      <c r="N14" s="10">
        <f>IF(H14&lt;&gt;"",N13+K14,"")</f>
        <v/>
      </c>
      <c r="O14" s="10">
        <f>IF(H14&lt;&gt;"",O13+J14,"")</f>
        <v/>
      </c>
    </row>
    <row r="15">
      <c r="A15" s="3" t="inlineStr">
        <is>
          <t>Interest Saved</t>
        </is>
      </c>
      <c r="B15" s="20">
        <f>B13-B14</f>
        <v/>
      </c>
      <c r="H15" s="7">
        <f>IF(AND(L14&gt;0.005,H14&lt;&gt;""),13,"")</f>
        <v/>
      </c>
      <c r="I15" s="8">
        <f>IF(H15&lt;&gt;"",EDATE(StartDate,12),"")</f>
        <v/>
      </c>
      <c r="J15" s="9">
        <f>IF(H15&lt;&gt;"",ROUND(L14*AnnualRate/12,2),"")</f>
        <v/>
      </c>
      <c r="K15" s="9">
        <f>IF(H15&lt;&gt;"",MIN(L14,(M15-J15)+SUMPRODUCT(($B$22:$B$31&lt;&gt;"")*($B$22:$B$31&lt;=I15)*(($C$22:$C$31="")+($C$22:$C$31&lt;&gt;"")*($C$22:$C$31&gt;=I15))*($E$22:$E$31="Monthly")*$D$22:$D$31)+SUMPRODUCT(($B$22:$B$31&lt;&gt;"")*($B$22:$B$31&lt;=I15)*(($C$22:$C$31="")+($C$22:$C$31&lt;&gt;"")*($C$22:$C$31&gt;=I15))*($E$22:$E$31="Annual")*(MONTH($B$22:$B$31)=MONTH(I15))*$D$22:$D$31)+SUMPRODUCT(($B$35:$B$49&lt;&gt;"")*(YEAR($B$35:$B$49)=YEAR(I15))*(MONTH($B$35:$B$49)=MONTH(I15))*$C$35:$C$49)),"")</f>
        <v/>
      </c>
      <c r="L15" s="9">
        <f>IF(H15&lt;&gt;"",ROUND(L14-K15,2),"")</f>
        <v/>
      </c>
      <c r="M15" s="10">
        <f>IF(H15&lt;&gt;"",MIN(MonthlyPmt,L14+J15),"")</f>
        <v/>
      </c>
      <c r="N15" s="10">
        <f>IF(H15&lt;&gt;"",N14+K15,"")</f>
        <v/>
      </c>
      <c r="O15" s="10">
        <f>IF(H15&lt;&gt;"",O14+J15,"")</f>
        <v/>
      </c>
    </row>
    <row r="16">
      <c r="A16" s="3" t="inlineStr">
        <is>
          <t>Payoff Time Saved</t>
        </is>
      </c>
      <c r="B16" s="21">
        <f>INT((TermYears*12-SUMPRODUCT(1*(ISNUMBER(H3:H362))))/12)&amp;" years, "&amp;MOD((TermYears*12-SUMPRODUCT(1*(ISNUMBER(H3:H362)))),12)&amp;" months"</f>
        <v/>
      </c>
      <c r="H16" s="12">
        <f>IF(AND(L15&gt;0.005,H15&lt;&gt;""),14,"")</f>
        <v/>
      </c>
      <c r="I16" s="13">
        <f>IF(H16&lt;&gt;"",EDATE(StartDate,13),"")</f>
        <v/>
      </c>
      <c r="J16" s="14">
        <f>IF(H16&lt;&gt;"",ROUND(L15*AnnualRate/12,2),"")</f>
        <v/>
      </c>
      <c r="K16" s="14">
        <f>IF(H16&lt;&gt;"",MIN(L15,(M16-J16)+SUMPRODUCT(($B$22:$B$31&lt;&gt;"")*($B$22:$B$31&lt;=I16)*(($C$22:$C$31="")+($C$22:$C$31&lt;&gt;"")*($C$22:$C$31&gt;=I16))*($E$22:$E$31="Monthly")*$D$22:$D$31)+SUMPRODUCT(($B$22:$B$31&lt;&gt;"")*($B$22:$B$31&lt;=I16)*(($C$22:$C$31="")+($C$22:$C$31&lt;&gt;"")*($C$22:$C$31&gt;=I16))*($E$22:$E$31="Annual")*(MONTH($B$22:$B$31)=MONTH(I16))*$D$22:$D$31)+SUMPRODUCT(($B$35:$B$49&lt;&gt;"")*(YEAR($B$35:$B$49)=YEAR(I16))*(MONTH($B$35:$B$49)=MONTH(I16))*$C$35:$C$49)),"")</f>
        <v/>
      </c>
      <c r="L16" s="14">
        <f>IF(H16&lt;&gt;"",ROUND(L15-K16,2),"")</f>
        <v/>
      </c>
      <c r="M16" s="10">
        <f>IF(H16&lt;&gt;"",MIN(MonthlyPmt,L15+J16),"")</f>
        <v/>
      </c>
      <c r="N16" s="10">
        <f>IF(H16&lt;&gt;"",N15+K16,"")</f>
        <v/>
      </c>
      <c r="O16" s="10">
        <f>IF(H16&lt;&gt;"",O15+J16,"")</f>
        <v/>
      </c>
    </row>
    <row r="17">
      <c r="A17" s="3" t="inlineStr">
        <is>
          <t>Total of Payments (P+I)</t>
        </is>
      </c>
      <c r="B17" s="19">
        <f>ROUND(SUM(M3:M362),2)</f>
        <v/>
      </c>
      <c r="H17" s="7">
        <f>IF(AND(L16&gt;0.005,H16&lt;&gt;""),15,"")</f>
        <v/>
      </c>
      <c r="I17" s="8">
        <f>IF(H17&lt;&gt;"",EDATE(StartDate,14),"")</f>
        <v/>
      </c>
      <c r="J17" s="9">
        <f>IF(H17&lt;&gt;"",ROUND(L16*AnnualRate/12,2),"")</f>
        <v/>
      </c>
      <c r="K17" s="9">
        <f>IF(H17&lt;&gt;"",MIN(L16,(M17-J17)+SUMPRODUCT(($B$22:$B$31&lt;&gt;"")*($B$22:$B$31&lt;=I17)*(($C$22:$C$31="")+($C$22:$C$31&lt;&gt;"")*($C$22:$C$31&gt;=I17))*($E$22:$E$31="Monthly")*$D$22:$D$31)+SUMPRODUCT(($B$22:$B$31&lt;&gt;"")*($B$22:$B$31&lt;=I17)*(($C$22:$C$31="")+($C$22:$C$31&lt;&gt;"")*($C$22:$C$31&gt;=I17))*($E$22:$E$31="Annual")*(MONTH($B$22:$B$31)=MONTH(I17))*$D$22:$D$31)+SUMPRODUCT(($B$35:$B$49&lt;&gt;"")*(YEAR($B$35:$B$49)=YEAR(I17))*(MONTH($B$35:$B$49)=MONTH(I17))*$C$35:$C$49)),"")</f>
        <v/>
      </c>
      <c r="L17" s="9">
        <f>IF(H17&lt;&gt;"",ROUND(L16-K17,2),"")</f>
        <v/>
      </c>
      <c r="M17" s="10">
        <f>IF(H17&lt;&gt;"",MIN(MonthlyPmt,L16+J17),"")</f>
        <v/>
      </c>
      <c r="N17" s="10">
        <f>IF(H17&lt;&gt;"",N16+K17,"")</f>
        <v/>
      </c>
      <c r="O17" s="10">
        <f>IF(H17&lt;&gt;"",O16+J17,"")</f>
        <v/>
      </c>
    </row>
    <row r="18">
      <c r="A18" s="3" t="inlineStr">
        <is>
          <t>Total Extra Payments</t>
        </is>
      </c>
      <c r="B18" s="19">
        <f>ROUND(SUM(K3:K362)-SUM(M3:M362)+SUM(J3:J362),2)</f>
        <v/>
      </c>
      <c r="H18" s="12">
        <f>IF(AND(L17&gt;0.005,H17&lt;&gt;""),16,"")</f>
        <v/>
      </c>
      <c r="I18" s="13">
        <f>IF(H18&lt;&gt;"",EDATE(StartDate,15),"")</f>
        <v/>
      </c>
      <c r="J18" s="14">
        <f>IF(H18&lt;&gt;"",ROUND(L17*AnnualRate/12,2),"")</f>
        <v/>
      </c>
      <c r="K18" s="14">
        <f>IF(H18&lt;&gt;"",MIN(L17,(M18-J18)+SUMPRODUCT(($B$22:$B$31&lt;&gt;"")*($B$22:$B$31&lt;=I18)*(($C$22:$C$31="")+($C$22:$C$31&lt;&gt;"")*($C$22:$C$31&gt;=I18))*($E$22:$E$31="Monthly")*$D$22:$D$31)+SUMPRODUCT(($B$22:$B$31&lt;&gt;"")*($B$22:$B$31&lt;=I18)*(($C$22:$C$31="")+($C$22:$C$31&lt;&gt;"")*($C$22:$C$31&gt;=I18))*($E$22:$E$31="Annual")*(MONTH($B$22:$B$31)=MONTH(I18))*$D$22:$D$31)+SUMPRODUCT(($B$35:$B$49&lt;&gt;"")*(YEAR($B$35:$B$49)=YEAR(I18))*(MONTH($B$35:$B$49)=MONTH(I18))*$C$35:$C$49)),"")</f>
        <v/>
      </c>
      <c r="L18" s="14">
        <f>IF(H18&lt;&gt;"",ROUND(L17-K18,2),"")</f>
        <v/>
      </c>
      <c r="M18" s="10">
        <f>IF(H18&lt;&gt;"",MIN(MonthlyPmt,L17+J18),"")</f>
        <v/>
      </c>
      <c r="N18" s="10">
        <f>IF(H18&lt;&gt;"",N17+K18,"")</f>
        <v/>
      </c>
      <c r="O18" s="10">
        <f>IF(H18&lt;&gt;"",O17+J18,"")</f>
        <v/>
      </c>
    </row>
    <row r="19">
      <c r="H19" s="7">
        <f>IF(AND(L18&gt;0.005,H18&lt;&gt;""),17,"")</f>
        <v/>
      </c>
      <c r="I19" s="8">
        <f>IF(H19&lt;&gt;"",EDATE(StartDate,16),"")</f>
        <v/>
      </c>
      <c r="J19" s="9">
        <f>IF(H19&lt;&gt;"",ROUND(L18*AnnualRate/12,2),"")</f>
        <v/>
      </c>
      <c r="K19" s="9">
        <f>IF(H19&lt;&gt;"",MIN(L18,(M19-J19)+SUMPRODUCT(($B$22:$B$31&lt;&gt;"")*($B$22:$B$31&lt;=I19)*(($C$22:$C$31="")+($C$22:$C$31&lt;&gt;"")*($C$22:$C$31&gt;=I19))*($E$22:$E$31="Monthly")*$D$22:$D$31)+SUMPRODUCT(($B$22:$B$31&lt;&gt;"")*($B$22:$B$31&lt;=I19)*(($C$22:$C$31="")+($C$22:$C$31&lt;&gt;"")*($C$22:$C$31&gt;=I19))*($E$22:$E$31="Annual")*(MONTH($B$22:$B$31)=MONTH(I19))*$D$22:$D$31)+SUMPRODUCT(($B$35:$B$49&lt;&gt;"")*(YEAR($B$35:$B$49)=YEAR(I19))*(MONTH($B$35:$B$49)=MONTH(I19))*$C$35:$C$49)),"")</f>
        <v/>
      </c>
      <c r="L19" s="9">
        <f>IF(H19&lt;&gt;"",ROUND(L18-K19,2),"")</f>
        <v/>
      </c>
      <c r="M19" s="10">
        <f>IF(H19&lt;&gt;"",MIN(MonthlyPmt,L18+J19),"")</f>
        <v/>
      </c>
      <c r="N19" s="10">
        <f>IF(H19&lt;&gt;"",N18+K19,"")</f>
        <v/>
      </c>
      <c r="O19" s="10">
        <f>IF(H19&lt;&gt;"",O18+J19,"")</f>
        <v/>
      </c>
    </row>
    <row r="20">
      <c r="A20" s="1" t="inlineStr">
        <is>
          <t>RECURRING EXTRA PAYMENTS</t>
        </is>
      </c>
      <c r="H20" s="12">
        <f>IF(AND(L19&gt;0.005,H19&lt;&gt;""),18,"")</f>
        <v/>
      </c>
      <c r="I20" s="13">
        <f>IF(H20&lt;&gt;"",EDATE(StartDate,17),"")</f>
        <v/>
      </c>
      <c r="J20" s="14">
        <f>IF(H20&lt;&gt;"",ROUND(L19*AnnualRate/12,2),"")</f>
        <v/>
      </c>
      <c r="K20" s="14">
        <f>IF(H20&lt;&gt;"",MIN(L19,(M20-J20)+SUMPRODUCT(($B$22:$B$31&lt;&gt;"")*($B$22:$B$31&lt;=I20)*(($C$22:$C$31="")+($C$22:$C$31&lt;&gt;"")*($C$22:$C$31&gt;=I20))*($E$22:$E$31="Monthly")*$D$22:$D$31)+SUMPRODUCT(($B$22:$B$31&lt;&gt;"")*($B$22:$B$31&lt;=I20)*(($C$22:$C$31="")+($C$22:$C$31&lt;&gt;"")*($C$22:$C$31&gt;=I20))*($E$22:$E$31="Annual")*(MONTH($B$22:$B$31)=MONTH(I20))*$D$22:$D$31)+SUMPRODUCT(($B$35:$B$49&lt;&gt;"")*(YEAR($B$35:$B$49)=YEAR(I20))*(MONTH($B$35:$B$49)=MONTH(I20))*$C$35:$C$49)),"")</f>
        <v/>
      </c>
      <c r="L20" s="14">
        <f>IF(H20&lt;&gt;"",ROUND(L19-K20,2),"")</f>
        <v/>
      </c>
      <c r="M20" s="10">
        <f>IF(H20&lt;&gt;"",MIN(MonthlyPmt,L19+J20),"")</f>
        <v/>
      </c>
      <c r="N20" s="10">
        <f>IF(H20&lt;&gt;"",N19+K20,"")</f>
        <v/>
      </c>
      <c r="O20" s="10">
        <f>IF(H20&lt;&gt;"",O19+J20,"")</f>
        <v/>
      </c>
    </row>
    <row r="21">
      <c r="A21" s="5" t="inlineStr">
        <is>
          <t>#</t>
        </is>
      </c>
      <c r="B21" s="5" t="inlineStr">
        <is>
          <t>Start Date</t>
        </is>
      </c>
      <c r="C21" s="5" t="inlineStr">
        <is>
          <t>End Date (optional)</t>
        </is>
      </c>
      <c r="D21" s="5" t="inlineStr">
        <is>
          <t>Amount ($)</t>
        </is>
      </c>
      <c r="E21" s="5" t="inlineStr">
        <is>
          <t>Frequency</t>
        </is>
      </c>
      <c r="H21" s="7">
        <f>IF(AND(L20&gt;0.005,H20&lt;&gt;""),19,"")</f>
        <v/>
      </c>
      <c r="I21" s="8">
        <f>IF(H21&lt;&gt;"",EDATE(StartDate,18),"")</f>
        <v/>
      </c>
      <c r="J21" s="9">
        <f>IF(H21&lt;&gt;"",ROUND(L20*AnnualRate/12,2),"")</f>
        <v/>
      </c>
      <c r="K21" s="9">
        <f>IF(H21&lt;&gt;"",MIN(L20,(M21-J21)+SUMPRODUCT(($B$22:$B$31&lt;&gt;"")*($B$22:$B$31&lt;=I21)*(($C$22:$C$31="")+($C$22:$C$31&lt;&gt;"")*($C$22:$C$31&gt;=I21))*($E$22:$E$31="Monthly")*$D$22:$D$31)+SUMPRODUCT(($B$22:$B$31&lt;&gt;"")*($B$22:$B$31&lt;=I21)*(($C$22:$C$31="")+($C$22:$C$31&lt;&gt;"")*($C$22:$C$31&gt;=I21))*($E$22:$E$31="Annual")*(MONTH($B$22:$B$31)=MONTH(I21))*$D$22:$D$31)+SUMPRODUCT(($B$35:$B$49&lt;&gt;"")*(YEAR($B$35:$B$49)=YEAR(I21))*(MONTH($B$35:$B$49)=MONTH(I21))*$C$35:$C$49)),"")</f>
        <v/>
      </c>
      <c r="L21" s="9">
        <f>IF(H21&lt;&gt;"",ROUND(L20-K21,2),"")</f>
        <v/>
      </c>
      <c r="M21" s="10">
        <f>IF(H21&lt;&gt;"",MIN(MonthlyPmt,L20+J21),"")</f>
        <v/>
      </c>
      <c r="N21" s="10">
        <f>IF(H21&lt;&gt;"",N20+K21,"")</f>
        <v/>
      </c>
      <c r="O21" s="10">
        <f>IF(H21&lt;&gt;"",O20+J21,"")</f>
        <v/>
      </c>
    </row>
    <row r="22">
      <c r="A22" s="7" t="n">
        <v>1</v>
      </c>
      <c r="B22" s="22" t="n"/>
      <c r="C22" s="22" t="n"/>
      <c r="D22" s="23" t="n"/>
      <c r="E22" s="24" t="n"/>
      <c r="H22" s="12">
        <f>IF(AND(L21&gt;0.005,H21&lt;&gt;""),20,"")</f>
        <v/>
      </c>
      <c r="I22" s="13">
        <f>IF(H22&lt;&gt;"",EDATE(StartDate,19),"")</f>
        <v/>
      </c>
      <c r="J22" s="14">
        <f>IF(H22&lt;&gt;"",ROUND(L21*AnnualRate/12,2),"")</f>
        <v/>
      </c>
      <c r="K22" s="14">
        <f>IF(H22&lt;&gt;"",MIN(L21,(M22-J22)+SUMPRODUCT(($B$22:$B$31&lt;&gt;"")*($B$22:$B$31&lt;=I22)*(($C$22:$C$31="")+($C$22:$C$31&lt;&gt;"")*($C$22:$C$31&gt;=I22))*($E$22:$E$31="Monthly")*$D$22:$D$31)+SUMPRODUCT(($B$22:$B$31&lt;&gt;"")*($B$22:$B$31&lt;=I22)*(($C$22:$C$31="")+($C$22:$C$31&lt;&gt;"")*($C$22:$C$31&gt;=I22))*($E$22:$E$31="Annual")*(MONTH($B$22:$B$31)=MONTH(I22))*$D$22:$D$31)+SUMPRODUCT(($B$35:$B$49&lt;&gt;"")*(YEAR($B$35:$B$49)=YEAR(I22))*(MONTH($B$35:$B$49)=MONTH(I22))*$C$35:$C$49)),"")</f>
        <v/>
      </c>
      <c r="L22" s="14">
        <f>IF(H22&lt;&gt;"",ROUND(L21-K22,2),"")</f>
        <v/>
      </c>
      <c r="M22" s="10">
        <f>IF(H22&lt;&gt;"",MIN(MonthlyPmt,L21+J22),"")</f>
        <v/>
      </c>
      <c r="N22" s="10">
        <f>IF(H22&lt;&gt;"",N21+K22,"")</f>
        <v/>
      </c>
      <c r="O22" s="10">
        <f>IF(H22&lt;&gt;"",O21+J22,"")</f>
        <v/>
      </c>
    </row>
    <row r="23">
      <c r="A23" s="7" t="n">
        <v>2</v>
      </c>
      <c r="B23" s="22" t="n"/>
      <c r="C23" s="22" t="n"/>
      <c r="D23" s="23" t="n"/>
      <c r="E23" s="24" t="n"/>
      <c r="H23" s="7">
        <f>IF(AND(L22&gt;0.005,H22&lt;&gt;""),21,"")</f>
        <v/>
      </c>
      <c r="I23" s="8">
        <f>IF(H23&lt;&gt;"",EDATE(StartDate,20),"")</f>
        <v/>
      </c>
      <c r="J23" s="9">
        <f>IF(H23&lt;&gt;"",ROUND(L22*AnnualRate/12,2),"")</f>
        <v/>
      </c>
      <c r="K23" s="9">
        <f>IF(H23&lt;&gt;"",MIN(L22,(M23-J23)+SUMPRODUCT(($B$22:$B$31&lt;&gt;"")*($B$22:$B$31&lt;=I23)*(($C$22:$C$31="")+($C$22:$C$31&lt;&gt;"")*($C$22:$C$31&gt;=I23))*($E$22:$E$31="Monthly")*$D$22:$D$31)+SUMPRODUCT(($B$22:$B$31&lt;&gt;"")*($B$22:$B$31&lt;=I23)*(($C$22:$C$31="")+($C$22:$C$31&lt;&gt;"")*($C$22:$C$31&gt;=I23))*($E$22:$E$31="Annual")*(MONTH($B$22:$B$31)=MONTH(I23))*$D$22:$D$31)+SUMPRODUCT(($B$35:$B$49&lt;&gt;"")*(YEAR($B$35:$B$49)=YEAR(I23))*(MONTH($B$35:$B$49)=MONTH(I23))*$C$35:$C$49)),"")</f>
        <v/>
      </c>
      <c r="L23" s="9">
        <f>IF(H23&lt;&gt;"",ROUND(L22-K23,2),"")</f>
        <v/>
      </c>
      <c r="M23" s="10">
        <f>IF(H23&lt;&gt;"",MIN(MonthlyPmt,L22+J23),"")</f>
        <v/>
      </c>
      <c r="N23" s="10">
        <f>IF(H23&lt;&gt;"",N22+K23,"")</f>
        <v/>
      </c>
      <c r="O23" s="10">
        <f>IF(H23&lt;&gt;"",O22+J23,"")</f>
        <v/>
      </c>
    </row>
    <row r="24">
      <c r="A24" s="7" t="n">
        <v>3</v>
      </c>
      <c r="B24" s="22" t="n"/>
      <c r="C24" s="22" t="n"/>
      <c r="D24" s="23" t="n"/>
      <c r="E24" s="24" t="n"/>
      <c r="H24" s="12">
        <f>IF(AND(L23&gt;0.005,H23&lt;&gt;""),22,"")</f>
        <v/>
      </c>
      <c r="I24" s="13">
        <f>IF(H24&lt;&gt;"",EDATE(StartDate,21),"")</f>
        <v/>
      </c>
      <c r="J24" s="14">
        <f>IF(H24&lt;&gt;"",ROUND(L23*AnnualRate/12,2),"")</f>
        <v/>
      </c>
      <c r="K24" s="14">
        <f>IF(H24&lt;&gt;"",MIN(L23,(M24-J24)+SUMPRODUCT(($B$22:$B$31&lt;&gt;"")*($B$22:$B$31&lt;=I24)*(($C$22:$C$31="")+($C$22:$C$31&lt;&gt;"")*($C$22:$C$31&gt;=I24))*($E$22:$E$31="Monthly")*$D$22:$D$31)+SUMPRODUCT(($B$22:$B$31&lt;&gt;"")*($B$22:$B$31&lt;=I24)*(($C$22:$C$31="")+($C$22:$C$31&lt;&gt;"")*($C$22:$C$31&gt;=I24))*($E$22:$E$31="Annual")*(MONTH($B$22:$B$31)=MONTH(I24))*$D$22:$D$31)+SUMPRODUCT(($B$35:$B$49&lt;&gt;"")*(YEAR($B$35:$B$49)=YEAR(I24))*(MONTH($B$35:$B$49)=MONTH(I24))*$C$35:$C$49)),"")</f>
        <v/>
      </c>
      <c r="L24" s="14">
        <f>IF(H24&lt;&gt;"",ROUND(L23-K24,2),"")</f>
        <v/>
      </c>
      <c r="M24" s="10">
        <f>IF(H24&lt;&gt;"",MIN(MonthlyPmt,L23+J24),"")</f>
        <v/>
      </c>
      <c r="N24" s="10">
        <f>IF(H24&lt;&gt;"",N23+K24,"")</f>
        <v/>
      </c>
      <c r="O24" s="10">
        <f>IF(H24&lt;&gt;"",O23+J24,"")</f>
        <v/>
      </c>
    </row>
    <row r="25">
      <c r="A25" s="7" t="n">
        <v>4</v>
      </c>
      <c r="B25" s="22" t="n"/>
      <c r="C25" s="22" t="n"/>
      <c r="D25" s="23" t="n"/>
      <c r="E25" s="24" t="n"/>
      <c r="H25" s="7">
        <f>IF(AND(L24&gt;0.005,H24&lt;&gt;""),23,"")</f>
        <v/>
      </c>
      <c r="I25" s="8">
        <f>IF(H25&lt;&gt;"",EDATE(StartDate,22),"")</f>
        <v/>
      </c>
      <c r="J25" s="9">
        <f>IF(H25&lt;&gt;"",ROUND(L24*AnnualRate/12,2),"")</f>
        <v/>
      </c>
      <c r="K25" s="9">
        <f>IF(H25&lt;&gt;"",MIN(L24,(M25-J25)+SUMPRODUCT(($B$22:$B$31&lt;&gt;"")*($B$22:$B$31&lt;=I25)*(($C$22:$C$31="")+($C$22:$C$31&lt;&gt;"")*($C$22:$C$31&gt;=I25))*($E$22:$E$31="Monthly")*$D$22:$D$31)+SUMPRODUCT(($B$22:$B$31&lt;&gt;"")*($B$22:$B$31&lt;=I25)*(($C$22:$C$31="")+($C$22:$C$31&lt;&gt;"")*($C$22:$C$31&gt;=I25))*($E$22:$E$31="Annual")*(MONTH($B$22:$B$31)=MONTH(I25))*$D$22:$D$31)+SUMPRODUCT(($B$35:$B$49&lt;&gt;"")*(YEAR($B$35:$B$49)=YEAR(I25))*(MONTH($B$35:$B$49)=MONTH(I25))*$C$35:$C$49)),"")</f>
        <v/>
      </c>
      <c r="L25" s="9">
        <f>IF(H25&lt;&gt;"",ROUND(L24-K25,2),"")</f>
        <v/>
      </c>
      <c r="M25" s="10">
        <f>IF(H25&lt;&gt;"",MIN(MonthlyPmt,L24+J25),"")</f>
        <v/>
      </c>
      <c r="N25" s="10">
        <f>IF(H25&lt;&gt;"",N24+K25,"")</f>
        <v/>
      </c>
      <c r="O25" s="10">
        <f>IF(H25&lt;&gt;"",O24+J25,"")</f>
        <v/>
      </c>
    </row>
    <row r="26">
      <c r="A26" s="7" t="n">
        <v>5</v>
      </c>
      <c r="B26" s="22" t="n"/>
      <c r="C26" s="22" t="n"/>
      <c r="D26" s="23" t="n"/>
      <c r="E26" s="24" t="n"/>
      <c r="H26" s="12">
        <f>IF(AND(L25&gt;0.005,H25&lt;&gt;""),24,"")</f>
        <v/>
      </c>
      <c r="I26" s="13">
        <f>IF(H26&lt;&gt;"",EDATE(StartDate,23),"")</f>
        <v/>
      </c>
      <c r="J26" s="14">
        <f>IF(H26&lt;&gt;"",ROUND(L25*AnnualRate/12,2),"")</f>
        <v/>
      </c>
      <c r="K26" s="14">
        <f>IF(H26&lt;&gt;"",MIN(L25,(M26-J26)+SUMPRODUCT(($B$22:$B$31&lt;&gt;"")*($B$22:$B$31&lt;=I26)*(($C$22:$C$31="")+($C$22:$C$31&lt;&gt;"")*($C$22:$C$31&gt;=I26))*($E$22:$E$31="Monthly")*$D$22:$D$31)+SUMPRODUCT(($B$22:$B$31&lt;&gt;"")*($B$22:$B$31&lt;=I26)*(($C$22:$C$31="")+($C$22:$C$31&lt;&gt;"")*($C$22:$C$31&gt;=I26))*($E$22:$E$31="Annual")*(MONTH($B$22:$B$31)=MONTH(I26))*$D$22:$D$31)+SUMPRODUCT(($B$35:$B$49&lt;&gt;"")*(YEAR($B$35:$B$49)=YEAR(I26))*(MONTH($B$35:$B$49)=MONTH(I26))*$C$35:$C$49)),"")</f>
        <v/>
      </c>
      <c r="L26" s="14">
        <f>IF(H26&lt;&gt;"",ROUND(L25-K26,2),"")</f>
        <v/>
      </c>
      <c r="M26" s="10">
        <f>IF(H26&lt;&gt;"",MIN(MonthlyPmt,L25+J26),"")</f>
        <v/>
      </c>
      <c r="N26" s="10">
        <f>IF(H26&lt;&gt;"",N25+K26,"")</f>
        <v/>
      </c>
      <c r="O26" s="10">
        <f>IF(H26&lt;&gt;"",O25+J26,"")</f>
        <v/>
      </c>
    </row>
    <row r="27">
      <c r="A27" s="7" t="n">
        <v>6</v>
      </c>
      <c r="B27" s="22" t="n"/>
      <c r="C27" s="22" t="n"/>
      <c r="D27" s="23" t="n"/>
      <c r="E27" s="24" t="n"/>
      <c r="H27" s="7">
        <f>IF(AND(L26&gt;0.005,H26&lt;&gt;""),25,"")</f>
        <v/>
      </c>
      <c r="I27" s="8">
        <f>IF(H27&lt;&gt;"",EDATE(StartDate,24),"")</f>
        <v/>
      </c>
      <c r="J27" s="9">
        <f>IF(H27&lt;&gt;"",ROUND(L26*AnnualRate/12,2),"")</f>
        <v/>
      </c>
      <c r="K27" s="9">
        <f>IF(H27&lt;&gt;"",MIN(L26,(M27-J27)+SUMPRODUCT(($B$22:$B$31&lt;&gt;"")*($B$22:$B$31&lt;=I27)*(($C$22:$C$31="")+($C$22:$C$31&lt;&gt;"")*($C$22:$C$31&gt;=I27))*($E$22:$E$31="Monthly")*$D$22:$D$31)+SUMPRODUCT(($B$22:$B$31&lt;&gt;"")*($B$22:$B$31&lt;=I27)*(($C$22:$C$31="")+($C$22:$C$31&lt;&gt;"")*($C$22:$C$31&gt;=I27))*($E$22:$E$31="Annual")*(MONTH($B$22:$B$31)=MONTH(I27))*$D$22:$D$31)+SUMPRODUCT(($B$35:$B$49&lt;&gt;"")*(YEAR($B$35:$B$49)=YEAR(I27))*(MONTH($B$35:$B$49)=MONTH(I27))*$C$35:$C$49)),"")</f>
        <v/>
      </c>
      <c r="L27" s="9">
        <f>IF(H27&lt;&gt;"",ROUND(L26-K27,2),"")</f>
        <v/>
      </c>
      <c r="M27" s="10">
        <f>IF(H27&lt;&gt;"",MIN(MonthlyPmt,L26+J27),"")</f>
        <v/>
      </c>
      <c r="N27" s="10">
        <f>IF(H27&lt;&gt;"",N26+K27,"")</f>
        <v/>
      </c>
      <c r="O27" s="10">
        <f>IF(H27&lt;&gt;"",O26+J27,"")</f>
        <v/>
      </c>
    </row>
    <row r="28">
      <c r="A28" s="7" t="n">
        <v>7</v>
      </c>
      <c r="B28" s="22" t="n"/>
      <c r="C28" s="22" t="n"/>
      <c r="D28" s="23" t="n"/>
      <c r="E28" s="24" t="n"/>
      <c r="H28" s="12">
        <f>IF(AND(L27&gt;0.005,H27&lt;&gt;""),26,"")</f>
        <v/>
      </c>
      <c r="I28" s="13">
        <f>IF(H28&lt;&gt;"",EDATE(StartDate,25),"")</f>
        <v/>
      </c>
      <c r="J28" s="14">
        <f>IF(H28&lt;&gt;"",ROUND(L27*AnnualRate/12,2),"")</f>
        <v/>
      </c>
      <c r="K28" s="14">
        <f>IF(H28&lt;&gt;"",MIN(L27,(M28-J28)+SUMPRODUCT(($B$22:$B$31&lt;&gt;"")*($B$22:$B$31&lt;=I28)*(($C$22:$C$31="")+($C$22:$C$31&lt;&gt;"")*($C$22:$C$31&gt;=I28))*($E$22:$E$31="Monthly")*$D$22:$D$31)+SUMPRODUCT(($B$22:$B$31&lt;&gt;"")*($B$22:$B$31&lt;=I28)*(($C$22:$C$31="")+($C$22:$C$31&lt;&gt;"")*($C$22:$C$31&gt;=I28))*($E$22:$E$31="Annual")*(MONTH($B$22:$B$31)=MONTH(I28))*$D$22:$D$31)+SUMPRODUCT(($B$35:$B$49&lt;&gt;"")*(YEAR($B$35:$B$49)=YEAR(I28))*(MONTH($B$35:$B$49)=MONTH(I28))*$C$35:$C$49)),"")</f>
        <v/>
      </c>
      <c r="L28" s="14">
        <f>IF(H28&lt;&gt;"",ROUND(L27-K28,2),"")</f>
        <v/>
      </c>
      <c r="M28" s="10">
        <f>IF(H28&lt;&gt;"",MIN(MonthlyPmt,L27+J28),"")</f>
        <v/>
      </c>
      <c r="N28" s="10">
        <f>IF(H28&lt;&gt;"",N27+K28,"")</f>
        <v/>
      </c>
      <c r="O28" s="10">
        <f>IF(H28&lt;&gt;"",O27+J28,"")</f>
        <v/>
      </c>
    </row>
    <row r="29">
      <c r="A29" s="7" t="n">
        <v>8</v>
      </c>
      <c r="B29" s="22" t="n"/>
      <c r="C29" s="22" t="n"/>
      <c r="D29" s="23" t="n"/>
      <c r="E29" s="24" t="n"/>
      <c r="H29" s="7">
        <f>IF(AND(L28&gt;0.005,H28&lt;&gt;""),27,"")</f>
        <v/>
      </c>
      <c r="I29" s="8">
        <f>IF(H29&lt;&gt;"",EDATE(StartDate,26),"")</f>
        <v/>
      </c>
      <c r="J29" s="9">
        <f>IF(H29&lt;&gt;"",ROUND(L28*AnnualRate/12,2),"")</f>
        <v/>
      </c>
      <c r="K29" s="9">
        <f>IF(H29&lt;&gt;"",MIN(L28,(M29-J29)+SUMPRODUCT(($B$22:$B$31&lt;&gt;"")*($B$22:$B$31&lt;=I29)*(($C$22:$C$31="")+($C$22:$C$31&lt;&gt;"")*($C$22:$C$31&gt;=I29))*($E$22:$E$31="Monthly")*$D$22:$D$31)+SUMPRODUCT(($B$22:$B$31&lt;&gt;"")*($B$22:$B$31&lt;=I29)*(($C$22:$C$31="")+($C$22:$C$31&lt;&gt;"")*($C$22:$C$31&gt;=I29))*($E$22:$E$31="Annual")*(MONTH($B$22:$B$31)=MONTH(I29))*$D$22:$D$31)+SUMPRODUCT(($B$35:$B$49&lt;&gt;"")*(YEAR($B$35:$B$49)=YEAR(I29))*(MONTH($B$35:$B$49)=MONTH(I29))*$C$35:$C$49)),"")</f>
        <v/>
      </c>
      <c r="L29" s="9">
        <f>IF(H29&lt;&gt;"",ROUND(L28-K29,2),"")</f>
        <v/>
      </c>
      <c r="M29" s="10">
        <f>IF(H29&lt;&gt;"",MIN(MonthlyPmt,L28+J29),"")</f>
        <v/>
      </c>
      <c r="N29" s="10">
        <f>IF(H29&lt;&gt;"",N28+K29,"")</f>
        <v/>
      </c>
      <c r="O29" s="10">
        <f>IF(H29&lt;&gt;"",O28+J29,"")</f>
        <v/>
      </c>
    </row>
    <row r="30">
      <c r="A30" s="7" t="n">
        <v>9</v>
      </c>
      <c r="B30" s="22" t="n"/>
      <c r="C30" s="22" t="n"/>
      <c r="D30" s="23" t="n"/>
      <c r="E30" s="24" t="n"/>
      <c r="H30" s="12">
        <f>IF(AND(L29&gt;0.005,H29&lt;&gt;""),28,"")</f>
        <v/>
      </c>
      <c r="I30" s="13">
        <f>IF(H30&lt;&gt;"",EDATE(StartDate,27),"")</f>
        <v/>
      </c>
      <c r="J30" s="14">
        <f>IF(H30&lt;&gt;"",ROUND(L29*AnnualRate/12,2),"")</f>
        <v/>
      </c>
      <c r="K30" s="14">
        <f>IF(H30&lt;&gt;"",MIN(L29,(M30-J30)+SUMPRODUCT(($B$22:$B$31&lt;&gt;"")*($B$22:$B$31&lt;=I30)*(($C$22:$C$31="")+($C$22:$C$31&lt;&gt;"")*($C$22:$C$31&gt;=I30))*($E$22:$E$31="Monthly")*$D$22:$D$31)+SUMPRODUCT(($B$22:$B$31&lt;&gt;"")*($B$22:$B$31&lt;=I30)*(($C$22:$C$31="")+($C$22:$C$31&lt;&gt;"")*($C$22:$C$31&gt;=I30))*($E$22:$E$31="Annual")*(MONTH($B$22:$B$31)=MONTH(I30))*$D$22:$D$31)+SUMPRODUCT(($B$35:$B$49&lt;&gt;"")*(YEAR($B$35:$B$49)=YEAR(I30))*(MONTH($B$35:$B$49)=MONTH(I30))*$C$35:$C$49)),"")</f>
        <v/>
      </c>
      <c r="L30" s="14">
        <f>IF(H30&lt;&gt;"",ROUND(L29-K30,2),"")</f>
        <v/>
      </c>
      <c r="M30" s="10">
        <f>IF(H30&lt;&gt;"",MIN(MonthlyPmt,L29+J30),"")</f>
        <v/>
      </c>
      <c r="N30" s="10">
        <f>IF(H30&lt;&gt;"",N29+K30,"")</f>
        <v/>
      </c>
      <c r="O30" s="10">
        <f>IF(H30&lt;&gt;"",O29+J30,"")</f>
        <v/>
      </c>
    </row>
    <row r="31">
      <c r="A31" s="7" t="n">
        <v>10</v>
      </c>
      <c r="B31" s="22" t="n"/>
      <c r="C31" s="22" t="n"/>
      <c r="D31" s="23" t="n"/>
      <c r="E31" s="24" t="n"/>
      <c r="H31" s="7">
        <f>IF(AND(L30&gt;0.005,H30&lt;&gt;""),29,"")</f>
        <v/>
      </c>
      <c r="I31" s="8">
        <f>IF(H31&lt;&gt;"",EDATE(StartDate,28),"")</f>
        <v/>
      </c>
      <c r="J31" s="9">
        <f>IF(H31&lt;&gt;"",ROUND(L30*AnnualRate/12,2),"")</f>
        <v/>
      </c>
      <c r="K31" s="9">
        <f>IF(H31&lt;&gt;"",MIN(L30,(M31-J31)+SUMPRODUCT(($B$22:$B$31&lt;&gt;"")*($B$22:$B$31&lt;=I31)*(($C$22:$C$31="")+($C$22:$C$31&lt;&gt;"")*($C$22:$C$31&gt;=I31))*($E$22:$E$31="Monthly")*$D$22:$D$31)+SUMPRODUCT(($B$22:$B$31&lt;&gt;"")*($B$22:$B$31&lt;=I31)*(($C$22:$C$31="")+($C$22:$C$31&lt;&gt;"")*($C$22:$C$31&gt;=I31))*($E$22:$E$31="Annual")*(MONTH($B$22:$B$31)=MONTH(I31))*$D$22:$D$31)+SUMPRODUCT(($B$35:$B$49&lt;&gt;"")*(YEAR($B$35:$B$49)=YEAR(I31))*(MONTH($B$35:$B$49)=MONTH(I31))*$C$35:$C$49)),"")</f>
        <v/>
      </c>
      <c r="L31" s="9">
        <f>IF(H31&lt;&gt;"",ROUND(L30-K31,2),"")</f>
        <v/>
      </c>
      <c r="M31" s="10">
        <f>IF(H31&lt;&gt;"",MIN(MonthlyPmt,L30+J31),"")</f>
        <v/>
      </c>
      <c r="N31" s="10">
        <f>IF(H31&lt;&gt;"",N30+K31,"")</f>
        <v/>
      </c>
      <c r="O31" s="10">
        <f>IF(H31&lt;&gt;"",O30+J31,"")</f>
        <v/>
      </c>
    </row>
    <row r="32">
      <c r="H32" s="12">
        <f>IF(AND(L31&gt;0.005,H31&lt;&gt;""),30,"")</f>
        <v/>
      </c>
      <c r="I32" s="13">
        <f>IF(H32&lt;&gt;"",EDATE(StartDate,29),"")</f>
        <v/>
      </c>
      <c r="J32" s="14">
        <f>IF(H32&lt;&gt;"",ROUND(L31*AnnualRate/12,2),"")</f>
        <v/>
      </c>
      <c r="K32" s="14">
        <f>IF(H32&lt;&gt;"",MIN(L31,(M32-J32)+SUMPRODUCT(($B$22:$B$31&lt;&gt;"")*($B$22:$B$31&lt;=I32)*(($C$22:$C$31="")+($C$22:$C$31&lt;&gt;"")*($C$22:$C$31&gt;=I32))*($E$22:$E$31="Monthly")*$D$22:$D$31)+SUMPRODUCT(($B$22:$B$31&lt;&gt;"")*($B$22:$B$31&lt;=I32)*(($C$22:$C$31="")+($C$22:$C$31&lt;&gt;"")*($C$22:$C$31&gt;=I32))*($E$22:$E$31="Annual")*(MONTH($B$22:$B$31)=MONTH(I32))*$D$22:$D$31)+SUMPRODUCT(($B$35:$B$49&lt;&gt;"")*(YEAR($B$35:$B$49)=YEAR(I32))*(MONTH($B$35:$B$49)=MONTH(I32))*$C$35:$C$49)),"")</f>
        <v/>
      </c>
      <c r="L32" s="14">
        <f>IF(H32&lt;&gt;"",ROUND(L31-K32,2),"")</f>
        <v/>
      </c>
      <c r="M32" s="10">
        <f>IF(H32&lt;&gt;"",MIN(MonthlyPmt,L31+J32),"")</f>
        <v/>
      </c>
      <c r="N32" s="10">
        <f>IF(H32&lt;&gt;"",N31+K32,"")</f>
        <v/>
      </c>
      <c r="O32" s="10">
        <f>IF(H32&lt;&gt;"",O31+J32,"")</f>
        <v/>
      </c>
    </row>
    <row r="33">
      <c r="A33" s="1" t="inlineStr">
        <is>
          <t>ONE-TIME EXTRA PAYMENTS</t>
        </is>
      </c>
      <c r="H33" s="7">
        <f>IF(AND(L32&gt;0.005,H32&lt;&gt;""),31,"")</f>
        <v/>
      </c>
      <c r="I33" s="8">
        <f>IF(H33&lt;&gt;"",EDATE(StartDate,30),"")</f>
        <v/>
      </c>
      <c r="J33" s="9">
        <f>IF(H33&lt;&gt;"",ROUND(L32*AnnualRate/12,2),"")</f>
        <v/>
      </c>
      <c r="K33" s="9">
        <f>IF(H33&lt;&gt;"",MIN(L32,(M33-J33)+SUMPRODUCT(($B$22:$B$31&lt;&gt;"")*($B$22:$B$31&lt;=I33)*(($C$22:$C$31="")+($C$22:$C$31&lt;&gt;"")*($C$22:$C$31&gt;=I33))*($E$22:$E$31="Monthly")*$D$22:$D$31)+SUMPRODUCT(($B$22:$B$31&lt;&gt;"")*($B$22:$B$31&lt;=I33)*(($C$22:$C$31="")+($C$22:$C$31&lt;&gt;"")*($C$22:$C$31&gt;=I33))*($E$22:$E$31="Annual")*(MONTH($B$22:$B$31)=MONTH(I33))*$D$22:$D$31)+SUMPRODUCT(($B$35:$B$49&lt;&gt;"")*(YEAR($B$35:$B$49)=YEAR(I33))*(MONTH($B$35:$B$49)=MONTH(I33))*$C$35:$C$49)),"")</f>
        <v/>
      </c>
      <c r="L33" s="9">
        <f>IF(H33&lt;&gt;"",ROUND(L32-K33,2),"")</f>
        <v/>
      </c>
      <c r="M33" s="10">
        <f>IF(H33&lt;&gt;"",MIN(MonthlyPmt,L32+J33),"")</f>
        <v/>
      </c>
      <c r="N33" s="10">
        <f>IF(H33&lt;&gt;"",N32+K33,"")</f>
        <v/>
      </c>
      <c r="O33" s="10">
        <f>IF(H33&lt;&gt;"",O32+J33,"")</f>
        <v/>
      </c>
    </row>
    <row r="34">
      <c r="A34" s="5" t="inlineStr">
        <is>
          <t>#</t>
        </is>
      </c>
      <c r="B34" s="5" t="inlineStr">
        <is>
          <t>Date</t>
        </is>
      </c>
      <c r="C34" s="5" t="inlineStr">
        <is>
          <t>Amount ($)</t>
        </is>
      </c>
      <c r="H34" s="12">
        <f>IF(AND(L33&gt;0.005,H33&lt;&gt;""),32,"")</f>
        <v/>
      </c>
      <c r="I34" s="13">
        <f>IF(H34&lt;&gt;"",EDATE(StartDate,31),"")</f>
        <v/>
      </c>
      <c r="J34" s="14">
        <f>IF(H34&lt;&gt;"",ROUND(L33*AnnualRate/12,2),"")</f>
        <v/>
      </c>
      <c r="K34" s="14">
        <f>IF(H34&lt;&gt;"",MIN(L33,(M34-J34)+SUMPRODUCT(($B$22:$B$31&lt;&gt;"")*($B$22:$B$31&lt;=I34)*(($C$22:$C$31="")+($C$22:$C$31&lt;&gt;"")*($C$22:$C$31&gt;=I34))*($E$22:$E$31="Monthly")*$D$22:$D$31)+SUMPRODUCT(($B$22:$B$31&lt;&gt;"")*($B$22:$B$31&lt;=I34)*(($C$22:$C$31="")+($C$22:$C$31&lt;&gt;"")*($C$22:$C$31&gt;=I34))*($E$22:$E$31="Annual")*(MONTH($B$22:$B$31)=MONTH(I34))*$D$22:$D$31)+SUMPRODUCT(($B$35:$B$49&lt;&gt;"")*(YEAR($B$35:$B$49)=YEAR(I34))*(MONTH($B$35:$B$49)=MONTH(I34))*$C$35:$C$49)),"")</f>
        <v/>
      </c>
      <c r="L34" s="14">
        <f>IF(H34&lt;&gt;"",ROUND(L33-K34,2),"")</f>
        <v/>
      </c>
      <c r="M34" s="10">
        <f>IF(H34&lt;&gt;"",MIN(MonthlyPmt,L33+J34),"")</f>
        <v/>
      </c>
      <c r="N34" s="10">
        <f>IF(H34&lt;&gt;"",N33+K34,"")</f>
        <v/>
      </c>
      <c r="O34" s="10">
        <f>IF(H34&lt;&gt;"",O33+J34,"")</f>
        <v/>
      </c>
    </row>
    <row r="35">
      <c r="A35" s="7" t="n">
        <v>1</v>
      </c>
      <c r="B35" s="22" t="n"/>
      <c r="C35" s="23" t="n"/>
      <c r="H35" s="7">
        <f>IF(AND(L34&gt;0.005,H34&lt;&gt;""),33,"")</f>
        <v/>
      </c>
      <c r="I35" s="8">
        <f>IF(H35&lt;&gt;"",EDATE(StartDate,32),"")</f>
        <v/>
      </c>
      <c r="J35" s="9">
        <f>IF(H35&lt;&gt;"",ROUND(L34*AnnualRate/12,2),"")</f>
        <v/>
      </c>
      <c r="K35" s="9">
        <f>IF(H35&lt;&gt;"",MIN(L34,(M35-J35)+SUMPRODUCT(($B$22:$B$31&lt;&gt;"")*($B$22:$B$31&lt;=I35)*(($C$22:$C$31="")+($C$22:$C$31&lt;&gt;"")*($C$22:$C$31&gt;=I35))*($E$22:$E$31="Monthly")*$D$22:$D$31)+SUMPRODUCT(($B$22:$B$31&lt;&gt;"")*($B$22:$B$31&lt;=I35)*(($C$22:$C$31="")+($C$22:$C$31&lt;&gt;"")*($C$22:$C$31&gt;=I35))*($E$22:$E$31="Annual")*(MONTH($B$22:$B$31)=MONTH(I35))*$D$22:$D$31)+SUMPRODUCT(($B$35:$B$49&lt;&gt;"")*(YEAR($B$35:$B$49)=YEAR(I35))*(MONTH($B$35:$B$49)=MONTH(I35))*$C$35:$C$49)),"")</f>
        <v/>
      </c>
      <c r="L35" s="9">
        <f>IF(H35&lt;&gt;"",ROUND(L34-K35,2),"")</f>
        <v/>
      </c>
      <c r="M35" s="10">
        <f>IF(H35&lt;&gt;"",MIN(MonthlyPmt,L34+J35),"")</f>
        <v/>
      </c>
      <c r="N35" s="10">
        <f>IF(H35&lt;&gt;"",N34+K35,"")</f>
        <v/>
      </c>
      <c r="O35" s="10">
        <f>IF(H35&lt;&gt;"",O34+J35,"")</f>
        <v/>
      </c>
    </row>
    <row r="36">
      <c r="A36" s="7" t="n">
        <v>2</v>
      </c>
      <c r="B36" s="22" t="n"/>
      <c r="C36" s="23" t="n"/>
      <c r="H36" s="12">
        <f>IF(AND(L35&gt;0.005,H35&lt;&gt;""),34,"")</f>
        <v/>
      </c>
      <c r="I36" s="13">
        <f>IF(H36&lt;&gt;"",EDATE(StartDate,33),"")</f>
        <v/>
      </c>
      <c r="J36" s="14">
        <f>IF(H36&lt;&gt;"",ROUND(L35*AnnualRate/12,2),"")</f>
        <v/>
      </c>
      <c r="K36" s="14">
        <f>IF(H36&lt;&gt;"",MIN(L35,(M36-J36)+SUMPRODUCT(($B$22:$B$31&lt;&gt;"")*($B$22:$B$31&lt;=I36)*(($C$22:$C$31="")+($C$22:$C$31&lt;&gt;"")*($C$22:$C$31&gt;=I36))*($E$22:$E$31="Monthly")*$D$22:$D$31)+SUMPRODUCT(($B$22:$B$31&lt;&gt;"")*($B$22:$B$31&lt;=I36)*(($C$22:$C$31="")+($C$22:$C$31&lt;&gt;"")*($C$22:$C$31&gt;=I36))*($E$22:$E$31="Annual")*(MONTH($B$22:$B$31)=MONTH(I36))*$D$22:$D$31)+SUMPRODUCT(($B$35:$B$49&lt;&gt;"")*(YEAR($B$35:$B$49)=YEAR(I36))*(MONTH($B$35:$B$49)=MONTH(I36))*$C$35:$C$49)),"")</f>
        <v/>
      </c>
      <c r="L36" s="14">
        <f>IF(H36&lt;&gt;"",ROUND(L35-K36,2),"")</f>
        <v/>
      </c>
      <c r="M36" s="10">
        <f>IF(H36&lt;&gt;"",MIN(MonthlyPmt,L35+J36),"")</f>
        <v/>
      </c>
      <c r="N36" s="10">
        <f>IF(H36&lt;&gt;"",N35+K36,"")</f>
        <v/>
      </c>
      <c r="O36" s="10">
        <f>IF(H36&lt;&gt;"",O35+J36,"")</f>
        <v/>
      </c>
    </row>
    <row r="37">
      <c r="A37" s="7" t="n">
        <v>3</v>
      </c>
      <c r="B37" s="22" t="n"/>
      <c r="C37" s="23" t="n"/>
      <c r="H37" s="7">
        <f>IF(AND(L36&gt;0.005,H36&lt;&gt;""),35,"")</f>
        <v/>
      </c>
      <c r="I37" s="8">
        <f>IF(H37&lt;&gt;"",EDATE(StartDate,34),"")</f>
        <v/>
      </c>
      <c r="J37" s="9">
        <f>IF(H37&lt;&gt;"",ROUND(L36*AnnualRate/12,2),"")</f>
        <v/>
      </c>
      <c r="K37" s="9">
        <f>IF(H37&lt;&gt;"",MIN(L36,(M37-J37)+SUMPRODUCT(($B$22:$B$31&lt;&gt;"")*($B$22:$B$31&lt;=I37)*(($C$22:$C$31="")+($C$22:$C$31&lt;&gt;"")*($C$22:$C$31&gt;=I37))*($E$22:$E$31="Monthly")*$D$22:$D$31)+SUMPRODUCT(($B$22:$B$31&lt;&gt;"")*($B$22:$B$31&lt;=I37)*(($C$22:$C$31="")+($C$22:$C$31&lt;&gt;"")*($C$22:$C$31&gt;=I37))*($E$22:$E$31="Annual")*(MONTH($B$22:$B$31)=MONTH(I37))*$D$22:$D$31)+SUMPRODUCT(($B$35:$B$49&lt;&gt;"")*(YEAR($B$35:$B$49)=YEAR(I37))*(MONTH($B$35:$B$49)=MONTH(I37))*$C$35:$C$49)),"")</f>
        <v/>
      </c>
      <c r="L37" s="9">
        <f>IF(H37&lt;&gt;"",ROUND(L36-K37,2),"")</f>
        <v/>
      </c>
      <c r="M37" s="10">
        <f>IF(H37&lt;&gt;"",MIN(MonthlyPmt,L36+J37),"")</f>
        <v/>
      </c>
      <c r="N37" s="10">
        <f>IF(H37&lt;&gt;"",N36+K37,"")</f>
        <v/>
      </c>
      <c r="O37" s="10">
        <f>IF(H37&lt;&gt;"",O36+J37,"")</f>
        <v/>
      </c>
    </row>
    <row r="38">
      <c r="A38" s="7" t="n">
        <v>4</v>
      </c>
      <c r="B38" s="22" t="n"/>
      <c r="C38" s="23" t="n"/>
      <c r="H38" s="12">
        <f>IF(AND(L37&gt;0.005,H37&lt;&gt;""),36,"")</f>
        <v/>
      </c>
      <c r="I38" s="13">
        <f>IF(H38&lt;&gt;"",EDATE(StartDate,35),"")</f>
        <v/>
      </c>
      <c r="J38" s="14">
        <f>IF(H38&lt;&gt;"",ROUND(L37*AnnualRate/12,2),"")</f>
        <v/>
      </c>
      <c r="K38" s="14">
        <f>IF(H38&lt;&gt;"",MIN(L37,(M38-J38)+SUMPRODUCT(($B$22:$B$31&lt;&gt;"")*($B$22:$B$31&lt;=I38)*(($C$22:$C$31="")+($C$22:$C$31&lt;&gt;"")*($C$22:$C$31&gt;=I38))*($E$22:$E$31="Monthly")*$D$22:$D$31)+SUMPRODUCT(($B$22:$B$31&lt;&gt;"")*($B$22:$B$31&lt;=I38)*(($C$22:$C$31="")+($C$22:$C$31&lt;&gt;"")*($C$22:$C$31&gt;=I38))*($E$22:$E$31="Annual")*(MONTH($B$22:$B$31)=MONTH(I38))*$D$22:$D$31)+SUMPRODUCT(($B$35:$B$49&lt;&gt;"")*(YEAR($B$35:$B$49)=YEAR(I38))*(MONTH($B$35:$B$49)=MONTH(I38))*$C$35:$C$49)),"")</f>
        <v/>
      </c>
      <c r="L38" s="14">
        <f>IF(H38&lt;&gt;"",ROUND(L37-K38,2),"")</f>
        <v/>
      </c>
      <c r="M38" s="10">
        <f>IF(H38&lt;&gt;"",MIN(MonthlyPmt,L37+J38),"")</f>
        <v/>
      </c>
      <c r="N38" s="10">
        <f>IF(H38&lt;&gt;"",N37+K38,"")</f>
        <v/>
      </c>
      <c r="O38" s="10">
        <f>IF(H38&lt;&gt;"",O37+J38,"")</f>
        <v/>
      </c>
    </row>
    <row r="39">
      <c r="A39" s="7" t="n">
        <v>5</v>
      </c>
      <c r="B39" s="22" t="n"/>
      <c r="C39" s="23" t="n"/>
      <c r="H39" s="7">
        <f>IF(AND(L38&gt;0.005,H38&lt;&gt;""),37,"")</f>
        <v/>
      </c>
      <c r="I39" s="8">
        <f>IF(H39&lt;&gt;"",EDATE(StartDate,36),"")</f>
        <v/>
      </c>
      <c r="J39" s="9">
        <f>IF(H39&lt;&gt;"",ROUND(L38*AnnualRate/12,2),"")</f>
        <v/>
      </c>
      <c r="K39" s="9">
        <f>IF(H39&lt;&gt;"",MIN(L38,(M39-J39)+SUMPRODUCT(($B$22:$B$31&lt;&gt;"")*($B$22:$B$31&lt;=I39)*(($C$22:$C$31="")+($C$22:$C$31&lt;&gt;"")*($C$22:$C$31&gt;=I39))*($E$22:$E$31="Monthly")*$D$22:$D$31)+SUMPRODUCT(($B$22:$B$31&lt;&gt;"")*($B$22:$B$31&lt;=I39)*(($C$22:$C$31="")+($C$22:$C$31&lt;&gt;"")*($C$22:$C$31&gt;=I39))*($E$22:$E$31="Annual")*(MONTH($B$22:$B$31)=MONTH(I39))*$D$22:$D$31)+SUMPRODUCT(($B$35:$B$49&lt;&gt;"")*(YEAR($B$35:$B$49)=YEAR(I39))*(MONTH($B$35:$B$49)=MONTH(I39))*$C$35:$C$49)),"")</f>
        <v/>
      </c>
      <c r="L39" s="9">
        <f>IF(H39&lt;&gt;"",ROUND(L38-K39,2),"")</f>
        <v/>
      </c>
      <c r="M39" s="10">
        <f>IF(H39&lt;&gt;"",MIN(MonthlyPmt,L38+J39),"")</f>
        <v/>
      </c>
      <c r="N39" s="10">
        <f>IF(H39&lt;&gt;"",N38+K39,"")</f>
        <v/>
      </c>
      <c r="O39" s="10">
        <f>IF(H39&lt;&gt;"",O38+J39,"")</f>
        <v/>
      </c>
    </row>
    <row r="40">
      <c r="A40" s="7" t="n">
        <v>6</v>
      </c>
      <c r="B40" s="22" t="n"/>
      <c r="C40" s="23" t="n"/>
      <c r="H40" s="12">
        <f>IF(AND(L39&gt;0.005,H39&lt;&gt;""),38,"")</f>
        <v/>
      </c>
      <c r="I40" s="13">
        <f>IF(H40&lt;&gt;"",EDATE(StartDate,37),"")</f>
        <v/>
      </c>
      <c r="J40" s="14">
        <f>IF(H40&lt;&gt;"",ROUND(L39*AnnualRate/12,2),"")</f>
        <v/>
      </c>
      <c r="K40" s="14">
        <f>IF(H40&lt;&gt;"",MIN(L39,(M40-J40)+SUMPRODUCT(($B$22:$B$31&lt;&gt;"")*($B$22:$B$31&lt;=I40)*(($C$22:$C$31="")+($C$22:$C$31&lt;&gt;"")*($C$22:$C$31&gt;=I40))*($E$22:$E$31="Monthly")*$D$22:$D$31)+SUMPRODUCT(($B$22:$B$31&lt;&gt;"")*($B$22:$B$31&lt;=I40)*(($C$22:$C$31="")+($C$22:$C$31&lt;&gt;"")*($C$22:$C$31&gt;=I40))*($E$22:$E$31="Annual")*(MONTH($B$22:$B$31)=MONTH(I40))*$D$22:$D$31)+SUMPRODUCT(($B$35:$B$49&lt;&gt;"")*(YEAR($B$35:$B$49)=YEAR(I40))*(MONTH($B$35:$B$49)=MONTH(I40))*$C$35:$C$49)),"")</f>
        <v/>
      </c>
      <c r="L40" s="14">
        <f>IF(H40&lt;&gt;"",ROUND(L39-K40,2),"")</f>
        <v/>
      </c>
      <c r="M40" s="10">
        <f>IF(H40&lt;&gt;"",MIN(MonthlyPmt,L39+J40),"")</f>
        <v/>
      </c>
      <c r="N40" s="10">
        <f>IF(H40&lt;&gt;"",N39+K40,"")</f>
        <v/>
      </c>
      <c r="O40" s="10">
        <f>IF(H40&lt;&gt;"",O39+J40,"")</f>
        <v/>
      </c>
    </row>
    <row r="41">
      <c r="A41" s="7" t="n">
        <v>7</v>
      </c>
      <c r="B41" s="22" t="n"/>
      <c r="C41" s="23" t="n"/>
      <c r="H41" s="7">
        <f>IF(AND(L40&gt;0.005,H40&lt;&gt;""),39,"")</f>
        <v/>
      </c>
      <c r="I41" s="8">
        <f>IF(H41&lt;&gt;"",EDATE(StartDate,38),"")</f>
        <v/>
      </c>
      <c r="J41" s="9">
        <f>IF(H41&lt;&gt;"",ROUND(L40*AnnualRate/12,2),"")</f>
        <v/>
      </c>
      <c r="K41" s="9">
        <f>IF(H41&lt;&gt;"",MIN(L40,(M41-J41)+SUMPRODUCT(($B$22:$B$31&lt;&gt;"")*($B$22:$B$31&lt;=I41)*(($C$22:$C$31="")+($C$22:$C$31&lt;&gt;"")*($C$22:$C$31&gt;=I41))*($E$22:$E$31="Monthly")*$D$22:$D$31)+SUMPRODUCT(($B$22:$B$31&lt;&gt;"")*($B$22:$B$31&lt;=I41)*(($C$22:$C$31="")+($C$22:$C$31&lt;&gt;"")*($C$22:$C$31&gt;=I41))*($E$22:$E$31="Annual")*(MONTH($B$22:$B$31)=MONTH(I41))*$D$22:$D$31)+SUMPRODUCT(($B$35:$B$49&lt;&gt;"")*(YEAR($B$35:$B$49)=YEAR(I41))*(MONTH($B$35:$B$49)=MONTH(I41))*$C$35:$C$49)),"")</f>
        <v/>
      </c>
      <c r="L41" s="9">
        <f>IF(H41&lt;&gt;"",ROUND(L40-K41,2),"")</f>
        <v/>
      </c>
      <c r="M41" s="10">
        <f>IF(H41&lt;&gt;"",MIN(MonthlyPmt,L40+J41),"")</f>
        <v/>
      </c>
      <c r="N41" s="10">
        <f>IF(H41&lt;&gt;"",N40+K41,"")</f>
        <v/>
      </c>
      <c r="O41" s="10">
        <f>IF(H41&lt;&gt;"",O40+J41,"")</f>
        <v/>
      </c>
    </row>
    <row r="42">
      <c r="A42" s="7" t="n">
        <v>8</v>
      </c>
      <c r="B42" s="22" t="n"/>
      <c r="C42" s="23" t="n"/>
      <c r="H42" s="12">
        <f>IF(AND(L41&gt;0.005,H41&lt;&gt;""),40,"")</f>
        <v/>
      </c>
      <c r="I42" s="13">
        <f>IF(H42&lt;&gt;"",EDATE(StartDate,39),"")</f>
        <v/>
      </c>
      <c r="J42" s="14">
        <f>IF(H42&lt;&gt;"",ROUND(L41*AnnualRate/12,2),"")</f>
        <v/>
      </c>
      <c r="K42" s="14">
        <f>IF(H42&lt;&gt;"",MIN(L41,(M42-J42)+SUMPRODUCT(($B$22:$B$31&lt;&gt;"")*($B$22:$B$31&lt;=I42)*(($C$22:$C$31="")+($C$22:$C$31&lt;&gt;"")*($C$22:$C$31&gt;=I42))*($E$22:$E$31="Monthly")*$D$22:$D$31)+SUMPRODUCT(($B$22:$B$31&lt;&gt;"")*($B$22:$B$31&lt;=I42)*(($C$22:$C$31="")+($C$22:$C$31&lt;&gt;"")*($C$22:$C$31&gt;=I42))*($E$22:$E$31="Annual")*(MONTH($B$22:$B$31)=MONTH(I42))*$D$22:$D$31)+SUMPRODUCT(($B$35:$B$49&lt;&gt;"")*(YEAR($B$35:$B$49)=YEAR(I42))*(MONTH($B$35:$B$49)=MONTH(I42))*$C$35:$C$49)),"")</f>
        <v/>
      </c>
      <c r="L42" s="14">
        <f>IF(H42&lt;&gt;"",ROUND(L41-K42,2),"")</f>
        <v/>
      </c>
      <c r="M42" s="10">
        <f>IF(H42&lt;&gt;"",MIN(MonthlyPmt,L41+J42),"")</f>
        <v/>
      </c>
      <c r="N42" s="10">
        <f>IF(H42&lt;&gt;"",N41+K42,"")</f>
        <v/>
      </c>
      <c r="O42" s="10">
        <f>IF(H42&lt;&gt;"",O41+J42,"")</f>
        <v/>
      </c>
    </row>
    <row r="43">
      <c r="A43" s="7" t="n">
        <v>9</v>
      </c>
      <c r="B43" s="22" t="n"/>
      <c r="C43" s="23" t="n"/>
      <c r="H43" s="7">
        <f>IF(AND(L42&gt;0.005,H42&lt;&gt;""),41,"")</f>
        <v/>
      </c>
      <c r="I43" s="8">
        <f>IF(H43&lt;&gt;"",EDATE(StartDate,40),"")</f>
        <v/>
      </c>
      <c r="J43" s="9">
        <f>IF(H43&lt;&gt;"",ROUND(L42*AnnualRate/12,2),"")</f>
        <v/>
      </c>
      <c r="K43" s="9">
        <f>IF(H43&lt;&gt;"",MIN(L42,(M43-J43)+SUMPRODUCT(($B$22:$B$31&lt;&gt;"")*($B$22:$B$31&lt;=I43)*(($C$22:$C$31="")+($C$22:$C$31&lt;&gt;"")*($C$22:$C$31&gt;=I43))*($E$22:$E$31="Monthly")*$D$22:$D$31)+SUMPRODUCT(($B$22:$B$31&lt;&gt;"")*($B$22:$B$31&lt;=I43)*(($C$22:$C$31="")+($C$22:$C$31&lt;&gt;"")*($C$22:$C$31&gt;=I43))*($E$22:$E$31="Annual")*(MONTH($B$22:$B$31)=MONTH(I43))*$D$22:$D$31)+SUMPRODUCT(($B$35:$B$49&lt;&gt;"")*(YEAR($B$35:$B$49)=YEAR(I43))*(MONTH($B$35:$B$49)=MONTH(I43))*$C$35:$C$49)),"")</f>
        <v/>
      </c>
      <c r="L43" s="9">
        <f>IF(H43&lt;&gt;"",ROUND(L42-K43,2),"")</f>
        <v/>
      </c>
      <c r="M43" s="10">
        <f>IF(H43&lt;&gt;"",MIN(MonthlyPmt,L42+J43),"")</f>
        <v/>
      </c>
      <c r="N43" s="10">
        <f>IF(H43&lt;&gt;"",N42+K43,"")</f>
        <v/>
      </c>
      <c r="O43" s="10">
        <f>IF(H43&lt;&gt;"",O42+J43,"")</f>
        <v/>
      </c>
    </row>
    <row r="44">
      <c r="A44" s="7" t="n">
        <v>10</v>
      </c>
      <c r="B44" s="22" t="n"/>
      <c r="C44" s="23" t="n"/>
      <c r="H44" s="12">
        <f>IF(AND(L43&gt;0.005,H43&lt;&gt;""),42,"")</f>
        <v/>
      </c>
      <c r="I44" s="13">
        <f>IF(H44&lt;&gt;"",EDATE(StartDate,41),"")</f>
        <v/>
      </c>
      <c r="J44" s="14">
        <f>IF(H44&lt;&gt;"",ROUND(L43*AnnualRate/12,2),"")</f>
        <v/>
      </c>
      <c r="K44" s="14">
        <f>IF(H44&lt;&gt;"",MIN(L43,(M44-J44)+SUMPRODUCT(($B$22:$B$31&lt;&gt;"")*($B$22:$B$31&lt;=I44)*(($C$22:$C$31="")+($C$22:$C$31&lt;&gt;"")*($C$22:$C$31&gt;=I44))*($E$22:$E$31="Monthly")*$D$22:$D$31)+SUMPRODUCT(($B$22:$B$31&lt;&gt;"")*($B$22:$B$31&lt;=I44)*(($C$22:$C$31="")+($C$22:$C$31&lt;&gt;"")*($C$22:$C$31&gt;=I44))*($E$22:$E$31="Annual")*(MONTH($B$22:$B$31)=MONTH(I44))*$D$22:$D$31)+SUMPRODUCT(($B$35:$B$49&lt;&gt;"")*(YEAR($B$35:$B$49)=YEAR(I44))*(MONTH($B$35:$B$49)=MONTH(I44))*$C$35:$C$49)),"")</f>
        <v/>
      </c>
      <c r="L44" s="14">
        <f>IF(H44&lt;&gt;"",ROUND(L43-K44,2),"")</f>
        <v/>
      </c>
      <c r="M44" s="10">
        <f>IF(H44&lt;&gt;"",MIN(MonthlyPmt,L43+J44),"")</f>
        <v/>
      </c>
      <c r="N44" s="10">
        <f>IF(H44&lt;&gt;"",N43+K44,"")</f>
        <v/>
      </c>
      <c r="O44" s="10">
        <f>IF(H44&lt;&gt;"",O43+J44,"")</f>
        <v/>
      </c>
    </row>
    <row r="45">
      <c r="A45" s="7" t="n">
        <v>11</v>
      </c>
      <c r="B45" s="22" t="n"/>
      <c r="C45" s="23" t="n"/>
      <c r="H45" s="7">
        <f>IF(AND(L44&gt;0.005,H44&lt;&gt;""),43,"")</f>
        <v/>
      </c>
      <c r="I45" s="8">
        <f>IF(H45&lt;&gt;"",EDATE(StartDate,42),"")</f>
        <v/>
      </c>
      <c r="J45" s="9">
        <f>IF(H45&lt;&gt;"",ROUND(L44*AnnualRate/12,2),"")</f>
        <v/>
      </c>
      <c r="K45" s="9">
        <f>IF(H45&lt;&gt;"",MIN(L44,(M45-J45)+SUMPRODUCT(($B$22:$B$31&lt;&gt;"")*($B$22:$B$31&lt;=I45)*(($C$22:$C$31="")+($C$22:$C$31&lt;&gt;"")*($C$22:$C$31&gt;=I45))*($E$22:$E$31="Monthly")*$D$22:$D$31)+SUMPRODUCT(($B$22:$B$31&lt;&gt;"")*($B$22:$B$31&lt;=I45)*(($C$22:$C$31="")+($C$22:$C$31&lt;&gt;"")*($C$22:$C$31&gt;=I45))*($E$22:$E$31="Annual")*(MONTH($B$22:$B$31)=MONTH(I45))*$D$22:$D$31)+SUMPRODUCT(($B$35:$B$49&lt;&gt;"")*(YEAR($B$35:$B$49)=YEAR(I45))*(MONTH($B$35:$B$49)=MONTH(I45))*$C$35:$C$49)),"")</f>
        <v/>
      </c>
      <c r="L45" s="9">
        <f>IF(H45&lt;&gt;"",ROUND(L44-K45,2),"")</f>
        <v/>
      </c>
      <c r="M45" s="10">
        <f>IF(H45&lt;&gt;"",MIN(MonthlyPmt,L44+J45),"")</f>
        <v/>
      </c>
      <c r="N45" s="10">
        <f>IF(H45&lt;&gt;"",N44+K45,"")</f>
        <v/>
      </c>
      <c r="O45" s="10">
        <f>IF(H45&lt;&gt;"",O44+J45,"")</f>
        <v/>
      </c>
    </row>
    <row r="46">
      <c r="A46" s="7" t="n">
        <v>12</v>
      </c>
      <c r="B46" s="22" t="n"/>
      <c r="C46" s="23" t="n"/>
      <c r="H46" s="12">
        <f>IF(AND(L45&gt;0.005,H45&lt;&gt;""),44,"")</f>
        <v/>
      </c>
      <c r="I46" s="13">
        <f>IF(H46&lt;&gt;"",EDATE(StartDate,43),"")</f>
        <v/>
      </c>
      <c r="J46" s="14">
        <f>IF(H46&lt;&gt;"",ROUND(L45*AnnualRate/12,2),"")</f>
        <v/>
      </c>
      <c r="K46" s="14">
        <f>IF(H46&lt;&gt;"",MIN(L45,(M46-J46)+SUMPRODUCT(($B$22:$B$31&lt;&gt;"")*($B$22:$B$31&lt;=I46)*(($C$22:$C$31="")+($C$22:$C$31&lt;&gt;"")*($C$22:$C$31&gt;=I46))*($E$22:$E$31="Monthly")*$D$22:$D$31)+SUMPRODUCT(($B$22:$B$31&lt;&gt;"")*($B$22:$B$31&lt;=I46)*(($C$22:$C$31="")+($C$22:$C$31&lt;&gt;"")*($C$22:$C$31&gt;=I46))*($E$22:$E$31="Annual")*(MONTH($B$22:$B$31)=MONTH(I46))*$D$22:$D$31)+SUMPRODUCT(($B$35:$B$49&lt;&gt;"")*(YEAR($B$35:$B$49)=YEAR(I46))*(MONTH($B$35:$B$49)=MONTH(I46))*$C$35:$C$49)),"")</f>
        <v/>
      </c>
      <c r="L46" s="14">
        <f>IF(H46&lt;&gt;"",ROUND(L45-K46,2),"")</f>
        <v/>
      </c>
      <c r="M46" s="10">
        <f>IF(H46&lt;&gt;"",MIN(MonthlyPmt,L45+J46),"")</f>
        <v/>
      </c>
      <c r="N46" s="10">
        <f>IF(H46&lt;&gt;"",N45+K46,"")</f>
        <v/>
      </c>
      <c r="O46" s="10">
        <f>IF(H46&lt;&gt;"",O45+J46,"")</f>
        <v/>
      </c>
    </row>
    <row r="47">
      <c r="A47" s="7" t="n">
        <v>13</v>
      </c>
      <c r="B47" s="22" t="n"/>
      <c r="C47" s="23" t="n"/>
      <c r="H47" s="7">
        <f>IF(AND(L46&gt;0.005,H46&lt;&gt;""),45,"")</f>
        <v/>
      </c>
      <c r="I47" s="8">
        <f>IF(H47&lt;&gt;"",EDATE(StartDate,44),"")</f>
        <v/>
      </c>
      <c r="J47" s="9">
        <f>IF(H47&lt;&gt;"",ROUND(L46*AnnualRate/12,2),"")</f>
        <v/>
      </c>
      <c r="K47" s="9">
        <f>IF(H47&lt;&gt;"",MIN(L46,(M47-J47)+SUMPRODUCT(($B$22:$B$31&lt;&gt;"")*($B$22:$B$31&lt;=I47)*(($C$22:$C$31="")+($C$22:$C$31&lt;&gt;"")*($C$22:$C$31&gt;=I47))*($E$22:$E$31="Monthly")*$D$22:$D$31)+SUMPRODUCT(($B$22:$B$31&lt;&gt;"")*($B$22:$B$31&lt;=I47)*(($C$22:$C$31="")+($C$22:$C$31&lt;&gt;"")*($C$22:$C$31&gt;=I47))*($E$22:$E$31="Annual")*(MONTH($B$22:$B$31)=MONTH(I47))*$D$22:$D$31)+SUMPRODUCT(($B$35:$B$49&lt;&gt;"")*(YEAR($B$35:$B$49)=YEAR(I47))*(MONTH($B$35:$B$49)=MONTH(I47))*$C$35:$C$49)),"")</f>
        <v/>
      </c>
      <c r="L47" s="9">
        <f>IF(H47&lt;&gt;"",ROUND(L46-K47,2),"")</f>
        <v/>
      </c>
      <c r="M47" s="10">
        <f>IF(H47&lt;&gt;"",MIN(MonthlyPmt,L46+J47),"")</f>
        <v/>
      </c>
      <c r="N47" s="10">
        <f>IF(H47&lt;&gt;"",N46+K47,"")</f>
        <v/>
      </c>
      <c r="O47" s="10">
        <f>IF(H47&lt;&gt;"",O46+J47,"")</f>
        <v/>
      </c>
    </row>
    <row r="48">
      <c r="A48" s="7" t="n">
        <v>14</v>
      </c>
      <c r="B48" s="22" t="n"/>
      <c r="C48" s="23" t="n"/>
      <c r="H48" s="12">
        <f>IF(AND(L47&gt;0.005,H47&lt;&gt;""),46,"")</f>
        <v/>
      </c>
      <c r="I48" s="13">
        <f>IF(H48&lt;&gt;"",EDATE(StartDate,45),"")</f>
        <v/>
      </c>
      <c r="J48" s="14">
        <f>IF(H48&lt;&gt;"",ROUND(L47*AnnualRate/12,2),"")</f>
        <v/>
      </c>
      <c r="K48" s="14">
        <f>IF(H48&lt;&gt;"",MIN(L47,(M48-J48)+SUMPRODUCT(($B$22:$B$31&lt;&gt;"")*($B$22:$B$31&lt;=I48)*(($C$22:$C$31="")+($C$22:$C$31&lt;&gt;"")*($C$22:$C$31&gt;=I48))*($E$22:$E$31="Monthly")*$D$22:$D$31)+SUMPRODUCT(($B$22:$B$31&lt;&gt;"")*($B$22:$B$31&lt;=I48)*(($C$22:$C$31="")+($C$22:$C$31&lt;&gt;"")*($C$22:$C$31&gt;=I48))*($E$22:$E$31="Annual")*(MONTH($B$22:$B$31)=MONTH(I48))*$D$22:$D$31)+SUMPRODUCT(($B$35:$B$49&lt;&gt;"")*(YEAR($B$35:$B$49)=YEAR(I48))*(MONTH($B$35:$B$49)=MONTH(I48))*$C$35:$C$49)),"")</f>
        <v/>
      </c>
      <c r="L48" s="14">
        <f>IF(H48&lt;&gt;"",ROUND(L47-K48,2),"")</f>
        <v/>
      </c>
      <c r="M48" s="10">
        <f>IF(H48&lt;&gt;"",MIN(MonthlyPmt,L47+J48),"")</f>
        <v/>
      </c>
      <c r="N48" s="10">
        <f>IF(H48&lt;&gt;"",N47+K48,"")</f>
        <v/>
      </c>
      <c r="O48" s="10">
        <f>IF(H48&lt;&gt;"",O47+J48,"")</f>
        <v/>
      </c>
    </row>
    <row r="49">
      <c r="A49" s="7" t="n">
        <v>15</v>
      </c>
      <c r="B49" s="22" t="n"/>
      <c r="C49" s="23" t="n"/>
      <c r="H49" s="7">
        <f>IF(AND(L48&gt;0.005,H48&lt;&gt;""),47,"")</f>
        <v/>
      </c>
      <c r="I49" s="8">
        <f>IF(H49&lt;&gt;"",EDATE(StartDate,46),"")</f>
        <v/>
      </c>
      <c r="J49" s="9">
        <f>IF(H49&lt;&gt;"",ROUND(L48*AnnualRate/12,2),"")</f>
        <v/>
      </c>
      <c r="K49" s="9">
        <f>IF(H49&lt;&gt;"",MIN(L48,(M49-J49)+SUMPRODUCT(($B$22:$B$31&lt;&gt;"")*($B$22:$B$31&lt;=I49)*(($C$22:$C$31="")+($C$22:$C$31&lt;&gt;"")*($C$22:$C$31&gt;=I49))*($E$22:$E$31="Monthly")*$D$22:$D$31)+SUMPRODUCT(($B$22:$B$31&lt;&gt;"")*($B$22:$B$31&lt;=I49)*(($C$22:$C$31="")+($C$22:$C$31&lt;&gt;"")*($C$22:$C$31&gt;=I49))*($E$22:$E$31="Annual")*(MONTH($B$22:$B$31)=MONTH(I49))*$D$22:$D$31)+SUMPRODUCT(($B$35:$B$49&lt;&gt;"")*(YEAR($B$35:$B$49)=YEAR(I49))*(MONTH($B$35:$B$49)=MONTH(I49))*$C$35:$C$49)),"")</f>
        <v/>
      </c>
      <c r="L49" s="9">
        <f>IF(H49&lt;&gt;"",ROUND(L48-K49,2),"")</f>
        <v/>
      </c>
      <c r="M49" s="10">
        <f>IF(H49&lt;&gt;"",MIN(MonthlyPmt,L48+J49),"")</f>
        <v/>
      </c>
      <c r="N49" s="10">
        <f>IF(H49&lt;&gt;"",N48+K49,"")</f>
        <v/>
      </c>
      <c r="O49" s="10">
        <f>IF(H49&lt;&gt;"",O48+J49,"")</f>
        <v/>
      </c>
    </row>
    <row r="50">
      <c r="H50" s="12">
        <f>IF(AND(L49&gt;0.005,H49&lt;&gt;""),48,"")</f>
        <v/>
      </c>
      <c r="I50" s="13">
        <f>IF(H50&lt;&gt;"",EDATE(StartDate,47),"")</f>
        <v/>
      </c>
      <c r="J50" s="14">
        <f>IF(H50&lt;&gt;"",ROUND(L49*AnnualRate/12,2),"")</f>
        <v/>
      </c>
      <c r="K50" s="14">
        <f>IF(H50&lt;&gt;"",MIN(L49,(M50-J50)+SUMPRODUCT(($B$22:$B$31&lt;&gt;"")*($B$22:$B$31&lt;=I50)*(($C$22:$C$31="")+($C$22:$C$31&lt;&gt;"")*($C$22:$C$31&gt;=I50))*($E$22:$E$31="Monthly")*$D$22:$D$31)+SUMPRODUCT(($B$22:$B$31&lt;&gt;"")*($B$22:$B$31&lt;=I50)*(($C$22:$C$31="")+($C$22:$C$31&lt;&gt;"")*($C$22:$C$31&gt;=I50))*($E$22:$E$31="Annual")*(MONTH($B$22:$B$31)=MONTH(I50))*$D$22:$D$31)+SUMPRODUCT(($B$35:$B$49&lt;&gt;"")*(YEAR($B$35:$B$49)=YEAR(I50))*(MONTH($B$35:$B$49)=MONTH(I50))*$C$35:$C$49)),"")</f>
        <v/>
      </c>
      <c r="L50" s="14">
        <f>IF(H50&lt;&gt;"",ROUND(L49-K50,2),"")</f>
        <v/>
      </c>
      <c r="M50" s="10">
        <f>IF(H50&lt;&gt;"",MIN(MonthlyPmt,L49+J50),"")</f>
        <v/>
      </c>
      <c r="N50" s="10">
        <f>IF(H50&lt;&gt;"",N49+K50,"")</f>
        <v/>
      </c>
      <c r="O50" s="10">
        <f>IF(H50&lt;&gt;"",O49+J50,"")</f>
        <v/>
      </c>
    </row>
    <row r="51">
      <c r="H51" s="7">
        <f>IF(AND(L50&gt;0.005,H50&lt;&gt;""),49,"")</f>
        <v/>
      </c>
      <c r="I51" s="8">
        <f>IF(H51&lt;&gt;"",EDATE(StartDate,48),"")</f>
        <v/>
      </c>
      <c r="J51" s="9">
        <f>IF(H51&lt;&gt;"",ROUND(L50*AnnualRate/12,2),"")</f>
        <v/>
      </c>
      <c r="K51" s="9">
        <f>IF(H51&lt;&gt;"",MIN(L50,(M51-J51)+SUMPRODUCT(($B$22:$B$31&lt;&gt;"")*($B$22:$B$31&lt;=I51)*(($C$22:$C$31="")+($C$22:$C$31&lt;&gt;"")*($C$22:$C$31&gt;=I51))*($E$22:$E$31="Monthly")*$D$22:$D$31)+SUMPRODUCT(($B$22:$B$31&lt;&gt;"")*($B$22:$B$31&lt;=I51)*(($C$22:$C$31="")+($C$22:$C$31&lt;&gt;"")*($C$22:$C$31&gt;=I51))*($E$22:$E$31="Annual")*(MONTH($B$22:$B$31)=MONTH(I51))*$D$22:$D$31)+SUMPRODUCT(($B$35:$B$49&lt;&gt;"")*(YEAR($B$35:$B$49)=YEAR(I51))*(MONTH($B$35:$B$49)=MONTH(I51))*$C$35:$C$49)),"")</f>
        <v/>
      </c>
      <c r="L51" s="9">
        <f>IF(H51&lt;&gt;"",ROUND(L50-K51,2),"")</f>
        <v/>
      </c>
      <c r="M51" s="10">
        <f>IF(H51&lt;&gt;"",MIN(MonthlyPmt,L50+J51),"")</f>
        <v/>
      </c>
      <c r="N51" s="10">
        <f>IF(H51&lt;&gt;"",N50+K51,"")</f>
        <v/>
      </c>
      <c r="O51" s="10">
        <f>IF(H51&lt;&gt;"",O50+J51,"")</f>
        <v/>
      </c>
    </row>
    <row r="52">
      <c r="H52" s="12">
        <f>IF(AND(L51&gt;0.005,H51&lt;&gt;""),50,"")</f>
        <v/>
      </c>
      <c r="I52" s="13">
        <f>IF(H52&lt;&gt;"",EDATE(StartDate,49),"")</f>
        <v/>
      </c>
      <c r="J52" s="14">
        <f>IF(H52&lt;&gt;"",ROUND(L51*AnnualRate/12,2),"")</f>
        <v/>
      </c>
      <c r="K52" s="14">
        <f>IF(H52&lt;&gt;"",MIN(L51,(M52-J52)+SUMPRODUCT(($B$22:$B$31&lt;&gt;"")*($B$22:$B$31&lt;=I52)*(($C$22:$C$31="")+($C$22:$C$31&lt;&gt;"")*($C$22:$C$31&gt;=I52))*($E$22:$E$31="Monthly")*$D$22:$D$31)+SUMPRODUCT(($B$22:$B$31&lt;&gt;"")*($B$22:$B$31&lt;=I52)*(($C$22:$C$31="")+($C$22:$C$31&lt;&gt;"")*($C$22:$C$31&gt;=I52))*($E$22:$E$31="Annual")*(MONTH($B$22:$B$31)=MONTH(I52))*$D$22:$D$31)+SUMPRODUCT(($B$35:$B$49&lt;&gt;"")*(YEAR($B$35:$B$49)=YEAR(I52))*(MONTH($B$35:$B$49)=MONTH(I52))*$C$35:$C$49)),"")</f>
        <v/>
      </c>
      <c r="L52" s="14">
        <f>IF(H52&lt;&gt;"",ROUND(L51-K52,2),"")</f>
        <v/>
      </c>
      <c r="M52" s="10">
        <f>IF(H52&lt;&gt;"",MIN(MonthlyPmt,L51+J52),"")</f>
        <v/>
      </c>
      <c r="N52" s="10">
        <f>IF(H52&lt;&gt;"",N51+K52,"")</f>
        <v/>
      </c>
      <c r="O52" s="10">
        <f>IF(H52&lt;&gt;"",O51+J52,"")</f>
        <v/>
      </c>
    </row>
    <row r="53">
      <c r="H53" s="7">
        <f>IF(AND(L52&gt;0.005,H52&lt;&gt;""),51,"")</f>
        <v/>
      </c>
      <c r="I53" s="8">
        <f>IF(H53&lt;&gt;"",EDATE(StartDate,50),"")</f>
        <v/>
      </c>
      <c r="J53" s="9">
        <f>IF(H53&lt;&gt;"",ROUND(L52*AnnualRate/12,2),"")</f>
        <v/>
      </c>
      <c r="K53" s="9">
        <f>IF(H53&lt;&gt;"",MIN(L52,(M53-J53)+SUMPRODUCT(($B$22:$B$31&lt;&gt;"")*($B$22:$B$31&lt;=I53)*(($C$22:$C$31="")+($C$22:$C$31&lt;&gt;"")*($C$22:$C$31&gt;=I53))*($E$22:$E$31="Monthly")*$D$22:$D$31)+SUMPRODUCT(($B$22:$B$31&lt;&gt;"")*($B$22:$B$31&lt;=I53)*(($C$22:$C$31="")+($C$22:$C$31&lt;&gt;"")*($C$22:$C$31&gt;=I53))*($E$22:$E$31="Annual")*(MONTH($B$22:$B$31)=MONTH(I53))*$D$22:$D$31)+SUMPRODUCT(($B$35:$B$49&lt;&gt;"")*(YEAR($B$35:$B$49)=YEAR(I53))*(MONTH($B$35:$B$49)=MONTH(I53))*$C$35:$C$49)),"")</f>
        <v/>
      </c>
      <c r="L53" s="9">
        <f>IF(H53&lt;&gt;"",ROUND(L52-K53,2),"")</f>
        <v/>
      </c>
      <c r="M53" s="10">
        <f>IF(H53&lt;&gt;"",MIN(MonthlyPmt,L52+J53),"")</f>
        <v/>
      </c>
      <c r="N53" s="10">
        <f>IF(H53&lt;&gt;"",N52+K53,"")</f>
        <v/>
      </c>
      <c r="O53" s="10">
        <f>IF(H53&lt;&gt;"",O52+J53,"")</f>
        <v/>
      </c>
    </row>
    <row r="54">
      <c r="H54" s="12">
        <f>IF(AND(L53&gt;0.005,H53&lt;&gt;""),52,"")</f>
        <v/>
      </c>
      <c r="I54" s="13">
        <f>IF(H54&lt;&gt;"",EDATE(StartDate,51),"")</f>
        <v/>
      </c>
      <c r="J54" s="14">
        <f>IF(H54&lt;&gt;"",ROUND(L53*AnnualRate/12,2),"")</f>
        <v/>
      </c>
      <c r="K54" s="14">
        <f>IF(H54&lt;&gt;"",MIN(L53,(M54-J54)+SUMPRODUCT(($B$22:$B$31&lt;&gt;"")*($B$22:$B$31&lt;=I54)*(($C$22:$C$31="")+($C$22:$C$31&lt;&gt;"")*($C$22:$C$31&gt;=I54))*($E$22:$E$31="Monthly")*$D$22:$D$31)+SUMPRODUCT(($B$22:$B$31&lt;&gt;"")*($B$22:$B$31&lt;=I54)*(($C$22:$C$31="")+($C$22:$C$31&lt;&gt;"")*($C$22:$C$31&gt;=I54))*($E$22:$E$31="Annual")*(MONTH($B$22:$B$31)=MONTH(I54))*$D$22:$D$31)+SUMPRODUCT(($B$35:$B$49&lt;&gt;"")*(YEAR($B$35:$B$49)=YEAR(I54))*(MONTH($B$35:$B$49)=MONTH(I54))*$C$35:$C$49)),"")</f>
        <v/>
      </c>
      <c r="L54" s="14">
        <f>IF(H54&lt;&gt;"",ROUND(L53-K54,2),"")</f>
        <v/>
      </c>
      <c r="M54" s="10">
        <f>IF(H54&lt;&gt;"",MIN(MonthlyPmt,L53+J54),"")</f>
        <v/>
      </c>
      <c r="N54" s="10">
        <f>IF(H54&lt;&gt;"",N53+K54,"")</f>
        <v/>
      </c>
      <c r="O54" s="10">
        <f>IF(H54&lt;&gt;"",O53+J54,"")</f>
        <v/>
      </c>
    </row>
    <row r="55">
      <c r="H55" s="7">
        <f>IF(AND(L54&gt;0.005,H54&lt;&gt;""),53,"")</f>
        <v/>
      </c>
      <c r="I55" s="8">
        <f>IF(H55&lt;&gt;"",EDATE(StartDate,52),"")</f>
        <v/>
      </c>
      <c r="J55" s="9">
        <f>IF(H55&lt;&gt;"",ROUND(L54*AnnualRate/12,2),"")</f>
        <v/>
      </c>
      <c r="K55" s="9">
        <f>IF(H55&lt;&gt;"",MIN(L54,(M55-J55)+SUMPRODUCT(($B$22:$B$31&lt;&gt;"")*($B$22:$B$31&lt;=I55)*(($C$22:$C$31="")+($C$22:$C$31&lt;&gt;"")*($C$22:$C$31&gt;=I55))*($E$22:$E$31="Monthly")*$D$22:$D$31)+SUMPRODUCT(($B$22:$B$31&lt;&gt;"")*($B$22:$B$31&lt;=I55)*(($C$22:$C$31="")+($C$22:$C$31&lt;&gt;"")*($C$22:$C$31&gt;=I55))*($E$22:$E$31="Annual")*(MONTH($B$22:$B$31)=MONTH(I55))*$D$22:$D$31)+SUMPRODUCT(($B$35:$B$49&lt;&gt;"")*(YEAR($B$35:$B$49)=YEAR(I55))*(MONTH($B$35:$B$49)=MONTH(I55))*$C$35:$C$49)),"")</f>
        <v/>
      </c>
      <c r="L55" s="9">
        <f>IF(H55&lt;&gt;"",ROUND(L54-K55,2),"")</f>
        <v/>
      </c>
      <c r="M55" s="10">
        <f>IF(H55&lt;&gt;"",MIN(MonthlyPmt,L54+J55),"")</f>
        <v/>
      </c>
      <c r="N55" s="10">
        <f>IF(H55&lt;&gt;"",N54+K55,"")</f>
        <v/>
      </c>
      <c r="O55" s="10">
        <f>IF(H55&lt;&gt;"",O54+J55,"")</f>
        <v/>
      </c>
    </row>
    <row r="56">
      <c r="H56" s="12">
        <f>IF(AND(L55&gt;0.005,H55&lt;&gt;""),54,"")</f>
        <v/>
      </c>
      <c r="I56" s="13">
        <f>IF(H56&lt;&gt;"",EDATE(StartDate,53),"")</f>
        <v/>
      </c>
      <c r="J56" s="14">
        <f>IF(H56&lt;&gt;"",ROUND(L55*AnnualRate/12,2),"")</f>
        <v/>
      </c>
      <c r="K56" s="14">
        <f>IF(H56&lt;&gt;"",MIN(L55,(M56-J56)+SUMPRODUCT(($B$22:$B$31&lt;&gt;"")*($B$22:$B$31&lt;=I56)*(($C$22:$C$31="")+($C$22:$C$31&lt;&gt;"")*($C$22:$C$31&gt;=I56))*($E$22:$E$31="Monthly")*$D$22:$D$31)+SUMPRODUCT(($B$22:$B$31&lt;&gt;"")*($B$22:$B$31&lt;=I56)*(($C$22:$C$31="")+($C$22:$C$31&lt;&gt;"")*($C$22:$C$31&gt;=I56))*($E$22:$E$31="Annual")*(MONTH($B$22:$B$31)=MONTH(I56))*$D$22:$D$31)+SUMPRODUCT(($B$35:$B$49&lt;&gt;"")*(YEAR($B$35:$B$49)=YEAR(I56))*(MONTH($B$35:$B$49)=MONTH(I56))*$C$35:$C$49)),"")</f>
        <v/>
      </c>
      <c r="L56" s="14">
        <f>IF(H56&lt;&gt;"",ROUND(L55-K56,2),"")</f>
        <v/>
      </c>
      <c r="M56" s="10">
        <f>IF(H56&lt;&gt;"",MIN(MonthlyPmt,L55+J56),"")</f>
        <v/>
      </c>
      <c r="N56" s="10">
        <f>IF(H56&lt;&gt;"",N55+K56,"")</f>
        <v/>
      </c>
      <c r="O56" s="10">
        <f>IF(H56&lt;&gt;"",O55+J56,"")</f>
        <v/>
      </c>
    </row>
    <row r="57">
      <c r="H57" s="7">
        <f>IF(AND(L56&gt;0.005,H56&lt;&gt;""),55,"")</f>
        <v/>
      </c>
      <c r="I57" s="8">
        <f>IF(H57&lt;&gt;"",EDATE(StartDate,54),"")</f>
        <v/>
      </c>
      <c r="J57" s="9">
        <f>IF(H57&lt;&gt;"",ROUND(L56*AnnualRate/12,2),"")</f>
        <v/>
      </c>
      <c r="K57" s="9">
        <f>IF(H57&lt;&gt;"",MIN(L56,(M57-J57)+SUMPRODUCT(($B$22:$B$31&lt;&gt;"")*($B$22:$B$31&lt;=I57)*(($C$22:$C$31="")+($C$22:$C$31&lt;&gt;"")*($C$22:$C$31&gt;=I57))*($E$22:$E$31="Monthly")*$D$22:$D$31)+SUMPRODUCT(($B$22:$B$31&lt;&gt;"")*($B$22:$B$31&lt;=I57)*(($C$22:$C$31="")+($C$22:$C$31&lt;&gt;"")*($C$22:$C$31&gt;=I57))*($E$22:$E$31="Annual")*(MONTH($B$22:$B$31)=MONTH(I57))*$D$22:$D$31)+SUMPRODUCT(($B$35:$B$49&lt;&gt;"")*(YEAR($B$35:$B$49)=YEAR(I57))*(MONTH($B$35:$B$49)=MONTH(I57))*$C$35:$C$49)),"")</f>
        <v/>
      </c>
      <c r="L57" s="9">
        <f>IF(H57&lt;&gt;"",ROUND(L56-K57,2),"")</f>
        <v/>
      </c>
      <c r="M57" s="10">
        <f>IF(H57&lt;&gt;"",MIN(MonthlyPmt,L56+J57),"")</f>
        <v/>
      </c>
      <c r="N57" s="10">
        <f>IF(H57&lt;&gt;"",N56+K57,"")</f>
        <v/>
      </c>
      <c r="O57" s="10">
        <f>IF(H57&lt;&gt;"",O56+J57,"")</f>
        <v/>
      </c>
    </row>
    <row r="58">
      <c r="H58" s="12">
        <f>IF(AND(L57&gt;0.005,H57&lt;&gt;""),56,"")</f>
        <v/>
      </c>
      <c r="I58" s="13">
        <f>IF(H58&lt;&gt;"",EDATE(StartDate,55),"")</f>
        <v/>
      </c>
      <c r="J58" s="14">
        <f>IF(H58&lt;&gt;"",ROUND(L57*AnnualRate/12,2),"")</f>
        <v/>
      </c>
      <c r="K58" s="14">
        <f>IF(H58&lt;&gt;"",MIN(L57,(M58-J58)+SUMPRODUCT(($B$22:$B$31&lt;&gt;"")*($B$22:$B$31&lt;=I58)*(($C$22:$C$31="")+($C$22:$C$31&lt;&gt;"")*($C$22:$C$31&gt;=I58))*($E$22:$E$31="Monthly")*$D$22:$D$31)+SUMPRODUCT(($B$22:$B$31&lt;&gt;"")*($B$22:$B$31&lt;=I58)*(($C$22:$C$31="")+($C$22:$C$31&lt;&gt;"")*($C$22:$C$31&gt;=I58))*($E$22:$E$31="Annual")*(MONTH($B$22:$B$31)=MONTH(I58))*$D$22:$D$31)+SUMPRODUCT(($B$35:$B$49&lt;&gt;"")*(YEAR($B$35:$B$49)=YEAR(I58))*(MONTH($B$35:$B$49)=MONTH(I58))*$C$35:$C$49)),"")</f>
        <v/>
      </c>
      <c r="L58" s="14">
        <f>IF(H58&lt;&gt;"",ROUND(L57-K58,2),"")</f>
        <v/>
      </c>
      <c r="M58" s="10">
        <f>IF(H58&lt;&gt;"",MIN(MonthlyPmt,L57+J58),"")</f>
        <v/>
      </c>
      <c r="N58" s="10">
        <f>IF(H58&lt;&gt;"",N57+K58,"")</f>
        <v/>
      </c>
      <c r="O58" s="10">
        <f>IF(H58&lt;&gt;"",O57+J58,"")</f>
        <v/>
      </c>
    </row>
    <row r="59">
      <c r="H59" s="7">
        <f>IF(AND(L58&gt;0.005,H58&lt;&gt;""),57,"")</f>
        <v/>
      </c>
      <c r="I59" s="8">
        <f>IF(H59&lt;&gt;"",EDATE(StartDate,56),"")</f>
        <v/>
      </c>
      <c r="J59" s="9">
        <f>IF(H59&lt;&gt;"",ROUND(L58*AnnualRate/12,2),"")</f>
        <v/>
      </c>
      <c r="K59" s="9">
        <f>IF(H59&lt;&gt;"",MIN(L58,(M59-J59)+SUMPRODUCT(($B$22:$B$31&lt;&gt;"")*($B$22:$B$31&lt;=I59)*(($C$22:$C$31="")+($C$22:$C$31&lt;&gt;"")*($C$22:$C$31&gt;=I59))*($E$22:$E$31="Monthly")*$D$22:$D$31)+SUMPRODUCT(($B$22:$B$31&lt;&gt;"")*($B$22:$B$31&lt;=I59)*(($C$22:$C$31="")+($C$22:$C$31&lt;&gt;"")*($C$22:$C$31&gt;=I59))*($E$22:$E$31="Annual")*(MONTH($B$22:$B$31)=MONTH(I59))*$D$22:$D$31)+SUMPRODUCT(($B$35:$B$49&lt;&gt;"")*(YEAR($B$35:$B$49)=YEAR(I59))*(MONTH($B$35:$B$49)=MONTH(I59))*$C$35:$C$49)),"")</f>
        <v/>
      </c>
      <c r="L59" s="9">
        <f>IF(H59&lt;&gt;"",ROUND(L58-K59,2),"")</f>
        <v/>
      </c>
      <c r="M59" s="10">
        <f>IF(H59&lt;&gt;"",MIN(MonthlyPmt,L58+J59),"")</f>
        <v/>
      </c>
      <c r="N59" s="10">
        <f>IF(H59&lt;&gt;"",N58+K59,"")</f>
        <v/>
      </c>
      <c r="O59" s="10">
        <f>IF(H59&lt;&gt;"",O58+J59,"")</f>
        <v/>
      </c>
    </row>
    <row r="60">
      <c r="H60" s="12">
        <f>IF(AND(L59&gt;0.005,H59&lt;&gt;""),58,"")</f>
        <v/>
      </c>
      <c r="I60" s="13">
        <f>IF(H60&lt;&gt;"",EDATE(StartDate,57),"")</f>
        <v/>
      </c>
      <c r="J60" s="14">
        <f>IF(H60&lt;&gt;"",ROUND(L59*AnnualRate/12,2),"")</f>
        <v/>
      </c>
      <c r="K60" s="14">
        <f>IF(H60&lt;&gt;"",MIN(L59,(M60-J60)+SUMPRODUCT(($B$22:$B$31&lt;&gt;"")*($B$22:$B$31&lt;=I60)*(($C$22:$C$31="")+($C$22:$C$31&lt;&gt;"")*($C$22:$C$31&gt;=I60))*($E$22:$E$31="Monthly")*$D$22:$D$31)+SUMPRODUCT(($B$22:$B$31&lt;&gt;"")*($B$22:$B$31&lt;=I60)*(($C$22:$C$31="")+($C$22:$C$31&lt;&gt;"")*($C$22:$C$31&gt;=I60))*($E$22:$E$31="Annual")*(MONTH($B$22:$B$31)=MONTH(I60))*$D$22:$D$31)+SUMPRODUCT(($B$35:$B$49&lt;&gt;"")*(YEAR($B$35:$B$49)=YEAR(I60))*(MONTH($B$35:$B$49)=MONTH(I60))*$C$35:$C$49)),"")</f>
        <v/>
      </c>
      <c r="L60" s="14">
        <f>IF(H60&lt;&gt;"",ROUND(L59-K60,2),"")</f>
        <v/>
      </c>
      <c r="M60" s="10">
        <f>IF(H60&lt;&gt;"",MIN(MonthlyPmt,L59+J60),"")</f>
        <v/>
      </c>
      <c r="N60" s="10">
        <f>IF(H60&lt;&gt;"",N59+K60,"")</f>
        <v/>
      </c>
      <c r="O60" s="10">
        <f>IF(H60&lt;&gt;"",O59+J60,"")</f>
        <v/>
      </c>
    </row>
    <row r="61">
      <c r="H61" s="7">
        <f>IF(AND(L60&gt;0.005,H60&lt;&gt;""),59,"")</f>
        <v/>
      </c>
      <c r="I61" s="8">
        <f>IF(H61&lt;&gt;"",EDATE(StartDate,58),"")</f>
        <v/>
      </c>
      <c r="J61" s="9">
        <f>IF(H61&lt;&gt;"",ROUND(L60*AnnualRate/12,2),"")</f>
        <v/>
      </c>
      <c r="K61" s="9">
        <f>IF(H61&lt;&gt;"",MIN(L60,(M61-J61)+SUMPRODUCT(($B$22:$B$31&lt;&gt;"")*($B$22:$B$31&lt;=I61)*(($C$22:$C$31="")+($C$22:$C$31&lt;&gt;"")*($C$22:$C$31&gt;=I61))*($E$22:$E$31="Monthly")*$D$22:$D$31)+SUMPRODUCT(($B$22:$B$31&lt;&gt;"")*($B$22:$B$31&lt;=I61)*(($C$22:$C$31="")+($C$22:$C$31&lt;&gt;"")*($C$22:$C$31&gt;=I61))*($E$22:$E$31="Annual")*(MONTH($B$22:$B$31)=MONTH(I61))*$D$22:$D$31)+SUMPRODUCT(($B$35:$B$49&lt;&gt;"")*(YEAR($B$35:$B$49)=YEAR(I61))*(MONTH($B$35:$B$49)=MONTH(I61))*$C$35:$C$49)),"")</f>
        <v/>
      </c>
      <c r="L61" s="9">
        <f>IF(H61&lt;&gt;"",ROUND(L60-K61,2),"")</f>
        <v/>
      </c>
      <c r="M61" s="10">
        <f>IF(H61&lt;&gt;"",MIN(MonthlyPmt,L60+J61),"")</f>
        <v/>
      </c>
      <c r="N61" s="10">
        <f>IF(H61&lt;&gt;"",N60+K61,"")</f>
        <v/>
      </c>
      <c r="O61" s="10">
        <f>IF(H61&lt;&gt;"",O60+J61,"")</f>
        <v/>
      </c>
    </row>
    <row r="62">
      <c r="H62" s="12">
        <f>IF(AND(L61&gt;0.005,H61&lt;&gt;""),60,"")</f>
        <v/>
      </c>
      <c r="I62" s="13">
        <f>IF(H62&lt;&gt;"",EDATE(StartDate,59),"")</f>
        <v/>
      </c>
      <c r="J62" s="14">
        <f>IF(H62&lt;&gt;"",ROUND(L61*AnnualRate/12,2),"")</f>
        <v/>
      </c>
      <c r="K62" s="14">
        <f>IF(H62&lt;&gt;"",MIN(L61,(M62-J62)+SUMPRODUCT(($B$22:$B$31&lt;&gt;"")*($B$22:$B$31&lt;=I62)*(($C$22:$C$31="")+($C$22:$C$31&lt;&gt;"")*($C$22:$C$31&gt;=I62))*($E$22:$E$31="Monthly")*$D$22:$D$31)+SUMPRODUCT(($B$22:$B$31&lt;&gt;"")*($B$22:$B$31&lt;=I62)*(($C$22:$C$31="")+($C$22:$C$31&lt;&gt;"")*($C$22:$C$31&gt;=I62))*($E$22:$E$31="Annual")*(MONTH($B$22:$B$31)=MONTH(I62))*$D$22:$D$31)+SUMPRODUCT(($B$35:$B$49&lt;&gt;"")*(YEAR($B$35:$B$49)=YEAR(I62))*(MONTH($B$35:$B$49)=MONTH(I62))*$C$35:$C$49)),"")</f>
        <v/>
      </c>
      <c r="L62" s="14">
        <f>IF(H62&lt;&gt;"",ROUND(L61-K62,2),"")</f>
        <v/>
      </c>
      <c r="M62" s="10">
        <f>IF(H62&lt;&gt;"",MIN(MonthlyPmt,L61+J62),"")</f>
        <v/>
      </c>
      <c r="N62" s="10">
        <f>IF(H62&lt;&gt;"",N61+K62,"")</f>
        <v/>
      </c>
      <c r="O62" s="10">
        <f>IF(H62&lt;&gt;"",O61+J62,"")</f>
        <v/>
      </c>
    </row>
    <row r="63">
      <c r="H63" s="7">
        <f>IF(AND(L62&gt;0.005,H62&lt;&gt;""),61,"")</f>
        <v/>
      </c>
      <c r="I63" s="8">
        <f>IF(H63&lt;&gt;"",EDATE(StartDate,60),"")</f>
        <v/>
      </c>
      <c r="J63" s="9">
        <f>IF(H63&lt;&gt;"",ROUND(L62*AnnualRate/12,2),"")</f>
        <v/>
      </c>
      <c r="K63" s="9">
        <f>IF(H63&lt;&gt;"",MIN(L62,(M63-J63)+SUMPRODUCT(($B$22:$B$31&lt;&gt;"")*($B$22:$B$31&lt;=I63)*(($C$22:$C$31="")+($C$22:$C$31&lt;&gt;"")*($C$22:$C$31&gt;=I63))*($E$22:$E$31="Monthly")*$D$22:$D$31)+SUMPRODUCT(($B$22:$B$31&lt;&gt;"")*($B$22:$B$31&lt;=I63)*(($C$22:$C$31="")+($C$22:$C$31&lt;&gt;"")*($C$22:$C$31&gt;=I63))*($E$22:$E$31="Annual")*(MONTH($B$22:$B$31)=MONTH(I63))*$D$22:$D$31)+SUMPRODUCT(($B$35:$B$49&lt;&gt;"")*(YEAR($B$35:$B$49)=YEAR(I63))*(MONTH($B$35:$B$49)=MONTH(I63))*$C$35:$C$49)),"")</f>
        <v/>
      </c>
      <c r="L63" s="9">
        <f>IF(H63&lt;&gt;"",ROUND(L62-K63,2),"")</f>
        <v/>
      </c>
      <c r="M63" s="10">
        <f>IF(H63&lt;&gt;"",MIN(MonthlyPmt,L62+J63),"")</f>
        <v/>
      </c>
      <c r="N63" s="10">
        <f>IF(H63&lt;&gt;"",N62+K63,"")</f>
        <v/>
      </c>
      <c r="O63" s="10">
        <f>IF(H63&lt;&gt;"",O62+J63,"")</f>
        <v/>
      </c>
    </row>
    <row r="64">
      <c r="H64" s="12">
        <f>IF(AND(L63&gt;0.005,H63&lt;&gt;""),62,"")</f>
        <v/>
      </c>
      <c r="I64" s="13">
        <f>IF(H64&lt;&gt;"",EDATE(StartDate,61),"")</f>
        <v/>
      </c>
      <c r="J64" s="14">
        <f>IF(H64&lt;&gt;"",ROUND(L63*AnnualRate/12,2),"")</f>
        <v/>
      </c>
      <c r="K64" s="14">
        <f>IF(H64&lt;&gt;"",MIN(L63,(M64-J64)+SUMPRODUCT(($B$22:$B$31&lt;&gt;"")*($B$22:$B$31&lt;=I64)*(($C$22:$C$31="")+($C$22:$C$31&lt;&gt;"")*($C$22:$C$31&gt;=I64))*($E$22:$E$31="Monthly")*$D$22:$D$31)+SUMPRODUCT(($B$22:$B$31&lt;&gt;"")*($B$22:$B$31&lt;=I64)*(($C$22:$C$31="")+($C$22:$C$31&lt;&gt;"")*($C$22:$C$31&gt;=I64))*($E$22:$E$31="Annual")*(MONTH($B$22:$B$31)=MONTH(I64))*$D$22:$D$31)+SUMPRODUCT(($B$35:$B$49&lt;&gt;"")*(YEAR($B$35:$B$49)=YEAR(I64))*(MONTH($B$35:$B$49)=MONTH(I64))*$C$35:$C$49)),"")</f>
        <v/>
      </c>
      <c r="L64" s="14">
        <f>IF(H64&lt;&gt;"",ROUND(L63-K64,2),"")</f>
        <v/>
      </c>
      <c r="M64" s="10">
        <f>IF(H64&lt;&gt;"",MIN(MonthlyPmt,L63+J64),"")</f>
        <v/>
      </c>
      <c r="N64" s="10">
        <f>IF(H64&lt;&gt;"",N63+K64,"")</f>
        <v/>
      </c>
      <c r="O64" s="10">
        <f>IF(H64&lt;&gt;"",O63+J64,"")</f>
        <v/>
      </c>
    </row>
    <row r="65">
      <c r="H65" s="7">
        <f>IF(AND(L64&gt;0.005,H64&lt;&gt;""),63,"")</f>
        <v/>
      </c>
      <c r="I65" s="8">
        <f>IF(H65&lt;&gt;"",EDATE(StartDate,62),"")</f>
        <v/>
      </c>
      <c r="J65" s="9">
        <f>IF(H65&lt;&gt;"",ROUND(L64*AnnualRate/12,2),"")</f>
        <v/>
      </c>
      <c r="K65" s="9">
        <f>IF(H65&lt;&gt;"",MIN(L64,(M65-J65)+SUMPRODUCT(($B$22:$B$31&lt;&gt;"")*($B$22:$B$31&lt;=I65)*(($C$22:$C$31="")+($C$22:$C$31&lt;&gt;"")*($C$22:$C$31&gt;=I65))*($E$22:$E$31="Monthly")*$D$22:$D$31)+SUMPRODUCT(($B$22:$B$31&lt;&gt;"")*($B$22:$B$31&lt;=I65)*(($C$22:$C$31="")+($C$22:$C$31&lt;&gt;"")*($C$22:$C$31&gt;=I65))*($E$22:$E$31="Annual")*(MONTH($B$22:$B$31)=MONTH(I65))*$D$22:$D$31)+SUMPRODUCT(($B$35:$B$49&lt;&gt;"")*(YEAR($B$35:$B$49)=YEAR(I65))*(MONTH($B$35:$B$49)=MONTH(I65))*$C$35:$C$49)),"")</f>
        <v/>
      </c>
      <c r="L65" s="9">
        <f>IF(H65&lt;&gt;"",ROUND(L64-K65,2),"")</f>
        <v/>
      </c>
      <c r="M65" s="10">
        <f>IF(H65&lt;&gt;"",MIN(MonthlyPmt,L64+J65),"")</f>
        <v/>
      </c>
      <c r="N65" s="10">
        <f>IF(H65&lt;&gt;"",N64+K65,"")</f>
        <v/>
      </c>
      <c r="O65" s="10">
        <f>IF(H65&lt;&gt;"",O64+J65,"")</f>
        <v/>
      </c>
    </row>
    <row r="66">
      <c r="H66" s="12">
        <f>IF(AND(L65&gt;0.005,H65&lt;&gt;""),64,"")</f>
        <v/>
      </c>
      <c r="I66" s="13">
        <f>IF(H66&lt;&gt;"",EDATE(StartDate,63),"")</f>
        <v/>
      </c>
      <c r="J66" s="14">
        <f>IF(H66&lt;&gt;"",ROUND(L65*AnnualRate/12,2),"")</f>
        <v/>
      </c>
      <c r="K66" s="14">
        <f>IF(H66&lt;&gt;"",MIN(L65,(M66-J66)+SUMPRODUCT(($B$22:$B$31&lt;&gt;"")*($B$22:$B$31&lt;=I66)*(($C$22:$C$31="")+($C$22:$C$31&lt;&gt;"")*($C$22:$C$31&gt;=I66))*($E$22:$E$31="Monthly")*$D$22:$D$31)+SUMPRODUCT(($B$22:$B$31&lt;&gt;"")*($B$22:$B$31&lt;=I66)*(($C$22:$C$31="")+($C$22:$C$31&lt;&gt;"")*($C$22:$C$31&gt;=I66))*($E$22:$E$31="Annual")*(MONTH($B$22:$B$31)=MONTH(I66))*$D$22:$D$31)+SUMPRODUCT(($B$35:$B$49&lt;&gt;"")*(YEAR($B$35:$B$49)=YEAR(I66))*(MONTH($B$35:$B$49)=MONTH(I66))*$C$35:$C$49)),"")</f>
        <v/>
      </c>
      <c r="L66" s="14">
        <f>IF(H66&lt;&gt;"",ROUND(L65-K66,2),"")</f>
        <v/>
      </c>
      <c r="M66" s="10">
        <f>IF(H66&lt;&gt;"",MIN(MonthlyPmt,L65+J66),"")</f>
        <v/>
      </c>
      <c r="N66" s="10">
        <f>IF(H66&lt;&gt;"",N65+K66,"")</f>
        <v/>
      </c>
      <c r="O66" s="10">
        <f>IF(H66&lt;&gt;"",O65+J66,"")</f>
        <v/>
      </c>
    </row>
    <row r="67">
      <c r="H67" s="7">
        <f>IF(AND(L66&gt;0.005,H66&lt;&gt;""),65,"")</f>
        <v/>
      </c>
      <c r="I67" s="8">
        <f>IF(H67&lt;&gt;"",EDATE(StartDate,64),"")</f>
        <v/>
      </c>
      <c r="J67" s="9">
        <f>IF(H67&lt;&gt;"",ROUND(L66*AnnualRate/12,2),"")</f>
        <v/>
      </c>
      <c r="K67" s="9">
        <f>IF(H67&lt;&gt;"",MIN(L66,(M67-J67)+SUMPRODUCT(($B$22:$B$31&lt;&gt;"")*($B$22:$B$31&lt;=I67)*(($C$22:$C$31="")+($C$22:$C$31&lt;&gt;"")*($C$22:$C$31&gt;=I67))*($E$22:$E$31="Monthly")*$D$22:$D$31)+SUMPRODUCT(($B$22:$B$31&lt;&gt;"")*($B$22:$B$31&lt;=I67)*(($C$22:$C$31="")+($C$22:$C$31&lt;&gt;"")*($C$22:$C$31&gt;=I67))*($E$22:$E$31="Annual")*(MONTH($B$22:$B$31)=MONTH(I67))*$D$22:$D$31)+SUMPRODUCT(($B$35:$B$49&lt;&gt;"")*(YEAR($B$35:$B$49)=YEAR(I67))*(MONTH($B$35:$B$49)=MONTH(I67))*$C$35:$C$49)),"")</f>
        <v/>
      </c>
      <c r="L67" s="9">
        <f>IF(H67&lt;&gt;"",ROUND(L66-K67,2),"")</f>
        <v/>
      </c>
      <c r="M67" s="10">
        <f>IF(H67&lt;&gt;"",MIN(MonthlyPmt,L66+J67),"")</f>
        <v/>
      </c>
      <c r="N67" s="10">
        <f>IF(H67&lt;&gt;"",N66+K67,"")</f>
        <v/>
      </c>
      <c r="O67" s="10">
        <f>IF(H67&lt;&gt;"",O66+J67,"")</f>
        <v/>
      </c>
    </row>
    <row r="68">
      <c r="H68" s="12">
        <f>IF(AND(L67&gt;0.005,H67&lt;&gt;""),66,"")</f>
        <v/>
      </c>
      <c r="I68" s="13">
        <f>IF(H68&lt;&gt;"",EDATE(StartDate,65),"")</f>
        <v/>
      </c>
      <c r="J68" s="14">
        <f>IF(H68&lt;&gt;"",ROUND(L67*AnnualRate/12,2),"")</f>
        <v/>
      </c>
      <c r="K68" s="14">
        <f>IF(H68&lt;&gt;"",MIN(L67,(M68-J68)+SUMPRODUCT(($B$22:$B$31&lt;&gt;"")*($B$22:$B$31&lt;=I68)*(($C$22:$C$31="")+($C$22:$C$31&lt;&gt;"")*($C$22:$C$31&gt;=I68))*($E$22:$E$31="Monthly")*$D$22:$D$31)+SUMPRODUCT(($B$22:$B$31&lt;&gt;"")*($B$22:$B$31&lt;=I68)*(($C$22:$C$31="")+($C$22:$C$31&lt;&gt;"")*($C$22:$C$31&gt;=I68))*($E$22:$E$31="Annual")*(MONTH($B$22:$B$31)=MONTH(I68))*$D$22:$D$31)+SUMPRODUCT(($B$35:$B$49&lt;&gt;"")*(YEAR($B$35:$B$49)=YEAR(I68))*(MONTH($B$35:$B$49)=MONTH(I68))*$C$35:$C$49)),"")</f>
        <v/>
      </c>
      <c r="L68" s="14">
        <f>IF(H68&lt;&gt;"",ROUND(L67-K68,2),"")</f>
        <v/>
      </c>
      <c r="M68" s="10">
        <f>IF(H68&lt;&gt;"",MIN(MonthlyPmt,L67+J68),"")</f>
        <v/>
      </c>
      <c r="N68" s="10">
        <f>IF(H68&lt;&gt;"",N67+K68,"")</f>
        <v/>
      </c>
      <c r="O68" s="10">
        <f>IF(H68&lt;&gt;"",O67+J68,"")</f>
        <v/>
      </c>
    </row>
    <row r="69">
      <c r="H69" s="7">
        <f>IF(AND(L68&gt;0.005,H68&lt;&gt;""),67,"")</f>
        <v/>
      </c>
      <c r="I69" s="8">
        <f>IF(H69&lt;&gt;"",EDATE(StartDate,66),"")</f>
        <v/>
      </c>
      <c r="J69" s="9">
        <f>IF(H69&lt;&gt;"",ROUND(L68*AnnualRate/12,2),"")</f>
        <v/>
      </c>
      <c r="K69" s="9">
        <f>IF(H69&lt;&gt;"",MIN(L68,(M69-J69)+SUMPRODUCT(($B$22:$B$31&lt;&gt;"")*($B$22:$B$31&lt;=I69)*(($C$22:$C$31="")+($C$22:$C$31&lt;&gt;"")*($C$22:$C$31&gt;=I69))*($E$22:$E$31="Monthly")*$D$22:$D$31)+SUMPRODUCT(($B$22:$B$31&lt;&gt;"")*($B$22:$B$31&lt;=I69)*(($C$22:$C$31="")+($C$22:$C$31&lt;&gt;"")*($C$22:$C$31&gt;=I69))*($E$22:$E$31="Annual")*(MONTH($B$22:$B$31)=MONTH(I69))*$D$22:$D$31)+SUMPRODUCT(($B$35:$B$49&lt;&gt;"")*(YEAR($B$35:$B$49)=YEAR(I69))*(MONTH($B$35:$B$49)=MONTH(I69))*$C$35:$C$49)),"")</f>
        <v/>
      </c>
      <c r="L69" s="9">
        <f>IF(H69&lt;&gt;"",ROUND(L68-K69,2),"")</f>
        <v/>
      </c>
      <c r="M69" s="10">
        <f>IF(H69&lt;&gt;"",MIN(MonthlyPmt,L68+J69),"")</f>
        <v/>
      </c>
      <c r="N69" s="10">
        <f>IF(H69&lt;&gt;"",N68+K69,"")</f>
        <v/>
      </c>
      <c r="O69" s="10">
        <f>IF(H69&lt;&gt;"",O68+J69,"")</f>
        <v/>
      </c>
    </row>
    <row r="70">
      <c r="H70" s="12">
        <f>IF(AND(L69&gt;0.005,H69&lt;&gt;""),68,"")</f>
        <v/>
      </c>
      <c r="I70" s="13">
        <f>IF(H70&lt;&gt;"",EDATE(StartDate,67),"")</f>
        <v/>
      </c>
      <c r="J70" s="14">
        <f>IF(H70&lt;&gt;"",ROUND(L69*AnnualRate/12,2),"")</f>
        <v/>
      </c>
      <c r="K70" s="14">
        <f>IF(H70&lt;&gt;"",MIN(L69,(M70-J70)+SUMPRODUCT(($B$22:$B$31&lt;&gt;"")*($B$22:$B$31&lt;=I70)*(($C$22:$C$31="")+($C$22:$C$31&lt;&gt;"")*($C$22:$C$31&gt;=I70))*($E$22:$E$31="Monthly")*$D$22:$D$31)+SUMPRODUCT(($B$22:$B$31&lt;&gt;"")*($B$22:$B$31&lt;=I70)*(($C$22:$C$31="")+($C$22:$C$31&lt;&gt;"")*($C$22:$C$31&gt;=I70))*($E$22:$E$31="Annual")*(MONTH($B$22:$B$31)=MONTH(I70))*$D$22:$D$31)+SUMPRODUCT(($B$35:$B$49&lt;&gt;"")*(YEAR($B$35:$B$49)=YEAR(I70))*(MONTH($B$35:$B$49)=MONTH(I70))*$C$35:$C$49)),"")</f>
        <v/>
      </c>
      <c r="L70" s="14">
        <f>IF(H70&lt;&gt;"",ROUND(L69-K70,2),"")</f>
        <v/>
      </c>
      <c r="M70" s="10">
        <f>IF(H70&lt;&gt;"",MIN(MonthlyPmt,L69+J70),"")</f>
        <v/>
      </c>
      <c r="N70" s="10">
        <f>IF(H70&lt;&gt;"",N69+K70,"")</f>
        <v/>
      </c>
      <c r="O70" s="10">
        <f>IF(H70&lt;&gt;"",O69+J70,"")</f>
        <v/>
      </c>
    </row>
    <row r="71">
      <c r="H71" s="7">
        <f>IF(AND(L70&gt;0.005,H70&lt;&gt;""),69,"")</f>
        <v/>
      </c>
      <c r="I71" s="8">
        <f>IF(H71&lt;&gt;"",EDATE(StartDate,68),"")</f>
        <v/>
      </c>
      <c r="J71" s="9">
        <f>IF(H71&lt;&gt;"",ROUND(L70*AnnualRate/12,2),"")</f>
        <v/>
      </c>
      <c r="K71" s="9">
        <f>IF(H71&lt;&gt;"",MIN(L70,(M71-J71)+SUMPRODUCT(($B$22:$B$31&lt;&gt;"")*($B$22:$B$31&lt;=I71)*(($C$22:$C$31="")+($C$22:$C$31&lt;&gt;"")*($C$22:$C$31&gt;=I71))*($E$22:$E$31="Monthly")*$D$22:$D$31)+SUMPRODUCT(($B$22:$B$31&lt;&gt;"")*($B$22:$B$31&lt;=I71)*(($C$22:$C$31="")+($C$22:$C$31&lt;&gt;"")*($C$22:$C$31&gt;=I71))*($E$22:$E$31="Annual")*(MONTH($B$22:$B$31)=MONTH(I71))*$D$22:$D$31)+SUMPRODUCT(($B$35:$B$49&lt;&gt;"")*(YEAR($B$35:$B$49)=YEAR(I71))*(MONTH($B$35:$B$49)=MONTH(I71))*$C$35:$C$49)),"")</f>
        <v/>
      </c>
      <c r="L71" s="9">
        <f>IF(H71&lt;&gt;"",ROUND(L70-K71,2),"")</f>
        <v/>
      </c>
      <c r="M71" s="10">
        <f>IF(H71&lt;&gt;"",MIN(MonthlyPmt,L70+J71),"")</f>
        <v/>
      </c>
      <c r="N71" s="10">
        <f>IF(H71&lt;&gt;"",N70+K71,"")</f>
        <v/>
      </c>
      <c r="O71" s="10">
        <f>IF(H71&lt;&gt;"",O70+J71,"")</f>
        <v/>
      </c>
    </row>
    <row r="72">
      <c r="H72" s="12">
        <f>IF(AND(L71&gt;0.005,H71&lt;&gt;""),70,"")</f>
        <v/>
      </c>
      <c r="I72" s="13">
        <f>IF(H72&lt;&gt;"",EDATE(StartDate,69),"")</f>
        <v/>
      </c>
      <c r="J72" s="14">
        <f>IF(H72&lt;&gt;"",ROUND(L71*AnnualRate/12,2),"")</f>
        <v/>
      </c>
      <c r="K72" s="14">
        <f>IF(H72&lt;&gt;"",MIN(L71,(M72-J72)+SUMPRODUCT(($B$22:$B$31&lt;&gt;"")*($B$22:$B$31&lt;=I72)*(($C$22:$C$31="")+($C$22:$C$31&lt;&gt;"")*($C$22:$C$31&gt;=I72))*($E$22:$E$31="Monthly")*$D$22:$D$31)+SUMPRODUCT(($B$22:$B$31&lt;&gt;"")*($B$22:$B$31&lt;=I72)*(($C$22:$C$31="")+($C$22:$C$31&lt;&gt;"")*($C$22:$C$31&gt;=I72))*($E$22:$E$31="Annual")*(MONTH($B$22:$B$31)=MONTH(I72))*$D$22:$D$31)+SUMPRODUCT(($B$35:$B$49&lt;&gt;"")*(YEAR($B$35:$B$49)=YEAR(I72))*(MONTH($B$35:$B$49)=MONTH(I72))*$C$35:$C$49)),"")</f>
        <v/>
      </c>
      <c r="L72" s="14">
        <f>IF(H72&lt;&gt;"",ROUND(L71-K72,2),"")</f>
        <v/>
      </c>
      <c r="M72" s="10">
        <f>IF(H72&lt;&gt;"",MIN(MonthlyPmt,L71+J72),"")</f>
        <v/>
      </c>
      <c r="N72" s="10">
        <f>IF(H72&lt;&gt;"",N71+K72,"")</f>
        <v/>
      </c>
      <c r="O72" s="10">
        <f>IF(H72&lt;&gt;"",O71+J72,"")</f>
        <v/>
      </c>
    </row>
    <row r="73">
      <c r="H73" s="7">
        <f>IF(AND(L72&gt;0.005,H72&lt;&gt;""),71,"")</f>
        <v/>
      </c>
      <c r="I73" s="8">
        <f>IF(H73&lt;&gt;"",EDATE(StartDate,70),"")</f>
        <v/>
      </c>
      <c r="J73" s="9">
        <f>IF(H73&lt;&gt;"",ROUND(L72*AnnualRate/12,2),"")</f>
        <v/>
      </c>
      <c r="K73" s="9">
        <f>IF(H73&lt;&gt;"",MIN(L72,(M73-J73)+SUMPRODUCT(($B$22:$B$31&lt;&gt;"")*($B$22:$B$31&lt;=I73)*(($C$22:$C$31="")+($C$22:$C$31&lt;&gt;"")*($C$22:$C$31&gt;=I73))*($E$22:$E$31="Monthly")*$D$22:$D$31)+SUMPRODUCT(($B$22:$B$31&lt;&gt;"")*($B$22:$B$31&lt;=I73)*(($C$22:$C$31="")+($C$22:$C$31&lt;&gt;"")*($C$22:$C$31&gt;=I73))*($E$22:$E$31="Annual")*(MONTH($B$22:$B$31)=MONTH(I73))*$D$22:$D$31)+SUMPRODUCT(($B$35:$B$49&lt;&gt;"")*(YEAR($B$35:$B$49)=YEAR(I73))*(MONTH($B$35:$B$49)=MONTH(I73))*$C$35:$C$49)),"")</f>
        <v/>
      </c>
      <c r="L73" s="9">
        <f>IF(H73&lt;&gt;"",ROUND(L72-K73,2),"")</f>
        <v/>
      </c>
      <c r="M73" s="10">
        <f>IF(H73&lt;&gt;"",MIN(MonthlyPmt,L72+J73),"")</f>
        <v/>
      </c>
      <c r="N73" s="10">
        <f>IF(H73&lt;&gt;"",N72+K73,"")</f>
        <v/>
      </c>
      <c r="O73" s="10">
        <f>IF(H73&lt;&gt;"",O72+J73,"")</f>
        <v/>
      </c>
    </row>
    <row r="74">
      <c r="H74" s="12">
        <f>IF(AND(L73&gt;0.005,H73&lt;&gt;""),72,"")</f>
        <v/>
      </c>
      <c r="I74" s="13">
        <f>IF(H74&lt;&gt;"",EDATE(StartDate,71),"")</f>
        <v/>
      </c>
      <c r="J74" s="14">
        <f>IF(H74&lt;&gt;"",ROUND(L73*AnnualRate/12,2),"")</f>
        <v/>
      </c>
      <c r="K74" s="14">
        <f>IF(H74&lt;&gt;"",MIN(L73,(M74-J74)+SUMPRODUCT(($B$22:$B$31&lt;&gt;"")*($B$22:$B$31&lt;=I74)*(($C$22:$C$31="")+($C$22:$C$31&lt;&gt;"")*($C$22:$C$31&gt;=I74))*($E$22:$E$31="Monthly")*$D$22:$D$31)+SUMPRODUCT(($B$22:$B$31&lt;&gt;"")*($B$22:$B$31&lt;=I74)*(($C$22:$C$31="")+($C$22:$C$31&lt;&gt;"")*($C$22:$C$31&gt;=I74))*($E$22:$E$31="Annual")*(MONTH($B$22:$B$31)=MONTH(I74))*$D$22:$D$31)+SUMPRODUCT(($B$35:$B$49&lt;&gt;"")*(YEAR($B$35:$B$49)=YEAR(I74))*(MONTH($B$35:$B$49)=MONTH(I74))*$C$35:$C$49)),"")</f>
        <v/>
      </c>
      <c r="L74" s="14">
        <f>IF(H74&lt;&gt;"",ROUND(L73-K74,2),"")</f>
        <v/>
      </c>
      <c r="M74" s="10">
        <f>IF(H74&lt;&gt;"",MIN(MonthlyPmt,L73+J74),"")</f>
        <v/>
      </c>
      <c r="N74" s="10">
        <f>IF(H74&lt;&gt;"",N73+K74,"")</f>
        <v/>
      </c>
      <c r="O74" s="10">
        <f>IF(H74&lt;&gt;"",O73+J74,"")</f>
        <v/>
      </c>
    </row>
    <row r="75">
      <c r="H75" s="7">
        <f>IF(AND(L74&gt;0.005,H74&lt;&gt;""),73,"")</f>
        <v/>
      </c>
      <c r="I75" s="8">
        <f>IF(H75&lt;&gt;"",EDATE(StartDate,72),"")</f>
        <v/>
      </c>
      <c r="J75" s="9">
        <f>IF(H75&lt;&gt;"",ROUND(L74*AnnualRate/12,2),"")</f>
        <v/>
      </c>
      <c r="K75" s="9">
        <f>IF(H75&lt;&gt;"",MIN(L74,(M75-J75)+SUMPRODUCT(($B$22:$B$31&lt;&gt;"")*($B$22:$B$31&lt;=I75)*(($C$22:$C$31="")+($C$22:$C$31&lt;&gt;"")*($C$22:$C$31&gt;=I75))*($E$22:$E$31="Monthly")*$D$22:$D$31)+SUMPRODUCT(($B$22:$B$31&lt;&gt;"")*($B$22:$B$31&lt;=I75)*(($C$22:$C$31="")+($C$22:$C$31&lt;&gt;"")*($C$22:$C$31&gt;=I75))*($E$22:$E$31="Annual")*(MONTH($B$22:$B$31)=MONTH(I75))*$D$22:$D$31)+SUMPRODUCT(($B$35:$B$49&lt;&gt;"")*(YEAR($B$35:$B$49)=YEAR(I75))*(MONTH($B$35:$B$49)=MONTH(I75))*$C$35:$C$49)),"")</f>
        <v/>
      </c>
      <c r="L75" s="9">
        <f>IF(H75&lt;&gt;"",ROUND(L74-K75,2),"")</f>
        <v/>
      </c>
      <c r="M75" s="10">
        <f>IF(H75&lt;&gt;"",MIN(MonthlyPmt,L74+J75),"")</f>
        <v/>
      </c>
      <c r="N75" s="10">
        <f>IF(H75&lt;&gt;"",N74+K75,"")</f>
        <v/>
      </c>
      <c r="O75" s="10">
        <f>IF(H75&lt;&gt;"",O74+J75,"")</f>
        <v/>
      </c>
    </row>
    <row r="76">
      <c r="H76" s="12">
        <f>IF(AND(L75&gt;0.005,H75&lt;&gt;""),74,"")</f>
        <v/>
      </c>
      <c r="I76" s="13">
        <f>IF(H76&lt;&gt;"",EDATE(StartDate,73),"")</f>
        <v/>
      </c>
      <c r="J76" s="14">
        <f>IF(H76&lt;&gt;"",ROUND(L75*AnnualRate/12,2),"")</f>
        <v/>
      </c>
      <c r="K76" s="14">
        <f>IF(H76&lt;&gt;"",MIN(L75,(M76-J76)+SUMPRODUCT(($B$22:$B$31&lt;&gt;"")*($B$22:$B$31&lt;=I76)*(($C$22:$C$31="")+($C$22:$C$31&lt;&gt;"")*($C$22:$C$31&gt;=I76))*($E$22:$E$31="Monthly")*$D$22:$D$31)+SUMPRODUCT(($B$22:$B$31&lt;&gt;"")*($B$22:$B$31&lt;=I76)*(($C$22:$C$31="")+($C$22:$C$31&lt;&gt;"")*($C$22:$C$31&gt;=I76))*($E$22:$E$31="Annual")*(MONTH($B$22:$B$31)=MONTH(I76))*$D$22:$D$31)+SUMPRODUCT(($B$35:$B$49&lt;&gt;"")*(YEAR($B$35:$B$49)=YEAR(I76))*(MONTH($B$35:$B$49)=MONTH(I76))*$C$35:$C$49)),"")</f>
        <v/>
      </c>
      <c r="L76" s="14">
        <f>IF(H76&lt;&gt;"",ROUND(L75-K76,2),"")</f>
        <v/>
      </c>
      <c r="M76" s="10">
        <f>IF(H76&lt;&gt;"",MIN(MonthlyPmt,L75+J76),"")</f>
        <v/>
      </c>
      <c r="N76" s="10">
        <f>IF(H76&lt;&gt;"",N75+K76,"")</f>
        <v/>
      </c>
      <c r="O76" s="10">
        <f>IF(H76&lt;&gt;"",O75+J76,"")</f>
        <v/>
      </c>
    </row>
    <row r="77">
      <c r="H77" s="7">
        <f>IF(AND(L76&gt;0.005,H76&lt;&gt;""),75,"")</f>
        <v/>
      </c>
      <c r="I77" s="8">
        <f>IF(H77&lt;&gt;"",EDATE(StartDate,74),"")</f>
        <v/>
      </c>
      <c r="J77" s="9">
        <f>IF(H77&lt;&gt;"",ROUND(L76*AnnualRate/12,2),"")</f>
        <v/>
      </c>
      <c r="K77" s="9">
        <f>IF(H77&lt;&gt;"",MIN(L76,(M77-J77)+SUMPRODUCT(($B$22:$B$31&lt;&gt;"")*($B$22:$B$31&lt;=I77)*(($C$22:$C$31="")+($C$22:$C$31&lt;&gt;"")*($C$22:$C$31&gt;=I77))*($E$22:$E$31="Monthly")*$D$22:$D$31)+SUMPRODUCT(($B$22:$B$31&lt;&gt;"")*($B$22:$B$31&lt;=I77)*(($C$22:$C$31="")+($C$22:$C$31&lt;&gt;"")*($C$22:$C$31&gt;=I77))*($E$22:$E$31="Annual")*(MONTH($B$22:$B$31)=MONTH(I77))*$D$22:$D$31)+SUMPRODUCT(($B$35:$B$49&lt;&gt;"")*(YEAR($B$35:$B$49)=YEAR(I77))*(MONTH($B$35:$B$49)=MONTH(I77))*$C$35:$C$49)),"")</f>
        <v/>
      </c>
      <c r="L77" s="9">
        <f>IF(H77&lt;&gt;"",ROUND(L76-K77,2),"")</f>
        <v/>
      </c>
      <c r="M77" s="10">
        <f>IF(H77&lt;&gt;"",MIN(MonthlyPmt,L76+J77),"")</f>
        <v/>
      </c>
      <c r="N77" s="10">
        <f>IF(H77&lt;&gt;"",N76+K77,"")</f>
        <v/>
      </c>
      <c r="O77" s="10">
        <f>IF(H77&lt;&gt;"",O76+J77,"")</f>
        <v/>
      </c>
    </row>
    <row r="78">
      <c r="H78" s="12">
        <f>IF(AND(L77&gt;0.005,H77&lt;&gt;""),76,"")</f>
        <v/>
      </c>
      <c r="I78" s="13">
        <f>IF(H78&lt;&gt;"",EDATE(StartDate,75),"")</f>
        <v/>
      </c>
      <c r="J78" s="14">
        <f>IF(H78&lt;&gt;"",ROUND(L77*AnnualRate/12,2),"")</f>
        <v/>
      </c>
      <c r="K78" s="14">
        <f>IF(H78&lt;&gt;"",MIN(L77,(M78-J78)+SUMPRODUCT(($B$22:$B$31&lt;&gt;"")*($B$22:$B$31&lt;=I78)*(($C$22:$C$31="")+($C$22:$C$31&lt;&gt;"")*($C$22:$C$31&gt;=I78))*($E$22:$E$31="Monthly")*$D$22:$D$31)+SUMPRODUCT(($B$22:$B$31&lt;&gt;"")*($B$22:$B$31&lt;=I78)*(($C$22:$C$31="")+($C$22:$C$31&lt;&gt;"")*($C$22:$C$31&gt;=I78))*($E$22:$E$31="Annual")*(MONTH($B$22:$B$31)=MONTH(I78))*$D$22:$D$31)+SUMPRODUCT(($B$35:$B$49&lt;&gt;"")*(YEAR($B$35:$B$49)=YEAR(I78))*(MONTH($B$35:$B$49)=MONTH(I78))*$C$35:$C$49)),"")</f>
        <v/>
      </c>
      <c r="L78" s="14">
        <f>IF(H78&lt;&gt;"",ROUND(L77-K78,2),"")</f>
        <v/>
      </c>
      <c r="M78" s="10">
        <f>IF(H78&lt;&gt;"",MIN(MonthlyPmt,L77+J78),"")</f>
        <v/>
      </c>
      <c r="N78" s="10">
        <f>IF(H78&lt;&gt;"",N77+K78,"")</f>
        <v/>
      </c>
      <c r="O78" s="10">
        <f>IF(H78&lt;&gt;"",O77+J78,"")</f>
        <v/>
      </c>
    </row>
    <row r="79">
      <c r="H79" s="7">
        <f>IF(AND(L78&gt;0.005,H78&lt;&gt;""),77,"")</f>
        <v/>
      </c>
      <c r="I79" s="8">
        <f>IF(H79&lt;&gt;"",EDATE(StartDate,76),"")</f>
        <v/>
      </c>
      <c r="J79" s="9">
        <f>IF(H79&lt;&gt;"",ROUND(L78*AnnualRate/12,2),"")</f>
        <v/>
      </c>
      <c r="K79" s="9">
        <f>IF(H79&lt;&gt;"",MIN(L78,(M79-J79)+SUMPRODUCT(($B$22:$B$31&lt;&gt;"")*($B$22:$B$31&lt;=I79)*(($C$22:$C$31="")+($C$22:$C$31&lt;&gt;"")*($C$22:$C$31&gt;=I79))*($E$22:$E$31="Monthly")*$D$22:$D$31)+SUMPRODUCT(($B$22:$B$31&lt;&gt;"")*($B$22:$B$31&lt;=I79)*(($C$22:$C$31="")+($C$22:$C$31&lt;&gt;"")*($C$22:$C$31&gt;=I79))*($E$22:$E$31="Annual")*(MONTH($B$22:$B$31)=MONTH(I79))*$D$22:$D$31)+SUMPRODUCT(($B$35:$B$49&lt;&gt;"")*(YEAR($B$35:$B$49)=YEAR(I79))*(MONTH($B$35:$B$49)=MONTH(I79))*$C$35:$C$49)),"")</f>
        <v/>
      </c>
      <c r="L79" s="9">
        <f>IF(H79&lt;&gt;"",ROUND(L78-K79,2),"")</f>
        <v/>
      </c>
      <c r="M79" s="10">
        <f>IF(H79&lt;&gt;"",MIN(MonthlyPmt,L78+J79),"")</f>
        <v/>
      </c>
      <c r="N79" s="10">
        <f>IF(H79&lt;&gt;"",N78+K79,"")</f>
        <v/>
      </c>
      <c r="O79" s="10">
        <f>IF(H79&lt;&gt;"",O78+J79,"")</f>
        <v/>
      </c>
    </row>
    <row r="80">
      <c r="H80" s="12">
        <f>IF(AND(L79&gt;0.005,H79&lt;&gt;""),78,"")</f>
        <v/>
      </c>
      <c r="I80" s="13">
        <f>IF(H80&lt;&gt;"",EDATE(StartDate,77),"")</f>
        <v/>
      </c>
      <c r="J80" s="14">
        <f>IF(H80&lt;&gt;"",ROUND(L79*AnnualRate/12,2),"")</f>
        <v/>
      </c>
      <c r="K80" s="14">
        <f>IF(H80&lt;&gt;"",MIN(L79,(M80-J80)+SUMPRODUCT(($B$22:$B$31&lt;&gt;"")*($B$22:$B$31&lt;=I80)*(($C$22:$C$31="")+($C$22:$C$31&lt;&gt;"")*($C$22:$C$31&gt;=I80))*($E$22:$E$31="Monthly")*$D$22:$D$31)+SUMPRODUCT(($B$22:$B$31&lt;&gt;"")*($B$22:$B$31&lt;=I80)*(($C$22:$C$31="")+($C$22:$C$31&lt;&gt;"")*($C$22:$C$31&gt;=I80))*($E$22:$E$31="Annual")*(MONTH($B$22:$B$31)=MONTH(I80))*$D$22:$D$31)+SUMPRODUCT(($B$35:$B$49&lt;&gt;"")*(YEAR($B$35:$B$49)=YEAR(I80))*(MONTH($B$35:$B$49)=MONTH(I80))*$C$35:$C$49)),"")</f>
        <v/>
      </c>
      <c r="L80" s="14">
        <f>IF(H80&lt;&gt;"",ROUND(L79-K80,2),"")</f>
        <v/>
      </c>
      <c r="M80" s="10">
        <f>IF(H80&lt;&gt;"",MIN(MonthlyPmt,L79+J80),"")</f>
        <v/>
      </c>
      <c r="N80" s="10">
        <f>IF(H80&lt;&gt;"",N79+K80,"")</f>
        <v/>
      </c>
      <c r="O80" s="10">
        <f>IF(H80&lt;&gt;"",O79+J80,"")</f>
        <v/>
      </c>
    </row>
    <row r="81">
      <c r="H81" s="7">
        <f>IF(AND(L80&gt;0.005,H80&lt;&gt;""),79,"")</f>
        <v/>
      </c>
      <c r="I81" s="8">
        <f>IF(H81&lt;&gt;"",EDATE(StartDate,78),"")</f>
        <v/>
      </c>
      <c r="J81" s="9">
        <f>IF(H81&lt;&gt;"",ROUND(L80*AnnualRate/12,2),"")</f>
        <v/>
      </c>
      <c r="K81" s="9">
        <f>IF(H81&lt;&gt;"",MIN(L80,(M81-J81)+SUMPRODUCT(($B$22:$B$31&lt;&gt;"")*($B$22:$B$31&lt;=I81)*(($C$22:$C$31="")+($C$22:$C$31&lt;&gt;"")*($C$22:$C$31&gt;=I81))*($E$22:$E$31="Monthly")*$D$22:$D$31)+SUMPRODUCT(($B$22:$B$31&lt;&gt;"")*($B$22:$B$31&lt;=I81)*(($C$22:$C$31="")+($C$22:$C$31&lt;&gt;"")*($C$22:$C$31&gt;=I81))*($E$22:$E$31="Annual")*(MONTH($B$22:$B$31)=MONTH(I81))*$D$22:$D$31)+SUMPRODUCT(($B$35:$B$49&lt;&gt;"")*(YEAR($B$35:$B$49)=YEAR(I81))*(MONTH($B$35:$B$49)=MONTH(I81))*$C$35:$C$49)),"")</f>
        <v/>
      </c>
      <c r="L81" s="9">
        <f>IF(H81&lt;&gt;"",ROUND(L80-K81,2),"")</f>
        <v/>
      </c>
      <c r="M81" s="10">
        <f>IF(H81&lt;&gt;"",MIN(MonthlyPmt,L80+J81),"")</f>
        <v/>
      </c>
      <c r="N81" s="10">
        <f>IF(H81&lt;&gt;"",N80+K81,"")</f>
        <v/>
      </c>
      <c r="O81" s="10">
        <f>IF(H81&lt;&gt;"",O80+J81,"")</f>
        <v/>
      </c>
    </row>
    <row r="82">
      <c r="H82" s="12">
        <f>IF(AND(L81&gt;0.005,H81&lt;&gt;""),80,"")</f>
        <v/>
      </c>
      <c r="I82" s="13">
        <f>IF(H82&lt;&gt;"",EDATE(StartDate,79),"")</f>
        <v/>
      </c>
      <c r="J82" s="14">
        <f>IF(H82&lt;&gt;"",ROUND(L81*AnnualRate/12,2),"")</f>
        <v/>
      </c>
      <c r="K82" s="14">
        <f>IF(H82&lt;&gt;"",MIN(L81,(M82-J82)+SUMPRODUCT(($B$22:$B$31&lt;&gt;"")*($B$22:$B$31&lt;=I82)*(($C$22:$C$31="")+($C$22:$C$31&lt;&gt;"")*($C$22:$C$31&gt;=I82))*($E$22:$E$31="Monthly")*$D$22:$D$31)+SUMPRODUCT(($B$22:$B$31&lt;&gt;"")*($B$22:$B$31&lt;=I82)*(($C$22:$C$31="")+($C$22:$C$31&lt;&gt;"")*($C$22:$C$31&gt;=I82))*($E$22:$E$31="Annual")*(MONTH($B$22:$B$31)=MONTH(I82))*$D$22:$D$31)+SUMPRODUCT(($B$35:$B$49&lt;&gt;"")*(YEAR($B$35:$B$49)=YEAR(I82))*(MONTH($B$35:$B$49)=MONTH(I82))*$C$35:$C$49)),"")</f>
        <v/>
      </c>
      <c r="L82" s="14">
        <f>IF(H82&lt;&gt;"",ROUND(L81-K82,2),"")</f>
        <v/>
      </c>
      <c r="M82" s="10">
        <f>IF(H82&lt;&gt;"",MIN(MonthlyPmt,L81+J82),"")</f>
        <v/>
      </c>
      <c r="N82" s="10">
        <f>IF(H82&lt;&gt;"",N81+K82,"")</f>
        <v/>
      </c>
      <c r="O82" s="10">
        <f>IF(H82&lt;&gt;"",O81+J82,"")</f>
        <v/>
      </c>
    </row>
    <row r="83">
      <c r="H83" s="7">
        <f>IF(AND(L82&gt;0.005,H82&lt;&gt;""),81,"")</f>
        <v/>
      </c>
      <c r="I83" s="8">
        <f>IF(H83&lt;&gt;"",EDATE(StartDate,80),"")</f>
        <v/>
      </c>
      <c r="J83" s="9">
        <f>IF(H83&lt;&gt;"",ROUND(L82*AnnualRate/12,2),"")</f>
        <v/>
      </c>
      <c r="K83" s="9">
        <f>IF(H83&lt;&gt;"",MIN(L82,(M83-J83)+SUMPRODUCT(($B$22:$B$31&lt;&gt;"")*($B$22:$B$31&lt;=I83)*(($C$22:$C$31="")+($C$22:$C$31&lt;&gt;"")*($C$22:$C$31&gt;=I83))*($E$22:$E$31="Monthly")*$D$22:$D$31)+SUMPRODUCT(($B$22:$B$31&lt;&gt;"")*($B$22:$B$31&lt;=I83)*(($C$22:$C$31="")+($C$22:$C$31&lt;&gt;"")*($C$22:$C$31&gt;=I83))*($E$22:$E$31="Annual")*(MONTH($B$22:$B$31)=MONTH(I83))*$D$22:$D$31)+SUMPRODUCT(($B$35:$B$49&lt;&gt;"")*(YEAR($B$35:$B$49)=YEAR(I83))*(MONTH($B$35:$B$49)=MONTH(I83))*$C$35:$C$49)),"")</f>
        <v/>
      </c>
      <c r="L83" s="9">
        <f>IF(H83&lt;&gt;"",ROUND(L82-K83,2),"")</f>
        <v/>
      </c>
      <c r="M83" s="10">
        <f>IF(H83&lt;&gt;"",MIN(MonthlyPmt,L82+J83),"")</f>
        <v/>
      </c>
      <c r="N83" s="10">
        <f>IF(H83&lt;&gt;"",N82+K83,"")</f>
        <v/>
      </c>
      <c r="O83" s="10">
        <f>IF(H83&lt;&gt;"",O82+J83,"")</f>
        <v/>
      </c>
    </row>
    <row r="84">
      <c r="H84" s="12">
        <f>IF(AND(L83&gt;0.005,H83&lt;&gt;""),82,"")</f>
        <v/>
      </c>
      <c r="I84" s="13">
        <f>IF(H84&lt;&gt;"",EDATE(StartDate,81),"")</f>
        <v/>
      </c>
      <c r="J84" s="14">
        <f>IF(H84&lt;&gt;"",ROUND(L83*AnnualRate/12,2),"")</f>
        <v/>
      </c>
      <c r="K84" s="14">
        <f>IF(H84&lt;&gt;"",MIN(L83,(M84-J84)+SUMPRODUCT(($B$22:$B$31&lt;&gt;"")*($B$22:$B$31&lt;=I84)*(($C$22:$C$31="")+($C$22:$C$31&lt;&gt;"")*($C$22:$C$31&gt;=I84))*($E$22:$E$31="Monthly")*$D$22:$D$31)+SUMPRODUCT(($B$22:$B$31&lt;&gt;"")*($B$22:$B$31&lt;=I84)*(($C$22:$C$31="")+($C$22:$C$31&lt;&gt;"")*($C$22:$C$31&gt;=I84))*($E$22:$E$31="Annual")*(MONTH($B$22:$B$31)=MONTH(I84))*$D$22:$D$31)+SUMPRODUCT(($B$35:$B$49&lt;&gt;"")*(YEAR($B$35:$B$49)=YEAR(I84))*(MONTH($B$35:$B$49)=MONTH(I84))*$C$35:$C$49)),"")</f>
        <v/>
      </c>
      <c r="L84" s="14">
        <f>IF(H84&lt;&gt;"",ROUND(L83-K84,2),"")</f>
        <v/>
      </c>
      <c r="M84" s="10">
        <f>IF(H84&lt;&gt;"",MIN(MonthlyPmt,L83+J84),"")</f>
        <v/>
      </c>
      <c r="N84" s="10">
        <f>IF(H84&lt;&gt;"",N83+K84,"")</f>
        <v/>
      </c>
      <c r="O84" s="10">
        <f>IF(H84&lt;&gt;"",O83+J84,"")</f>
        <v/>
      </c>
    </row>
    <row r="85">
      <c r="H85" s="7">
        <f>IF(AND(L84&gt;0.005,H84&lt;&gt;""),83,"")</f>
        <v/>
      </c>
      <c r="I85" s="8">
        <f>IF(H85&lt;&gt;"",EDATE(StartDate,82),"")</f>
        <v/>
      </c>
      <c r="J85" s="9">
        <f>IF(H85&lt;&gt;"",ROUND(L84*AnnualRate/12,2),"")</f>
        <v/>
      </c>
      <c r="K85" s="9">
        <f>IF(H85&lt;&gt;"",MIN(L84,(M85-J85)+SUMPRODUCT(($B$22:$B$31&lt;&gt;"")*($B$22:$B$31&lt;=I85)*(($C$22:$C$31="")+($C$22:$C$31&lt;&gt;"")*($C$22:$C$31&gt;=I85))*($E$22:$E$31="Monthly")*$D$22:$D$31)+SUMPRODUCT(($B$22:$B$31&lt;&gt;"")*($B$22:$B$31&lt;=I85)*(($C$22:$C$31="")+($C$22:$C$31&lt;&gt;"")*($C$22:$C$31&gt;=I85))*($E$22:$E$31="Annual")*(MONTH($B$22:$B$31)=MONTH(I85))*$D$22:$D$31)+SUMPRODUCT(($B$35:$B$49&lt;&gt;"")*(YEAR($B$35:$B$49)=YEAR(I85))*(MONTH($B$35:$B$49)=MONTH(I85))*$C$35:$C$49)),"")</f>
        <v/>
      </c>
      <c r="L85" s="9">
        <f>IF(H85&lt;&gt;"",ROUND(L84-K85,2),"")</f>
        <v/>
      </c>
      <c r="M85" s="10">
        <f>IF(H85&lt;&gt;"",MIN(MonthlyPmt,L84+J85),"")</f>
        <v/>
      </c>
      <c r="N85" s="10">
        <f>IF(H85&lt;&gt;"",N84+K85,"")</f>
        <v/>
      </c>
      <c r="O85" s="10">
        <f>IF(H85&lt;&gt;"",O84+J85,"")</f>
        <v/>
      </c>
    </row>
    <row r="86">
      <c r="H86" s="12">
        <f>IF(AND(L85&gt;0.005,H85&lt;&gt;""),84,"")</f>
        <v/>
      </c>
      <c r="I86" s="13">
        <f>IF(H86&lt;&gt;"",EDATE(StartDate,83),"")</f>
        <v/>
      </c>
      <c r="J86" s="14">
        <f>IF(H86&lt;&gt;"",ROUND(L85*AnnualRate/12,2),"")</f>
        <v/>
      </c>
      <c r="K86" s="14">
        <f>IF(H86&lt;&gt;"",MIN(L85,(M86-J86)+SUMPRODUCT(($B$22:$B$31&lt;&gt;"")*($B$22:$B$31&lt;=I86)*(($C$22:$C$31="")+($C$22:$C$31&lt;&gt;"")*($C$22:$C$31&gt;=I86))*($E$22:$E$31="Monthly")*$D$22:$D$31)+SUMPRODUCT(($B$22:$B$31&lt;&gt;"")*($B$22:$B$31&lt;=I86)*(($C$22:$C$31="")+($C$22:$C$31&lt;&gt;"")*($C$22:$C$31&gt;=I86))*($E$22:$E$31="Annual")*(MONTH($B$22:$B$31)=MONTH(I86))*$D$22:$D$31)+SUMPRODUCT(($B$35:$B$49&lt;&gt;"")*(YEAR($B$35:$B$49)=YEAR(I86))*(MONTH($B$35:$B$49)=MONTH(I86))*$C$35:$C$49)),"")</f>
        <v/>
      </c>
      <c r="L86" s="14">
        <f>IF(H86&lt;&gt;"",ROUND(L85-K86,2),"")</f>
        <v/>
      </c>
      <c r="M86" s="10">
        <f>IF(H86&lt;&gt;"",MIN(MonthlyPmt,L85+J86),"")</f>
        <v/>
      </c>
      <c r="N86" s="10">
        <f>IF(H86&lt;&gt;"",N85+K86,"")</f>
        <v/>
      </c>
      <c r="O86" s="10">
        <f>IF(H86&lt;&gt;"",O85+J86,"")</f>
        <v/>
      </c>
    </row>
    <row r="87">
      <c r="H87" s="7">
        <f>IF(AND(L86&gt;0.005,H86&lt;&gt;""),85,"")</f>
        <v/>
      </c>
      <c r="I87" s="8">
        <f>IF(H87&lt;&gt;"",EDATE(StartDate,84),"")</f>
        <v/>
      </c>
      <c r="J87" s="9">
        <f>IF(H87&lt;&gt;"",ROUND(L86*AnnualRate/12,2),"")</f>
        <v/>
      </c>
      <c r="K87" s="9">
        <f>IF(H87&lt;&gt;"",MIN(L86,(M87-J87)+SUMPRODUCT(($B$22:$B$31&lt;&gt;"")*($B$22:$B$31&lt;=I87)*(($C$22:$C$31="")+($C$22:$C$31&lt;&gt;"")*($C$22:$C$31&gt;=I87))*($E$22:$E$31="Monthly")*$D$22:$D$31)+SUMPRODUCT(($B$22:$B$31&lt;&gt;"")*($B$22:$B$31&lt;=I87)*(($C$22:$C$31="")+($C$22:$C$31&lt;&gt;"")*($C$22:$C$31&gt;=I87))*($E$22:$E$31="Annual")*(MONTH($B$22:$B$31)=MONTH(I87))*$D$22:$D$31)+SUMPRODUCT(($B$35:$B$49&lt;&gt;"")*(YEAR($B$35:$B$49)=YEAR(I87))*(MONTH($B$35:$B$49)=MONTH(I87))*$C$35:$C$49)),"")</f>
        <v/>
      </c>
      <c r="L87" s="9">
        <f>IF(H87&lt;&gt;"",ROUND(L86-K87,2),"")</f>
        <v/>
      </c>
      <c r="M87" s="10">
        <f>IF(H87&lt;&gt;"",MIN(MonthlyPmt,L86+J87),"")</f>
        <v/>
      </c>
      <c r="N87" s="10">
        <f>IF(H87&lt;&gt;"",N86+K87,"")</f>
        <v/>
      </c>
      <c r="O87" s="10">
        <f>IF(H87&lt;&gt;"",O86+J87,"")</f>
        <v/>
      </c>
    </row>
    <row r="88">
      <c r="H88" s="12">
        <f>IF(AND(L87&gt;0.005,H87&lt;&gt;""),86,"")</f>
        <v/>
      </c>
      <c r="I88" s="13">
        <f>IF(H88&lt;&gt;"",EDATE(StartDate,85),"")</f>
        <v/>
      </c>
      <c r="J88" s="14">
        <f>IF(H88&lt;&gt;"",ROUND(L87*AnnualRate/12,2),"")</f>
        <v/>
      </c>
      <c r="K88" s="14">
        <f>IF(H88&lt;&gt;"",MIN(L87,(M88-J88)+SUMPRODUCT(($B$22:$B$31&lt;&gt;"")*($B$22:$B$31&lt;=I88)*(($C$22:$C$31="")+($C$22:$C$31&lt;&gt;"")*($C$22:$C$31&gt;=I88))*($E$22:$E$31="Monthly")*$D$22:$D$31)+SUMPRODUCT(($B$22:$B$31&lt;&gt;"")*($B$22:$B$31&lt;=I88)*(($C$22:$C$31="")+($C$22:$C$31&lt;&gt;"")*($C$22:$C$31&gt;=I88))*($E$22:$E$31="Annual")*(MONTH($B$22:$B$31)=MONTH(I88))*$D$22:$D$31)+SUMPRODUCT(($B$35:$B$49&lt;&gt;"")*(YEAR($B$35:$B$49)=YEAR(I88))*(MONTH($B$35:$B$49)=MONTH(I88))*$C$35:$C$49)),"")</f>
        <v/>
      </c>
      <c r="L88" s="14">
        <f>IF(H88&lt;&gt;"",ROUND(L87-K88,2),"")</f>
        <v/>
      </c>
      <c r="M88" s="10">
        <f>IF(H88&lt;&gt;"",MIN(MonthlyPmt,L87+J88),"")</f>
        <v/>
      </c>
      <c r="N88" s="10">
        <f>IF(H88&lt;&gt;"",N87+K88,"")</f>
        <v/>
      </c>
      <c r="O88" s="10">
        <f>IF(H88&lt;&gt;"",O87+J88,"")</f>
        <v/>
      </c>
    </row>
    <row r="89">
      <c r="H89" s="7">
        <f>IF(AND(L88&gt;0.005,H88&lt;&gt;""),87,"")</f>
        <v/>
      </c>
      <c r="I89" s="8">
        <f>IF(H89&lt;&gt;"",EDATE(StartDate,86),"")</f>
        <v/>
      </c>
      <c r="J89" s="9">
        <f>IF(H89&lt;&gt;"",ROUND(L88*AnnualRate/12,2),"")</f>
        <v/>
      </c>
      <c r="K89" s="9">
        <f>IF(H89&lt;&gt;"",MIN(L88,(M89-J89)+SUMPRODUCT(($B$22:$B$31&lt;&gt;"")*($B$22:$B$31&lt;=I89)*(($C$22:$C$31="")+($C$22:$C$31&lt;&gt;"")*($C$22:$C$31&gt;=I89))*($E$22:$E$31="Monthly")*$D$22:$D$31)+SUMPRODUCT(($B$22:$B$31&lt;&gt;"")*($B$22:$B$31&lt;=I89)*(($C$22:$C$31="")+($C$22:$C$31&lt;&gt;"")*($C$22:$C$31&gt;=I89))*($E$22:$E$31="Annual")*(MONTH($B$22:$B$31)=MONTH(I89))*$D$22:$D$31)+SUMPRODUCT(($B$35:$B$49&lt;&gt;"")*(YEAR($B$35:$B$49)=YEAR(I89))*(MONTH($B$35:$B$49)=MONTH(I89))*$C$35:$C$49)),"")</f>
        <v/>
      </c>
      <c r="L89" s="9">
        <f>IF(H89&lt;&gt;"",ROUND(L88-K89,2),"")</f>
        <v/>
      </c>
      <c r="M89" s="10">
        <f>IF(H89&lt;&gt;"",MIN(MonthlyPmt,L88+J89),"")</f>
        <v/>
      </c>
      <c r="N89" s="10">
        <f>IF(H89&lt;&gt;"",N88+K89,"")</f>
        <v/>
      </c>
      <c r="O89" s="10">
        <f>IF(H89&lt;&gt;"",O88+J89,"")</f>
        <v/>
      </c>
    </row>
    <row r="90">
      <c r="H90" s="12">
        <f>IF(AND(L89&gt;0.005,H89&lt;&gt;""),88,"")</f>
        <v/>
      </c>
      <c r="I90" s="13">
        <f>IF(H90&lt;&gt;"",EDATE(StartDate,87),"")</f>
        <v/>
      </c>
      <c r="J90" s="14">
        <f>IF(H90&lt;&gt;"",ROUND(L89*AnnualRate/12,2),"")</f>
        <v/>
      </c>
      <c r="K90" s="14">
        <f>IF(H90&lt;&gt;"",MIN(L89,(M90-J90)+SUMPRODUCT(($B$22:$B$31&lt;&gt;"")*($B$22:$B$31&lt;=I90)*(($C$22:$C$31="")+($C$22:$C$31&lt;&gt;"")*($C$22:$C$31&gt;=I90))*($E$22:$E$31="Monthly")*$D$22:$D$31)+SUMPRODUCT(($B$22:$B$31&lt;&gt;"")*($B$22:$B$31&lt;=I90)*(($C$22:$C$31="")+($C$22:$C$31&lt;&gt;"")*($C$22:$C$31&gt;=I90))*($E$22:$E$31="Annual")*(MONTH($B$22:$B$31)=MONTH(I90))*$D$22:$D$31)+SUMPRODUCT(($B$35:$B$49&lt;&gt;"")*(YEAR($B$35:$B$49)=YEAR(I90))*(MONTH($B$35:$B$49)=MONTH(I90))*$C$35:$C$49)),"")</f>
        <v/>
      </c>
      <c r="L90" s="14">
        <f>IF(H90&lt;&gt;"",ROUND(L89-K90,2),"")</f>
        <v/>
      </c>
      <c r="M90" s="10">
        <f>IF(H90&lt;&gt;"",MIN(MonthlyPmt,L89+J90),"")</f>
        <v/>
      </c>
      <c r="N90" s="10">
        <f>IF(H90&lt;&gt;"",N89+K90,"")</f>
        <v/>
      </c>
      <c r="O90" s="10">
        <f>IF(H90&lt;&gt;"",O89+J90,"")</f>
        <v/>
      </c>
    </row>
    <row r="91">
      <c r="H91" s="7">
        <f>IF(AND(L90&gt;0.005,H90&lt;&gt;""),89,"")</f>
        <v/>
      </c>
      <c r="I91" s="8">
        <f>IF(H91&lt;&gt;"",EDATE(StartDate,88),"")</f>
        <v/>
      </c>
      <c r="J91" s="9">
        <f>IF(H91&lt;&gt;"",ROUND(L90*AnnualRate/12,2),"")</f>
        <v/>
      </c>
      <c r="K91" s="9">
        <f>IF(H91&lt;&gt;"",MIN(L90,(M91-J91)+SUMPRODUCT(($B$22:$B$31&lt;&gt;"")*($B$22:$B$31&lt;=I91)*(($C$22:$C$31="")+($C$22:$C$31&lt;&gt;"")*($C$22:$C$31&gt;=I91))*($E$22:$E$31="Monthly")*$D$22:$D$31)+SUMPRODUCT(($B$22:$B$31&lt;&gt;"")*($B$22:$B$31&lt;=I91)*(($C$22:$C$31="")+($C$22:$C$31&lt;&gt;"")*($C$22:$C$31&gt;=I91))*($E$22:$E$31="Annual")*(MONTH($B$22:$B$31)=MONTH(I91))*$D$22:$D$31)+SUMPRODUCT(($B$35:$B$49&lt;&gt;"")*(YEAR($B$35:$B$49)=YEAR(I91))*(MONTH($B$35:$B$49)=MONTH(I91))*$C$35:$C$49)),"")</f>
        <v/>
      </c>
      <c r="L91" s="9">
        <f>IF(H91&lt;&gt;"",ROUND(L90-K91,2),"")</f>
        <v/>
      </c>
      <c r="M91" s="10">
        <f>IF(H91&lt;&gt;"",MIN(MonthlyPmt,L90+J91),"")</f>
        <v/>
      </c>
      <c r="N91" s="10">
        <f>IF(H91&lt;&gt;"",N90+K91,"")</f>
        <v/>
      </c>
      <c r="O91" s="10">
        <f>IF(H91&lt;&gt;"",O90+J91,"")</f>
        <v/>
      </c>
    </row>
    <row r="92">
      <c r="H92" s="12">
        <f>IF(AND(L91&gt;0.005,H91&lt;&gt;""),90,"")</f>
        <v/>
      </c>
      <c r="I92" s="13">
        <f>IF(H92&lt;&gt;"",EDATE(StartDate,89),"")</f>
        <v/>
      </c>
      <c r="J92" s="14">
        <f>IF(H92&lt;&gt;"",ROUND(L91*AnnualRate/12,2),"")</f>
        <v/>
      </c>
      <c r="K92" s="14">
        <f>IF(H92&lt;&gt;"",MIN(L91,(M92-J92)+SUMPRODUCT(($B$22:$B$31&lt;&gt;"")*($B$22:$B$31&lt;=I92)*(($C$22:$C$31="")+($C$22:$C$31&lt;&gt;"")*($C$22:$C$31&gt;=I92))*($E$22:$E$31="Monthly")*$D$22:$D$31)+SUMPRODUCT(($B$22:$B$31&lt;&gt;"")*($B$22:$B$31&lt;=I92)*(($C$22:$C$31="")+($C$22:$C$31&lt;&gt;"")*($C$22:$C$31&gt;=I92))*($E$22:$E$31="Annual")*(MONTH($B$22:$B$31)=MONTH(I92))*$D$22:$D$31)+SUMPRODUCT(($B$35:$B$49&lt;&gt;"")*(YEAR($B$35:$B$49)=YEAR(I92))*(MONTH($B$35:$B$49)=MONTH(I92))*$C$35:$C$49)),"")</f>
        <v/>
      </c>
      <c r="L92" s="14">
        <f>IF(H92&lt;&gt;"",ROUND(L91-K92,2),"")</f>
        <v/>
      </c>
      <c r="M92" s="10">
        <f>IF(H92&lt;&gt;"",MIN(MonthlyPmt,L91+J92),"")</f>
        <v/>
      </c>
      <c r="N92" s="10">
        <f>IF(H92&lt;&gt;"",N91+K92,"")</f>
        <v/>
      </c>
      <c r="O92" s="10">
        <f>IF(H92&lt;&gt;"",O91+J92,"")</f>
        <v/>
      </c>
    </row>
    <row r="93">
      <c r="H93" s="7">
        <f>IF(AND(L92&gt;0.005,H92&lt;&gt;""),91,"")</f>
        <v/>
      </c>
      <c r="I93" s="8">
        <f>IF(H93&lt;&gt;"",EDATE(StartDate,90),"")</f>
        <v/>
      </c>
      <c r="J93" s="9">
        <f>IF(H93&lt;&gt;"",ROUND(L92*AnnualRate/12,2),"")</f>
        <v/>
      </c>
      <c r="K93" s="9">
        <f>IF(H93&lt;&gt;"",MIN(L92,(M93-J93)+SUMPRODUCT(($B$22:$B$31&lt;&gt;"")*($B$22:$B$31&lt;=I93)*(($C$22:$C$31="")+($C$22:$C$31&lt;&gt;"")*($C$22:$C$31&gt;=I93))*($E$22:$E$31="Monthly")*$D$22:$D$31)+SUMPRODUCT(($B$22:$B$31&lt;&gt;"")*($B$22:$B$31&lt;=I93)*(($C$22:$C$31="")+($C$22:$C$31&lt;&gt;"")*($C$22:$C$31&gt;=I93))*($E$22:$E$31="Annual")*(MONTH($B$22:$B$31)=MONTH(I93))*$D$22:$D$31)+SUMPRODUCT(($B$35:$B$49&lt;&gt;"")*(YEAR($B$35:$B$49)=YEAR(I93))*(MONTH($B$35:$B$49)=MONTH(I93))*$C$35:$C$49)),"")</f>
        <v/>
      </c>
      <c r="L93" s="9">
        <f>IF(H93&lt;&gt;"",ROUND(L92-K93,2),"")</f>
        <v/>
      </c>
      <c r="M93" s="10">
        <f>IF(H93&lt;&gt;"",MIN(MonthlyPmt,L92+J93),"")</f>
        <v/>
      </c>
      <c r="N93" s="10">
        <f>IF(H93&lt;&gt;"",N92+K93,"")</f>
        <v/>
      </c>
      <c r="O93" s="10">
        <f>IF(H93&lt;&gt;"",O92+J93,"")</f>
        <v/>
      </c>
    </row>
    <row r="94">
      <c r="H94" s="12">
        <f>IF(AND(L93&gt;0.005,H93&lt;&gt;""),92,"")</f>
        <v/>
      </c>
      <c r="I94" s="13">
        <f>IF(H94&lt;&gt;"",EDATE(StartDate,91),"")</f>
        <v/>
      </c>
      <c r="J94" s="14">
        <f>IF(H94&lt;&gt;"",ROUND(L93*AnnualRate/12,2),"")</f>
        <v/>
      </c>
      <c r="K94" s="14">
        <f>IF(H94&lt;&gt;"",MIN(L93,(M94-J94)+SUMPRODUCT(($B$22:$B$31&lt;&gt;"")*($B$22:$B$31&lt;=I94)*(($C$22:$C$31="")+($C$22:$C$31&lt;&gt;"")*($C$22:$C$31&gt;=I94))*($E$22:$E$31="Monthly")*$D$22:$D$31)+SUMPRODUCT(($B$22:$B$31&lt;&gt;"")*($B$22:$B$31&lt;=I94)*(($C$22:$C$31="")+($C$22:$C$31&lt;&gt;"")*($C$22:$C$31&gt;=I94))*($E$22:$E$31="Annual")*(MONTH($B$22:$B$31)=MONTH(I94))*$D$22:$D$31)+SUMPRODUCT(($B$35:$B$49&lt;&gt;"")*(YEAR($B$35:$B$49)=YEAR(I94))*(MONTH($B$35:$B$49)=MONTH(I94))*$C$35:$C$49)),"")</f>
        <v/>
      </c>
      <c r="L94" s="14">
        <f>IF(H94&lt;&gt;"",ROUND(L93-K94,2),"")</f>
        <v/>
      </c>
      <c r="M94" s="10">
        <f>IF(H94&lt;&gt;"",MIN(MonthlyPmt,L93+J94),"")</f>
        <v/>
      </c>
      <c r="N94" s="10">
        <f>IF(H94&lt;&gt;"",N93+K94,"")</f>
        <v/>
      </c>
      <c r="O94" s="10">
        <f>IF(H94&lt;&gt;"",O93+J94,"")</f>
        <v/>
      </c>
    </row>
    <row r="95">
      <c r="H95" s="7">
        <f>IF(AND(L94&gt;0.005,H94&lt;&gt;""),93,"")</f>
        <v/>
      </c>
      <c r="I95" s="8">
        <f>IF(H95&lt;&gt;"",EDATE(StartDate,92),"")</f>
        <v/>
      </c>
      <c r="J95" s="9">
        <f>IF(H95&lt;&gt;"",ROUND(L94*AnnualRate/12,2),"")</f>
        <v/>
      </c>
      <c r="K95" s="9">
        <f>IF(H95&lt;&gt;"",MIN(L94,(M95-J95)+SUMPRODUCT(($B$22:$B$31&lt;&gt;"")*($B$22:$B$31&lt;=I95)*(($C$22:$C$31="")+($C$22:$C$31&lt;&gt;"")*($C$22:$C$31&gt;=I95))*($E$22:$E$31="Monthly")*$D$22:$D$31)+SUMPRODUCT(($B$22:$B$31&lt;&gt;"")*($B$22:$B$31&lt;=I95)*(($C$22:$C$31="")+($C$22:$C$31&lt;&gt;"")*($C$22:$C$31&gt;=I95))*($E$22:$E$31="Annual")*(MONTH($B$22:$B$31)=MONTH(I95))*$D$22:$D$31)+SUMPRODUCT(($B$35:$B$49&lt;&gt;"")*(YEAR($B$35:$B$49)=YEAR(I95))*(MONTH($B$35:$B$49)=MONTH(I95))*$C$35:$C$49)),"")</f>
        <v/>
      </c>
      <c r="L95" s="9">
        <f>IF(H95&lt;&gt;"",ROUND(L94-K95,2),"")</f>
        <v/>
      </c>
      <c r="M95" s="10">
        <f>IF(H95&lt;&gt;"",MIN(MonthlyPmt,L94+J95),"")</f>
        <v/>
      </c>
      <c r="N95" s="10">
        <f>IF(H95&lt;&gt;"",N94+K95,"")</f>
        <v/>
      </c>
      <c r="O95" s="10">
        <f>IF(H95&lt;&gt;"",O94+J95,"")</f>
        <v/>
      </c>
    </row>
    <row r="96">
      <c r="H96" s="12">
        <f>IF(AND(L95&gt;0.005,H95&lt;&gt;""),94,"")</f>
        <v/>
      </c>
      <c r="I96" s="13">
        <f>IF(H96&lt;&gt;"",EDATE(StartDate,93),"")</f>
        <v/>
      </c>
      <c r="J96" s="14">
        <f>IF(H96&lt;&gt;"",ROUND(L95*AnnualRate/12,2),"")</f>
        <v/>
      </c>
      <c r="K96" s="14">
        <f>IF(H96&lt;&gt;"",MIN(L95,(M96-J96)+SUMPRODUCT(($B$22:$B$31&lt;&gt;"")*($B$22:$B$31&lt;=I96)*(($C$22:$C$31="")+($C$22:$C$31&lt;&gt;"")*($C$22:$C$31&gt;=I96))*($E$22:$E$31="Monthly")*$D$22:$D$31)+SUMPRODUCT(($B$22:$B$31&lt;&gt;"")*($B$22:$B$31&lt;=I96)*(($C$22:$C$31="")+($C$22:$C$31&lt;&gt;"")*($C$22:$C$31&gt;=I96))*($E$22:$E$31="Annual")*(MONTH($B$22:$B$31)=MONTH(I96))*$D$22:$D$31)+SUMPRODUCT(($B$35:$B$49&lt;&gt;"")*(YEAR($B$35:$B$49)=YEAR(I96))*(MONTH($B$35:$B$49)=MONTH(I96))*$C$35:$C$49)),"")</f>
        <v/>
      </c>
      <c r="L96" s="14">
        <f>IF(H96&lt;&gt;"",ROUND(L95-K96,2),"")</f>
        <v/>
      </c>
      <c r="M96" s="10">
        <f>IF(H96&lt;&gt;"",MIN(MonthlyPmt,L95+J96),"")</f>
        <v/>
      </c>
      <c r="N96" s="10">
        <f>IF(H96&lt;&gt;"",N95+K96,"")</f>
        <v/>
      </c>
      <c r="O96" s="10">
        <f>IF(H96&lt;&gt;"",O95+J96,"")</f>
        <v/>
      </c>
    </row>
    <row r="97">
      <c r="H97" s="7">
        <f>IF(AND(L96&gt;0.005,H96&lt;&gt;""),95,"")</f>
        <v/>
      </c>
      <c r="I97" s="8">
        <f>IF(H97&lt;&gt;"",EDATE(StartDate,94),"")</f>
        <v/>
      </c>
      <c r="J97" s="9">
        <f>IF(H97&lt;&gt;"",ROUND(L96*AnnualRate/12,2),"")</f>
        <v/>
      </c>
      <c r="K97" s="9">
        <f>IF(H97&lt;&gt;"",MIN(L96,(M97-J97)+SUMPRODUCT(($B$22:$B$31&lt;&gt;"")*($B$22:$B$31&lt;=I97)*(($C$22:$C$31="")+($C$22:$C$31&lt;&gt;"")*($C$22:$C$31&gt;=I97))*($E$22:$E$31="Monthly")*$D$22:$D$31)+SUMPRODUCT(($B$22:$B$31&lt;&gt;"")*($B$22:$B$31&lt;=I97)*(($C$22:$C$31="")+($C$22:$C$31&lt;&gt;"")*($C$22:$C$31&gt;=I97))*($E$22:$E$31="Annual")*(MONTH($B$22:$B$31)=MONTH(I97))*$D$22:$D$31)+SUMPRODUCT(($B$35:$B$49&lt;&gt;"")*(YEAR($B$35:$B$49)=YEAR(I97))*(MONTH($B$35:$B$49)=MONTH(I97))*$C$35:$C$49)),"")</f>
        <v/>
      </c>
      <c r="L97" s="9">
        <f>IF(H97&lt;&gt;"",ROUND(L96-K97,2),"")</f>
        <v/>
      </c>
      <c r="M97" s="10">
        <f>IF(H97&lt;&gt;"",MIN(MonthlyPmt,L96+J97),"")</f>
        <v/>
      </c>
      <c r="N97" s="10">
        <f>IF(H97&lt;&gt;"",N96+K97,"")</f>
        <v/>
      </c>
      <c r="O97" s="10">
        <f>IF(H97&lt;&gt;"",O96+J97,"")</f>
        <v/>
      </c>
    </row>
    <row r="98">
      <c r="H98" s="12">
        <f>IF(AND(L97&gt;0.005,H97&lt;&gt;""),96,"")</f>
        <v/>
      </c>
      <c r="I98" s="13">
        <f>IF(H98&lt;&gt;"",EDATE(StartDate,95),"")</f>
        <v/>
      </c>
      <c r="J98" s="14">
        <f>IF(H98&lt;&gt;"",ROUND(L97*AnnualRate/12,2),"")</f>
        <v/>
      </c>
      <c r="K98" s="14">
        <f>IF(H98&lt;&gt;"",MIN(L97,(M98-J98)+SUMPRODUCT(($B$22:$B$31&lt;&gt;"")*($B$22:$B$31&lt;=I98)*(($C$22:$C$31="")+($C$22:$C$31&lt;&gt;"")*($C$22:$C$31&gt;=I98))*($E$22:$E$31="Monthly")*$D$22:$D$31)+SUMPRODUCT(($B$22:$B$31&lt;&gt;"")*($B$22:$B$31&lt;=I98)*(($C$22:$C$31="")+($C$22:$C$31&lt;&gt;"")*($C$22:$C$31&gt;=I98))*($E$22:$E$31="Annual")*(MONTH($B$22:$B$31)=MONTH(I98))*$D$22:$D$31)+SUMPRODUCT(($B$35:$B$49&lt;&gt;"")*(YEAR($B$35:$B$49)=YEAR(I98))*(MONTH($B$35:$B$49)=MONTH(I98))*$C$35:$C$49)),"")</f>
        <v/>
      </c>
      <c r="L98" s="14">
        <f>IF(H98&lt;&gt;"",ROUND(L97-K98,2),"")</f>
        <v/>
      </c>
      <c r="M98" s="10">
        <f>IF(H98&lt;&gt;"",MIN(MonthlyPmt,L97+J98),"")</f>
        <v/>
      </c>
      <c r="N98" s="10">
        <f>IF(H98&lt;&gt;"",N97+K98,"")</f>
        <v/>
      </c>
      <c r="O98" s="10">
        <f>IF(H98&lt;&gt;"",O97+J98,"")</f>
        <v/>
      </c>
    </row>
    <row r="99">
      <c r="H99" s="7">
        <f>IF(AND(L98&gt;0.005,H98&lt;&gt;""),97,"")</f>
        <v/>
      </c>
      <c r="I99" s="8">
        <f>IF(H99&lt;&gt;"",EDATE(StartDate,96),"")</f>
        <v/>
      </c>
      <c r="J99" s="9">
        <f>IF(H99&lt;&gt;"",ROUND(L98*AnnualRate/12,2),"")</f>
        <v/>
      </c>
      <c r="K99" s="9">
        <f>IF(H99&lt;&gt;"",MIN(L98,(M99-J99)+SUMPRODUCT(($B$22:$B$31&lt;&gt;"")*($B$22:$B$31&lt;=I99)*(($C$22:$C$31="")+($C$22:$C$31&lt;&gt;"")*($C$22:$C$31&gt;=I99))*($E$22:$E$31="Monthly")*$D$22:$D$31)+SUMPRODUCT(($B$22:$B$31&lt;&gt;"")*($B$22:$B$31&lt;=I99)*(($C$22:$C$31="")+($C$22:$C$31&lt;&gt;"")*($C$22:$C$31&gt;=I99))*($E$22:$E$31="Annual")*(MONTH($B$22:$B$31)=MONTH(I99))*$D$22:$D$31)+SUMPRODUCT(($B$35:$B$49&lt;&gt;"")*(YEAR($B$35:$B$49)=YEAR(I99))*(MONTH($B$35:$B$49)=MONTH(I99))*$C$35:$C$49)),"")</f>
        <v/>
      </c>
      <c r="L99" s="9">
        <f>IF(H99&lt;&gt;"",ROUND(L98-K99,2),"")</f>
        <v/>
      </c>
      <c r="M99" s="10">
        <f>IF(H99&lt;&gt;"",MIN(MonthlyPmt,L98+J99),"")</f>
        <v/>
      </c>
      <c r="N99" s="10">
        <f>IF(H99&lt;&gt;"",N98+K99,"")</f>
        <v/>
      </c>
      <c r="O99" s="10">
        <f>IF(H99&lt;&gt;"",O98+J99,"")</f>
        <v/>
      </c>
    </row>
    <row r="100">
      <c r="H100" s="12">
        <f>IF(AND(L99&gt;0.005,H99&lt;&gt;""),98,"")</f>
        <v/>
      </c>
      <c r="I100" s="13">
        <f>IF(H100&lt;&gt;"",EDATE(StartDate,97),"")</f>
        <v/>
      </c>
      <c r="J100" s="14">
        <f>IF(H100&lt;&gt;"",ROUND(L99*AnnualRate/12,2),"")</f>
        <v/>
      </c>
      <c r="K100" s="14">
        <f>IF(H100&lt;&gt;"",MIN(L99,(M100-J100)+SUMPRODUCT(($B$22:$B$31&lt;&gt;"")*($B$22:$B$31&lt;=I100)*(($C$22:$C$31="")+($C$22:$C$31&lt;&gt;"")*($C$22:$C$31&gt;=I100))*($E$22:$E$31="Monthly")*$D$22:$D$31)+SUMPRODUCT(($B$22:$B$31&lt;&gt;"")*($B$22:$B$31&lt;=I100)*(($C$22:$C$31="")+($C$22:$C$31&lt;&gt;"")*($C$22:$C$31&gt;=I100))*($E$22:$E$31="Annual")*(MONTH($B$22:$B$31)=MONTH(I100))*$D$22:$D$31)+SUMPRODUCT(($B$35:$B$49&lt;&gt;"")*(YEAR($B$35:$B$49)=YEAR(I100))*(MONTH($B$35:$B$49)=MONTH(I100))*$C$35:$C$49)),"")</f>
        <v/>
      </c>
      <c r="L100" s="14">
        <f>IF(H100&lt;&gt;"",ROUND(L99-K100,2),"")</f>
        <v/>
      </c>
      <c r="M100" s="10">
        <f>IF(H100&lt;&gt;"",MIN(MonthlyPmt,L99+J100),"")</f>
        <v/>
      </c>
      <c r="N100" s="10">
        <f>IF(H100&lt;&gt;"",N99+K100,"")</f>
        <v/>
      </c>
      <c r="O100" s="10">
        <f>IF(H100&lt;&gt;"",O99+J100,"")</f>
        <v/>
      </c>
    </row>
    <row r="101">
      <c r="H101" s="7">
        <f>IF(AND(L100&gt;0.005,H100&lt;&gt;""),99,"")</f>
        <v/>
      </c>
      <c r="I101" s="8">
        <f>IF(H101&lt;&gt;"",EDATE(StartDate,98),"")</f>
        <v/>
      </c>
      <c r="J101" s="9">
        <f>IF(H101&lt;&gt;"",ROUND(L100*AnnualRate/12,2),"")</f>
        <v/>
      </c>
      <c r="K101" s="9">
        <f>IF(H101&lt;&gt;"",MIN(L100,(M101-J101)+SUMPRODUCT(($B$22:$B$31&lt;&gt;"")*($B$22:$B$31&lt;=I101)*(($C$22:$C$31="")+($C$22:$C$31&lt;&gt;"")*($C$22:$C$31&gt;=I101))*($E$22:$E$31="Monthly")*$D$22:$D$31)+SUMPRODUCT(($B$22:$B$31&lt;&gt;"")*($B$22:$B$31&lt;=I101)*(($C$22:$C$31="")+($C$22:$C$31&lt;&gt;"")*($C$22:$C$31&gt;=I101))*($E$22:$E$31="Annual")*(MONTH($B$22:$B$31)=MONTH(I101))*$D$22:$D$31)+SUMPRODUCT(($B$35:$B$49&lt;&gt;"")*(YEAR($B$35:$B$49)=YEAR(I101))*(MONTH($B$35:$B$49)=MONTH(I101))*$C$35:$C$49)),"")</f>
        <v/>
      </c>
      <c r="L101" s="9">
        <f>IF(H101&lt;&gt;"",ROUND(L100-K101,2),"")</f>
        <v/>
      </c>
      <c r="M101" s="10">
        <f>IF(H101&lt;&gt;"",MIN(MonthlyPmt,L100+J101),"")</f>
        <v/>
      </c>
      <c r="N101" s="10">
        <f>IF(H101&lt;&gt;"",N100+K101,"")</f>
        <v/>
      </c>
      <c r="O101" s="10">
        <f>IF(H101&lt;&gt;"",O100+J101,"")</f>
        <v/>
      </c>
    </row>
    <row r="102">
      <c r="H102" s="12">
        <f>IF(AND(L101&gt;0.005,H101&lt;&gt;""),100,"")</f>
        <v/>
      </c>
      <c r="I102" s="13">
        <f>IF(H102&lt;&gt;"",EDATE(StartDate,99),"")</f>
        <v/>
      </c>
      <c r="J102" s="14">
        <f>IF(H102&lt;&gt;"",ROUND(L101*AnnualRate/12,2),"")</f>
        <v/>
      </c>
      <c r="K102" s="14">
        <f>IF(H102&lt;&gt;"",MIN(L101,(M102-J102)+SUMPRODUCT(($B$22:$B$31&lt;&gt;"")*($B$22:$B$31&lt;=I102)*(($C$22:$C$31="")+($C$22:$C$31&lt;&gt;"")*($C$22:$C$31&gt;=I102))*($E$22:$E$31="Monthly")*$D$22:$D$31)+SUMPRODUCT(($B$22:$B$31&lt;&gt;"")*($B$22:$B$31&lt;=I102)*(($C$22:$C$31="")+($C$22:$C$31&lt;&gt;"")*($C$22:$C$31&gt;=I102))*($E$22:$E$31="Annual")*(MONTH($B$22:$B$31)=MONTH(I102))*$D$22:$D$31)+SUMPRODUCT(($B$35:$B$49&lt;&gt;"")*(YEAR($B$35:$B$49)=YEAR(I102))*(MONTH($B$35:$B$49)=MONTH(I102))*$C$35:$C$49)),"")</f>
        <v/>
      </c>
      <c r="L102" s="14">
        <f>IF(H102&lt;&gt;"",ROUND(L101-K102,2),"")</f>
        <v/>
      </c>
      <c r="M102" s="10">
        <f>IF(H102&lt;&gt;"",MIN(MonthlyPmt,L101+J102),"")</f>
        <v/>
      </c>
      <c r="N102" s="10">
        <f>IF(H102&lt;&gt;"",N101+K102,"")</f>
        <v/>
      </c>
      <c r="O102" s="10">
        <f>IF(H102&lt;&gt;"",O101+J102,"")</f>
        <v/>
      </c>
    </row>
    <row r="103">
      <c r="H103" s="7">
        <f>IF(AND(L102&gt;0.005,H102&lt;&gt;""),101,"")</f>
        <v/>
      </c>
      <c r="I103" s="8">
        <f>IF(H103&lt;&gt;"",EDATE(StartDate,100),"")</f>
        <v/>
      </c>
      <c r="J103" s="9">
        <f>IF(H103&lt;&gt;"",ROUND(L102*AnnualRate/12,2),"")</f>
        <v/>
      </c>
      <c r="K103" s="9">
        <f>IF(H103&lt;&gt;"",MIN(L102,(M103-J103)+SUMPRODUCT(($B$22:$B$31&lt;&gt;"")*($B$22:$B$31&lt;=I103)*(($C$22:$C$31="")+($C$22:$C$31&lt;&gt;"")*($C$22:$C$31&gt;=I103))*($E$22:$E$31="Monthly")*$D$22:$D$31)+SUMPRODUCT(($B$22:$B$31&lt;&gt;"")*($B$22:$B$31&lt;=I103)*(($C$22:$C$31="")+($C$22:$C$31&lt;&gt;"")*($C$22:$C$31&gt;=I103))*($E$22:$E$31="Annual")*(MONTH($B$22:$B$31)=MONTH(I103))*$D$22:$D$31)+SUMPRODUCT(($B$35:$B$49&lt;&gt;"")*(YEAR($B$35:$B$49)=YEAR(I103))*(MONTH($B$35:$B$49)=MONTH(I103))*$C$35:$C$49)),"")</f>
        <v/>
      </c>
      <c r="L103" s="9">
        <f>IF(H103&lt;&gt;"",ROUND(L102-K103,2),"")</f>
        <v/>
      </c>
      <c r="M103" s="10">
        <f>IF(H103&lt;&gt;"",MIN(MonthlyPmt,L102+J103),"")</f>
        <v/>
      </c>
      <c r="N103" s="10">
        <f>IF(H103&lt;&gt;"",N102+K103,"")</f>
        <v/>
      </c>
      <c r="O103" s="10">
        <f>IF(H103&lt;&gt;"",O102+J103,"")</f>
        <v/>
      </c>
    </row>
    <row r="104">
      <c r="H104" s="12">
        <f>IF(AND(L103&gt;0.005,H103&lt;&gt;""),102,"")</f>
        <v/>
      </c>
      <c r="I104" s="13">
        <f>IF(H104&lt;&gt;"",EDATE(StartDate,101),"")</f>
        <v/>
      </c>
      <c r="J104" s="14">
        <f>IF(H104&lt;&gt;"",ROUND(L103*AnnualRate/12,2),"")</f>
        <v/>
      </c>
      <c r="K104" s="14">
        <f>IF(H104&lt;&gt;"",MIN(L103,(M104-J104)+SUMPRODUCT(($B$22:$B$31&lt;&gt;"")*($B$22:$B$31&lt;=I104)*(($C$22:$C$31="")+($C$22:$C$31&lt;&gt;"")*($C$22:$C$31&gt;=I104))*($E$22:$E$31="Monthly")*$D$22:$D$31)+SUMPRODUCT(($B$22:$B$31&lt;&gt;"")*($B$22:$B$31&lt;=I104)*(($C$22:$C$31="")+($C$22:$C$31&lt;&gt;"")*($C$22:$C$31&gt;=I104))*($E$22:$E$31="Annual")*(MONTH($B$22:$B$31)=MONTH(I104))*$D$22:$D$31)+SUMPRODUCT(($B$35:$B$49&lt;&gt;"")*(YEAR($B$35:$B$49)=YEAR(I104))*(MONTH($B$35:$B$49)=MONTH(I104))*$C$35:$C$49)),"")</f>
        <v/>
      </c>
      <c r="L104" s="14">
        <f>IF(H104&lt;&gt;"",ROUND(L103-K104,2),"")</f>
        <v/>
      </c>
      <c r="M104" s="10">
        <f>IF(H104&lt;&gt;"",MIN(MonthlyPmt,L103+J104),"")</f>
        <v/>
      </c>
      <c r="N104" s="10">
        <f>IF(H104&lt;&gt;"",N103+K104,"")</f>
        <v/>
      </c>
      <c r="O104" s="10">
        <f>IF(H104&lt;&gt;"",O103+J104,"")</f>
        <v/>
      </c>
    </row>
    <row r="105">
      <c r="H105" s="7">
        <f>IF(AND(L104&gt;0.005,H104&lt;&gt;""),103,"")</f>
        <v/>
      </c>
      <c r="I105" s="8">
        <f>IF(H105&lt;&gt;"",EDATE(StartDate,102),"")</f>
        <v/>
      </c>
      <c r="J105" s="9">
        <f>IF(H105&lt;&gt;"",ROUND(L104*AnnualRate/12,2),"")</f>
        <v/>
      </c>
      <c r="K105" s="9">
        <f>IF(H105&lt;&gt;"",MIN(L104,(M105-J105)+SUMPRODUCT(($B$22:$B$31&lt;&gt;"")*($B$22:$B$31&lt;=I105)*(($C$22:$C$31="")+($C$22:$C$31&lt;&gt;"")*($C$22:$C$31&gt;=I105))*($E$22:$E$31="Monthly")*$D$22:$D$31)+SUMPRODUCT(($B$22:$B$31&lt;&gt;"")*($B$22:$B$31&lt;=I105)*(($C$22:$C$31="")+($C$22:$C$31&lt;&gt;"")*($C$22:$C$31&gt;=I105))*($E$22:$E$31="Annual")*(MONTH($B$22:$B$31)=MONTH(I105))*$D$22:$D$31)+SUMPRODUCT(($B$35:$B$49&lt;&gt;"")*(YEAR($B$35:$B$49)=YEAR(I105))*(MONTH($B$35:$B$49)=MONTH(I105))*$C$35:$C$49)),"")</f>
        <v/>
      </c>
      <c r="L105" s="9">
        <f>IF(H105&lt;&gt;"",ROUND(L104-K105,2),"")</f>
        <v/>
      </c>
      <c r="M105" s="10">
        <f>IF(H105&lt;&gt;"",MIN(MonthlyPmt,L104+J105),"")</f>
        <v/>
      </c>
      <c r="N105" s="10">
        <f>IF(H105&lt;&gt;"",N104+K105,"")</f>
        <v/>
      </c>
      <c r="O105" s="10">
        <f>IF(H105&lt;&gt;"",O104+J105,"")</f>
        <v/>
      </c>
    </row>
    <row r="106">
      <c r="H106" s="12">
        <f>IF(AND(L105&gt;0.005,H105&lt;&gt;""),104,"")</f>
        <v/>
      </c>
      <c r="I106" s="13">
        <f>IF(H106&lt;&gt;"",EDATE(StartDate,103),"")</f>
        <v/>
      </c>
      <c r="J106" s="14">
        <f>IF(H106&lt;&gt;"",ROUND(L105*AnnualRate/12,2),"")</f>
        <v/>
      </c>
      <c r="K106" s="14">
        <f>IF(H106&lt;&gt;"",MIN(L105,(M106-J106)+SUMPRODUCT(($B$22:$B$31&lt;&gt;"")*($B$22:$B$31&lt;=I106)*(($C$22:$C$31="")+($C$22:$C$31&lt;&gt;"")*($C$22:$C$31&gt;=I106))*($E$22:$E$31="Monthly")*$D$22:$D$31)+SUMPRODUCT(($B$22:$B$31&lt;&gt;"")*($B$22:$B$31&lt;=I106)*(($C$22:$C$31="")+($C$22:$C$31&lt;&gt;"")*($C$22:$C$31&gt;=I106))*($E$22:$E$31="Annual")*(MONTH($B$22:$B$31)=MONTH(I106))*$D$22:$D$31)+SUMPRODUCT(($B$35:$B$49&lt;&gt;"")*(YEAR($B$35:$B$49)=YEAR(I106))*(MONTH($B$35:$B$49)=MONTH(I106))*$C$35:$C$49)),"")</f>
        <v/>
      </c>
      <c r="L106" s="14">
        <f>IF(H106&lt;&gt;"",ROUND(L105-K106,2),"")</f>
        <v/>
      </c>
      <c r="M106" s="10">
        <f>IF(H106&lt;&gt;"",MIN(MonthlyPmt,L105+J106),"")</f>
        <v/>
      </c>
      <c r="N106" s="10">
        <f>IF(H106&lt;&gt;"",N105+K106,"")</f>
        <v/>
      </c>
      <c r="O106" s="10">
        <f>IF(H106&lt;&gt;"",O105+J106,"")</f>
        <v/>
      </c>
    </row>
    <row r="107">
      <c r="H107" s="7">
        <f>IF(AND(L106&gt;0.005,H106&lt;&gt;""),105,"")</f>
        <v/>
      </c>
      <c r="I107" s="8">
        <f>IF(H107&lt;&gt;"",EDATE(StartDate,104),"")</f>
        <v/>
      </c>
      <c r="J107" s="9">
        <f>IF(H107&lt;&gt;"",ROUND(L106*AnnualRate/12,2),"")</f>
        <v/>
      </c>
      <c r="K107" s="9">
        <f>IF(H107&lt;&gt;"",MIN(L106,(M107-J107)+SUMPRODUCT(($B$22:$B$31&lt;&gt;"")*($B$22:$B$31&lt;=I107)*(($C$22:$C$31="")+($C$22:$C$31&lt;&gt;"")*($C$22:$C$31&gt;=I107))*($E$22:$E$31="Monthly")*$D$22:$D$31)+SUMPRODUCT(($B$22:$B$31&lt;&gt;"")*($B$22:$B$31&lt;=I107)*(($C$22:$C$31="")+($C$22:$C$31&lt;&gt;"")*($C$22:$C$31&gt;=I107))*($E$22:$E$31="Annual")*(MONTH($B$22:$B$31)=MONTH(I107))*$D$22:$D$31)+SUMPRODUCT(($B$35:$B$49&lt;&gt;"")*(YEAR($B$35:$B$49)=YEAR(I107))*(MONTH($B$35:$B$49)=MONTH(I107))*$C$35:$C$49)),"")</f>
        <v/>
      </c>
      <c r="L107" s="9">
        <f>IF(H107&lt;&gt;"",ROUND(L106-K107,2),"")</f>
        <v/>
      </c>
      <c r="M107" s="10">
        <f>IF(H107&lt;&gt;"",MIN(MonthlyPmt,L106+J107),"")</f>
        <v/>
      </c>
      <c r="N107" s="10">
        <f>IF(H107&lt;&gt;"",N106+K107,"")</f>
        <v/>
      </c>
      <c r="O107" s="10">
        <f>IF(H107&lt;&gt;"",O106+J107,"")</f>
        <v/>
      </c>
    </row>
    <row r="108">
      <c r="H108" s="12">
        <f>IF(AND(L107&gt;0.005,H107&lt;&gt;""),106,"")</f>
        <v/>
      </c>
      <c r="I108" s="13">
        <f>IF(H108&lt;&gt;"",EDATE(StartDate,105),"")</f>
        <v/>
      </c>
      <c r="J108" s="14">
        <f>IF(H108&lt;&gt;"",ROUND(L107*AnnualRate/12,2),"")</f>
        <v/>
      </c>
      <c r="K108" s="14">
        <f>IF(H108&lt;&gt;"",MIN(L107,(M108-J108)+SUMPRODUCT(($B$22:$B$31&lt;&gt;"")*($B$22:$B$31&lt;=I108)*(($C$22:$C$31="")+($C$22:$C$31&lt;&gt;"")*($C$22:$C$31&gt;=I108))*($E$22:$E$31="Monthly")*$D$22:$D$31)+SUMPRODUCT(($B$22:$B$31&lt;&gt;"")*($B$22:$B$31&lt;=I108)*(($C$22:$C$31="")+($C$22:$C$31&lt;&gt;"")*($C$22:$C$31&gt;=I108))*($E$22:$E$31="Annual")*(MONTH($B$22:$B$31)=MONTH(I108))*$D$22:$D$31)+SUMPRODUCT(($B$35:$B$49&lt;&gt;"")*(YEAR($B$35:$B$49)=YEAR(I108))*(MONTH($B$35:$B$49)=MONTH(I108))*$C$35:$C$49)),"")</f>
        <v/>
      </c>
      <c r="L108" s="14">
        <f>IF(H108&lt;&gt;"",ROUND(L107-K108,2),"")</f>
        <v/>
      </c>
      <c r="M108" s="10">
        <f>IF(H108&lt;&gt;"",MIN(MonthlyPmt,L107+J108),"")</f>
        <v/>
      </c>
      <c r="N108" s="10">
        <f>IF(H108&lt;&gt;"",N107+K108,"")</f>
        <v/>
      </c>
      <c r="O108" s="10">
        <f>IF(H108&lt;&gt;"",O107+J108,"")</f>
        <v/>
      </c>
    </row>
    <row r="109">
      <c r="H109" s="7">
        <f>IF(AND(L108&gt;0.005,H108&lt;&gt;""),107,"")</f>
        <v/>
      </c>
      <c r="I109" s="8">
        <f>IF(H109&lt;&gt;"",EDATE(StartDate,106),"")</f>
        <v/>
      </c>
      <c r="J109" s="9">
        <f>IF(H109&lt;&gt;"",ROUND(L108*AnnualRate/12,2),"")</f>
        <v/>
      </c>
      <c r="K109" s="9">
        <f>IF(H109&lt;&gt;"",MIN(L108,(M109-J109)+SUMPRODUCT(($B$22:$B$31&lt;&gt;"")*($B$22:$B$31&lt;=I109)*(($C$22:$C$31="")+($C$22:$C$31&lt;&gt;"")*($C$22:$C$31&gt;=I109))*($E$22:$E$31="Monthly")*$D$22:$D$31)+SUMPRODUCT(($B$22:$B$31&lt;&gt;"")*($B$22:$B$31&lt;=I109)*(($C$22:$C$31="")+($C$22:$C$31&lt;&gt;"")*($C$22:$C$31&gt;=I109))*($E$22:$E$31="Annual")*(MONTH($B$22:$B$31)=MONTH(I109))*$D$22:$D$31)+SUMPRODUCT(($B$35:$B$49&lt;&gt;"")*(YEAR($B$35:$B$49)=YEAR(I109))*(MONTH($B$35:$B$49)=MONTH(I109))*$C$35:$C$49)),"")</f>
        <v/>
      </c>
      <c r="L109" s="9">
        <f>IF(H109&lt;&gt;"",ROUND(L108-K109,2),"")</f>
        <v/>
      </c>
      <c r="M109" s="10">
        <f>IF(H109&lt;&gt;"",MIN(MonthlyPmt,L108+J109),"")</f>
        <v/>
      </c>
      <c r="N109" s="10">
        <f>IF(H109&lt;&gt;"",N108+K109,"")</f>
        <v/>
      </c>
      <c r="O109" s="10">
        <f>IF(H109&lt;&gt;"",O108+J109,"")</f>
        <v/>
      </c>
    </row>
    <row r="110">
      <c r="H110" s="12">
        <f>IF(AND(L109&gt;0.005,H109&lt;&gt;""),108,"")</f>
        <v/>
      </c>
      <c r="I110" s="13">
        <f>IF(H110&lt;&gt;"",EDATE(StartDate,107),"")</f>
        <v/>
      </c>
      <c r="J110" s="14">
        <f>IF(H110&lt;&gt;"",ROUND(L109*AnnualRate/12,2),"")</f>
        <v/>
      </c>
      <c r="K110" s="14">
        <f>IF(H110&lt;&gt;"",MIN(L109,(M110-J110)+SUMPRODUCT(($B$22:$B$31&lt;&gt;"")*($B$22:$B$31&lt;=I110)*(($C$22:$C$31="")+($C$22:$C$31&lt;&gt;"")*($C$22:$C$31&gt;=I110))*($E$22:$E$31="Monthly")*$D$22:$D$31)+SUMPRODUCT(($B$22:$B$31&lt;&gt;"")*($B$22:$B$31&lt;=I110)*(($C$22:$C$31="")+($C$22:$C$31&lt;&gt;"")*($C$22:$C$31&gt;=I110))*($E$22:$E$31="Annual")*(MONTH($B$22:$B$31)=MONTH(I110))*$D$22:$D$31)+SUMPRODUCT(($B$35:$B$49&lt;&gt;"")*(YEAR($B$35:$B$49)=YEAR(I110))*(MONTH($B$35:$B$49)=MONTH(I110))*$C$35:$C$49)),"")</f>
        <v/>
      </c>
      <c r="L110" s="14">
        <f>IF(H110&lt;&gt;"",ROUND(L109-K110,2),"")</f>
        <v/>
      </c>
      <c r="M110" s="10">
        <f>IF(H110&lt;&gt;"",MIN(MonthlyPmt,L109+J110),"")</f>
        <v/>
      </c>
      <c r="N110" s="10">
        <f>IF(H110&lt;&gt;"",N109+K110,"")</f>
        <v/>
      </c>
      <c r="O110" s="10">
        <f>IF(H110&lt;&gt;"",O109+J110,"")</f>
        <v/>
      </c>
    </row>
    <row r="111">
      <c r="H111" s="7">
        <f>IF(AND(L110&gt;0.005,H110&lt;&gt;""),109,"")</f>
        <v/>
      </c>
      <c r="I111" s="8">
        <f>IF(H111&lt;&gt;"",EDATE(StartDate,108),"")</f>
        <v/>
      </c>
      <c r="J111" s="9">
        <f>IF(H111&lt;&gt;"",ROUND(L110*AnnualRate/12,2),"")</f>
        <v/>
      </c>
      <c r="K111" s="9">
        <f>IF(H111&lt;&gt;"",MIN(L110,(M111-J111)+SUMPRODUCT(($B$22:$B$31&lt;&gt;"")*($B$22:$B$31&lt;=I111)*(($C$22:$C$31="")+($C$22:$C$31&lt;&gt;"")*($C$22:$C$31&gt;=I111))*($E$22:$E$31="Monthly")*$D$22:$D$31)+SUMPRODUCT(($B$22:$B$31&lt;&gt;"")*($B$22:$B$31&lt;=I111)*(($C$22:$C$31="")+($C$22:$C$31&lt;&gt;"")*($C$22:$C$31&gt;=I111))*($E$22:$E$31="Annual")*(MONTH($B$22:$B$31)=MONTH(I111))*$D$22:$D$31)+SUMPRODUCT(($B$35:$B$49&lt;&gt;"")*(YEAR($B$35:$B$49)=YEAR(I111))*(MONTH($B$35:$B$49)=MONTH(I111))*$C$35:$C$49)),"")</f>
        <v/>
      </c>
      <c r="L111" s="9">
        <f>IF(H111&lt;&gt;"",ROUND(L110-K111,2),"")</f>
        <v/>
      </c>
      <c r="M111" s="10">
        <f>IF(H111&lt;&gt;"",MIN(MonthlyPmt,L110+J111),"")</f>
        <v/>
      </c>
      <c r="N111" s="10">
        <f>IF(H111&lt;&gt;"",N110+K111,"")</f>
        <v/>
      </c>
      <c r="O111" s="10">
        <f>IF(H111&lt;&gt;"",O110+J111,"")</f>
        <v/>
      </c>
    </row>
    <row r="112">
      <c r="H112" s="12">
        <f>IF(AND(L111&gt;0.005,H111&lt;&gt;""),110,"")</f>
        <v/>
      </c>
      <c r="I112" s="13">
        <f>IF(H112&lt;&gt;"",EDATE(StartDate,109),"")</f>
        <v/>
      </c>
      <c r="J112" s="14">
        <f>IF(H112&lt;&gt;"",ROUND(L111*AnnualRate/12,2),"")</f>
        <v/>
      </c>
      <c r="K112" s="14">
        <f>IF(H112&lt;&gt;"",MIN(L111,(M112-J112)+SUMPRODUCT(($B$22:$B$31&lt;&gt;"")*($B$22:$B$31&lt;=I112)*(($C$22:$C$31="")+($C$22:$C$31&lt;&gt;"")*($C$22:$C$31&gt;=I112))*($E$22:$E$31="Monthly")*$D$22:$D$31)+SUMPRODUCT(($B$22:$B$31&lt;&gt;"")*($B$22:$B$31&lt;=I112)*(($C$22:$C$31="")+($C$22:$C$31&lt;&gt;"")*($C$22:$C$31&gt;=I112))*($E$22:$E$31="Annual")*(MONTH($B$22:$B$31)=MONTH(I112))*$D$22:$D$31)+SUMPRODUCT(($B$35:$B$49&lt;&gt;"")*(YEAR($B$35:$B$49)=YEAR(I112))*(MONTH($B$35:$B$49)=MONTH(I112))*$C$35:$C$49)),"")</f>
        <v/>
      </c>
      <c r="L112" s="14">
        <f>IF(H112&lt;&gt;"",ROUND(L111-K112,2),"")</f>
        <v/>
      </c>
      <c r="M112" s="10">
        <f>IF(H112&lt;&gt;"",MIN(MonthlyPmt,L111+J112),"")</f>
        <v/>
      </c>
      <c r="N112" s="10">
        <f>IF(H112&lt;&gt;"",N111+K112,"")</f>
        <v/>
      </c>
      <c r="O112" s="10">
        <f>IF(H112&lt;&gt;"",O111+J112,"")</f>
        <v/>
      </c>
    </row>
    <row r="113">
      <c r="H113" s="7">
        <f>IF(AND(L112&gt;0.005,H112&lt;&gt;""),111,"")</f>
        <v/>
      </c>
      <c r="I113" s="8">
        <f>IF(H113&lt;&gt;"",EDATE(StartDate,110),"")</f>
        <v/>
      </c>
      <c r="J113" s="9">
        <f>IF(H113&lt;&gt;"",ROUND(L112*AnnualRate/12,2),"")</f>
        <v/>
      </c>
      <c r="K113" s="9">
        <f>IF(H113&lt;&gt;"",MIN(L112,(M113-J113)+SUMPRODUCT(($B$22:$B$31&lt;&gt;"")*($B$22:$B$31&lt;=I113)*(($C$22:$C$31="")+($C$22:$C$31&lt;&gt;"")*($C$22:$C$31&gt;=I113))*($E$22:$E$31="Monthly")*$D$22:$D$31)+SUMPRODUCT(($B$22:$B$31&lt;&gt;"")*($B$22:$B$31&lt;=I113)*(($C$22:$C$31="")+($C$22:$C$31&lt;&gt;"")*($C$22:$C$31&gt;=I113))*($E$22:$E$31="Annual")*(MONTH($B$22:$B$31)=MONTH(I113))*$D$22:$D$31)+SUMPRODUCT(($B$35:$B$49&lt;&gt;"")*(YEAR($B$35:$B$49)=YEAR(I113))*(MONTH($B$35:$B$49)=MONTH(I113))*$C$35:$C$49)),"")</f>
        <v/>
      </c>
      <c r="L113" s="9">
        <f>IF(H113&lt;&gt;"",ROUND(L112-K113,2),"")</f>
        <v/>
      </c>
      <c r="M113" s="10">
        <f>IF(H113&lt;&gt;"",MIN(MonthlyPmt,L112+J113),"")</f>
        <v/>
      </c>
      <c r="N113" s="10">
        <f>IF(H113&lt;&gt;"",N112+K113,"")</f>
        <v/>
      </c>
      <c r="O113" s="10">
        <f>IF(H113&lt;&gt;"",O112+J113,"")</f>
        <v/>
      </c>
    </row>
    <row r="114">
      <c r="H114" s="12">
        <f>IF(AND(L113&gt;0.005,H113&lt;&gt;""),112,"")</f>
        <v/>
      </c>
      <c r="I114" s="13">
        <f>IF(H114&lt;&gt;"",EDATE(StartDate,111),"")</f>
        <v/>
      </c>
      <c r="J114" s="14">
        <f>IF(H114&lt;&gt;"",ROUND(L113*AnnualRate/12,2),"")</f>
        <v/>
      </c>
      <c r="K114" s="14">
        <f>IF(H114&lt;&gt;"",MIN(L113,(M114-J114)+SUMPRODUCT(($B$22:$B$31&lt;&gt;"")*($B$22:$B$31&lt;=I114)*(($C$22:$C$31="")+($C$22:$C$31&lt;&gt;"")*($C$22:$C$31&gt;=I114))*($E$22:$E$31="Monthly")*$D$22:$D$31)+SUMPRODUCT(($B$22:$B$31&lt;&gt;"")*($B$22:$B$31&lt;=I114)*(($C$22:$C$31="")+($C$22:$C$31&lt;&gt;"")*($C$22:$C$31&gt;=I114))*($E$22:$E$31="Annual")*(MONTH($B$22:$B$31)=MONTH(I114))*$D$22:$D$31)+SUMPRODUCT(($B$35:$B$49&lt;&gt;"")*(YEAR($B$35:$B$49)=YEAR(I114))*(MONTH($B$35:$B$49)=MONTH(I114))*$C$35:$C$49)),"")</f>
        <v/>
      </c>
      <c r="L114" s="14">
        <f>IF(H114&lt;&gt;"",ROUND(L113-K114,2),"")</f>
        <v/>
      </c>
      <c r="M114" s="10">
        <f>IF(H114&lt;&gt;"",MIN(MonthlyPmt,L113+J114),"")</f>
        <v/>
      </c>
      <c r="N114" s="10">
        <f>IF(H114&lt;&gt;"",N113+K114,"")</f>
        <v/>
      </c>
      <c r="O114" s="10">
        <f>IF(H114&lt;&gt;"",O113+J114,"")</f>
        <v/>
      </c>
    </row>
    <row r="115">
      <c r="H115" s="7">
        <f>IF(AND(L114&gt;0.005,H114&lt;&gt;""),113,"")</f>
        <v/>
      </c>
      <c r="I115" s="8">
        <f>IF(H115&lt;&gt;"",EDATE(StartDate,112),"")</f>
        <v/>
      </c>
      <c r="J115" s="9">
        <f>IF(H115&lt;&gt;"",ROUND(L114*AnnualRate/12,2),"")</f>
        <v/>
      </c>
      <c r="K115" s="9">
        <f>IF(H115&lt;&gt;"",MIN(L114,(M115-J115)+SUMPRODUCT(($B$22:$B$31&lt;&gt;"")*($B$22:$B$31&lt;=I115)*(($C$22:$C$31="")+($C$22:$C$31&lt;&gt;"")*($C$22:$C$31&gt;=I115))*($E$22:$E$31="Monthly")*$D$22:$D$31)+SUMPRODUCT(($B$22:$B$31&lt;&gt;"")*($B$22:$B$31&lt;=I115)*(($C$22:$C$31="")+($C$22:$C$31&lt;&gt;"")*($C$22:$C$31&gt;=I115))*($E$22:$E$31="Annual")*(MONTH($B$22:$B$31)=MONTH(I115))*$D$22:$D$31)+SUMPRODUCT(($B$35:$B$49&lt;&gt;"")*(YEAR($B$35:$B$49)=YEAR(I115))*(MONTH($B$35:$B$49)=MONTH(I115))*$C$35:$C$49)),"")</f>
        <v/>
      </c>
      <c r="L115" s="9">
        <f>IF(H115&lt;&gt;"",ROUND(L114-K115,2),"")</f>
        <v/>
      </c>
      <c r="M115" s="10">
        <f>IF(H115&lt;&gt;"",MIN(MonthlyPmt,L114+J115),"")</f>
        <v/>
      </c>
      <c r="N115" s="10">
        <f>IF(H115&lt;&gt;"",N114+K115,"")</f>
        <v/>
      </c>
      <c r="O115" s="10">
        <f>IF(H115&lt;&gt;"",O114+J115,"")</f>
        <v/>
      </c>
    </row>
    <row r="116">
      <c r="H116" s="12">
        <f>IF(AND(L115&gt;0.005,H115&lt;&gt;""),114,"")</f>
        <v/>
      </c>
      <c r="I116" s="13">
        <f>IF(H116&lt;&gt;"",EDATE(StartDate,113),"")</f>
        <v/>
      </c>
      <c r="J116" s="14">
        <f>IF(H116&lt;&gt;"",ROUND(L115*AnnualRate/12,2),"")</f>
        <v/>
      </c>
      <c r="K116" s="14">
        <f>IF(H116&lt;&gt;"",MIN(L115,(M116-J116)+SUMPRODUCT(($B$22:$B$31&lt;&gt;"")*($B$22:$B$31&lt;=I116)*(($C$22:$C$31="")+($C$22:$C$31&lt;&gt;"")*($C$22:$C$31&gt;=I116))*($E$22:$E$31="Monthly")*$D$22:$D$31)+SUMPRODUCT(($B$22:$B$31&lt;&gt;"")*($B$22:$B$31&lt;=I116)*(($C$22:$C$31="")+($C$22:$C$31&lt;&gt;"")*($C$22:$C$31&gt;=I116))*($E$22:$E$31="Annual")*(MONTH($B$22:$B$31)=MONTH(I116))*$D$22:$D$31)+SUMPRODUCT(($B$35:$B$49&lt;&gt;"")*(YEAR($B$35:$B$49)=YEAR(I116))*(MONTH($B$35:$B$49)=MONTH(I116))*$C$35:$C$49)),"")</f>
        <v/>
      </c>
      <c r="L116" s="14">
        <f>IF(H116&lt;&gt;"",ROUND(L115-K116,2),"")</f>
        <v/>
      </c>
      <c r="M116" s="10">
        <f>IF(H116&lt;&gt;"",MIN(MonthlyPmt,L115+J116),"")</f>
        <v/>
      </c>
      <c r="N116" s="10">
        <f>IF(H116&lt;&gt;"",N115+K116,"")</f>
        <v/>
      </c>
      <c r="O116" s="10">
        <f>IF(H116&lt;&gt;"",O115+J116,"")</f>
        <v/>
      </c>
    </row>
    <row r="117">
      <c r="H117" s="7">
        <f>IF(AND(L116&gt;0.005,H116&lt;&gt;""),115,"")</f>
        <v/>
      </c>
      <c r="I117" s="8">
        <f>IF(H117&lt;&gt;"",EDATE(StartDate,114),"")</f>
        <v/>
      </c>
      <c r="J117" s="9">
        <f>IF(H117&lt;&gt;"",ROUND(L116*AnnualRate/12,2),"")</f>
        <v/>
      </c>
      <c r="K117" s="9">
        <f>IF(H117&lt;&gt;"",MIN(L116,(M117-J117)+SUMPRODUCT(($B$22:$B$31&lt;&gt;"")*($B$22:$B$31&lt;=I117)*(($C$22:$C$31="")+($C$22:$C$31&lt;&gt;"")*($C$22:$C$31&gt;=I117))*($E$22:$E$31="Monthly")*$D$22:$D$31)+SUMPRODUCT(($B$22:$B$31&lt;&gt;"")*($B$22:$B$31&lt;=I117)*(($C$22:$C$31="")+($C$22:$C$31&lt;&gt;"")*($C$22:$C$31&gt;=I117))*($E$22:$E$31="Annual")*(MONTH($B$22:$B$31)=MONTH(I117))*$D$22:$D$31)+SUMPRODUCT(($B$35:$B$49&lt;&gt;"")*(YEAR($B$35:$B$49)=YEAR(I117))*(MONTH($B$35:$B$49)=MONTH(I117))*$C$35:$C$49)),"")</f>
        <v/>
      </c>
      <c r="L117" s="9">
        <f>IF(H117&lt;&gt;"",ROUND(L116-K117,2),"")</f>
        <v/>
      </c>
      <c r="M117" s="10">
        <f>IF(H117&lt;&gt;"",MIN(MonthlyPmt,L116+J117),"")</f>
        <v/>
      </c>
      <c r="N117" s="10">
        <f>IF(H117&lt;&gt;"",N116+K117,"")</f>
        <v/>
      </c>
      <c r="O117" s="10">
        <f>IF(H117&lt;&gt;"",O116+J117,"")</f>
        <v/>
      </c>
    </row>
    <row r="118">
      <c r="H118" s="12">
        <f>IF(AND(L117&gt;0.005,H117&lt;&gt;""),116,"")</f>
        <v/>
      </c>
      <c r="I118" s="13">
        <f>IF(H118&lt;&gt;"",EDATE(StartDate,115),"")</f>
        <v/>
      </c>
      <c r="J118" s="14">
        <f>IF(H118&lt;&gt;"",ROUND(L117*AnnualRate/12,2),"")</f>
        <v/>
      </c>
      <c r="K118" s="14">
        <f>IF(H118&lt;&gt;"",MIN(L117,(M118-J118)+SUMPRODUCT(($B$22:$B$31&lt;&gt;"")*($B$22:$B$31&lt;=I118)*(($C$22:$C$31="")+($C$22:$C$31&lt;&gt;"")*($C$22:$C$31&gt;=I118))*($E$22:$E$31="Monthly")*$D$22:$D$31)+SUMPRODUCT(($B$22:$B$31&lt;&gt;"")*($B$22:$B$31&lt;=I118)*(($C$22:$C$31="")+($C$22:$C$31&lt;&gt;"")*($C$22:$C$31&gt;=I118))*($E$22:$E$31="Annual")*(MONTH($B$22:$B$31)=MONTH(I118))*$D$22:$D$31)+SUMPRODUCT(($B$35:$B$49&lt;&gt;"")*(YEAR($B$35:$B$49)=YEAR(I118))*(MONTH($B$35:$B$49)=MONTH(I118))*$C$35:$C$49)),"")</f>
        <v/>
      </c>
      <c r="L118" s="14">
        <f>IF(H118&lt;&gt;"",ROUND(L117-K118,2),"")</f>
        <v/>
      </c>
      <c r="M118" s="10">
        <f>IF(H118&lt;&gt;"",MIN(MonthlyPmt,L117+J118),"")</f>
        <v/>
      </c>
      <c r="N118" s="10">
        <f>IF(H118&lt;&gt;"",N117+K118,"")</f>
        <v/>
      </c>
      <c r="O118" s="10">
        <f>IF(H118&lt;&gt;"",O117+J118,"")</f>
        <v/>
      </c>
    </row>
    <row r="119">
      <c r="H119" s="7">
        <f>IF(AND(L118&gt;0.005,H118&lt;&gt;""),117,"")</f>
        <v/>
      </c>
      <c r="I119" s="8">
        <f>IF(H119&lt;&gt;"",EDATE(StartDate,116),"")</f>
        <v/>
      </c>
      <c r="J119" s="9">
        <f>IF(H119&lt;&gt;"",ROUND(L118*AnnualRate/12,2),"")</f>
        <v/>
      </c>
      <c r="K119" s="9">
        <f>IF(H119&lt;&gt;"",MIN(L118,(M119-J119)+SUMPRODUCT(($B$22:$B$31&lt;&gt;"")*($B$22:$B$31&lt;=I119)*(($C$22:$C$31="")+($C$22:$C$31&lt;&gt;"")*($C$22:$C$31&gt;=I119))*($E$22:$E$31="Monthly")*$D$22:$D$31)+SUMPRODUCT(($B$22:$B$31&lt;&gt;"")*($B$22:$B$31&lt;=I119)*(($C$22:$C$31="")+($C$22:$C$31&lt;&gt;"")*($C$22:$C$31&gt;=I119))*($E$22:$E$31="Annual")*(MONTH($B$22:$B$31)=MONTH(I119))*$D$22:$D$31)+SUMPRODUCT(($B$35:$B$49&lt;&gt;"")*(YEAR($B$35:$B$49)=YEAR(I119))*(MONTH($B$35:$B$49)=MONTH(I119))*$C$35:$C$49)),"")</f>
        <v/>
      </c>
      <c r="L119" s="9">
        <f>IF(H119&lt;&gt;"",ROUND(L118-K119,2),"")</f>
        <v/>
      </c>
      <c r="M119" s="10">
        <f>IF(H119&lt;&gt;"",MIN(MonthlyPmt,L118+J119),"")</f>
        <v/>
      </c>
      <c r="N119" s="10">
        <f>IF(H119&lt;&gt;"",N118+K119,"")</f>
        <v/>
      </c>
      <c r="O119" s="10">
        <f>IF(H119&lt;&gt;"",O118+J119,"")</f>
        <v/>
      </c>
    </row>
    <row r="120">
      <c r="H120" s="12">
        <f>IF(AND(L119&gt;0.005,H119&lt;&gt;""),118,"")</f>
        <v/>
      </c>
      <c r="I120" s="13">
        <f>IF(H120&lt;&gt;"",EDATE(StartDate,117),"")</f>
        <v/>
      </c>
      <c r="J120" s="14">
        <f>IF(H120&lt;&gt;"",ROUND(L119*AnnualRate/12,2),"")</f>
        <v/>
      </c>
      <c r="K120" s="14">
        <f>IF(H120&lt;&gt;"",MIN(L119,(M120-J120)+SUMPRODUCT(($B$22:$B$31&lt;&gt;"")*($B$22:$B$31&lt;=I120)*(($C$22:$C$31="")+($C$22:$C$31&lt;&gt;"")*($C$22:$C$31&gt;=I120))*($E$22:$E$31="Monthly")*$D$22:$D$31)+SUMPRODUCT(($B$22:$B$31&lt;&gt;"")*($B$22:$B$31&lt;=I120)*(($C$22:$C$31="")+($C$22:$C$31&lt;&gt;"")*($C$22:$C$31&gt;=I120))*($E$22:$E$31="Annual")*(MONTH($B$22:$B$31)=MONTH(I120))*$D$22:$D$31)+SUMPRODUCT(($B$35:$B$49&lt;&gt;"")*(YEAR($B$35:$B$49)=YEAR(I120))*(MONTH($B$35:$B$49)=MONTH(I120))*$C$35:$C$49)),"")</f>
        <v/>
      </c>
      <c r="L120" s="14">
        <f>IF(H120&lt;&gt;"",ROUND(L119-K120,2),"")</f>
        <v/>
      </c>
      <c r="M120" s="10">
        <f>IF(H120&lt;&gt;"",MIN(MonthlyPmt,L119+J120),"")</f>
        <v/>
      </c>
      <c r="N120" s="10">
        <f>IF(H120&lt;&gt;"",N119+K120,"")</f>
        <v/>
      </c>
      <c r="O120" s="10">
        <f>IF(H120&lt;&gt;"",O119+J120,"")</f>
        <v/>
      </c>
    </row>
    <row r="121">
      <c r="H121" s="7">
        <f>IF(AND(L120&gt;0.005,H120&lt;&gt;""),119,"")</f>
        <v/>
      </c>
      <c r="I121" s="8">
        <f>IF(H121&lt;&gt;"",EDATE(StartDate,118),"")</f>
        <v/>
      </c>
      <c r="J121" s="9">
        <f>IF(H121&lt;&gt;"",ROUND(L120*AnnualRate/12,2),"")</f>
        <v/>
      </c>
      <c r="K121" s="9">
        <f>IF(H121&lt;&gt;"",MIN(L120,(M121-J121)+SUMPRODUCT(($B$22:$B$31&lt;&gt;"")*($B$22:$B$31&lt;=I121)*(($C$22:$C$31="")+($C$22:$C$31&lt;&gt;"")*($C$22:$C$31&gt;=I121))*($E$22:$E$31="Monthly")*$D$22:$D$31)+SUMPRODUCT(($B$22:$B$31&lt;&gt;"")*($B$22:$B$31&lt;=I121)*(($C$22:$C$31="")+($C$22:$C$31&lt;&gt;"")*($C$22:$C$31&gt;=I121))*($E$22:$E$31="Annual")*(MONTH($B$22:$B$31)=MONTH(I121))*$D$22:$D$31)+SUMPRODUCT(($B$35:$B$49&lt;&gt;"")*(YEAR($B$35:$B$49)=YEAR(I121))*(MONTH($B$35:$B$49)=MONTH(I121))*$C$35:$C$49)),"")</f>
        <v/>
      </c>
      <c r="L121" s="9">
        <f>IF(H121&lt;&gt;"",ROUND(L120-K121,2),"")</f>
        <v/>
      </c>
      <c r="M121" s="10">
        <f>IF(H121&lt;&gt;"",MIN(MonthlyPmt,L120+J121),"")</f>
        <v/>
      </c>
      <c r="N121" s="10">
        <f>IF(H121&lt;&gt;"",N120+K121,"")</f>
        <v/>
      </c>
      <c r="O121" s="10">
        <f>IF(H121&lt;&gt;"",O120+J121,"")</f>
        <v/>
      </c>
    </row>
    <row r="122">
      <c r="H122" s="12">
        <f>IF(AND(L121&gt;0.005,H121&lt;&gt;""),120,"")</f>
        <v/>
      </c>
      <c r="I122" s="13">
        <f>IF(H122&lt;&gt;"",EDATE(StartDate,119),"")</f>
        <v/>
      </c>
      <c r="J122" s="14">
        <f>IF(H122&lt;&gt;"",ROUND(L121*AnnualRate/12,2),"")</f>
        <v/>
      </c>
      <c r="K122" s="14">
        <f>IF(H122&lt;&gt;"",MIN(L121,(M122-J122)+SUMPRODUCT(($B$22:$B$31&lt;&gt;"")*($B$22:$B$31&lt;=I122)*(($C$22:$C$31="")+($C$22:$C$31&lt;&gt;"")*($C$22:$C$31&gt;=I122))*($E$22:$E$31="Monthly")*$D$22:$D$31)+SUMPRODUCT(($B$22:$B$31&lt;&gt;"")*($B$22:$B$31&lt;=I122)*(($C$22:$C$31="")+($C$22:$C$31&lt;&gt;"")*($C$22:$C$31&gt;=I122))*($E$22:$E$31="Annual")*(MONTH($B$22:$B$31)=MONTH(I122))*$D$22:$D$31)+SUMPRODUCT(($B$35:$B$49&lt;&gt;"")*(YEAR($B$35:$B$49)=YEAR(I122))*(MONTH($B$35:$B$49)=MONTH(I122))*$C$35:$C$49)),"")</f>
        <v/>
      </c>
      <c r="L122" s="14">
        <f>IF(H122&lt;&gt;"",ROUND(L121-K122,2),"")</f>
        <v/>
      </c>
      <c r="M122" s="10">
        <f>IF(H122&lt;&gt;"",MIN(MonthlyPmt,L121+J122),"")</f>
        <v/>
      </c>
      <c r="N122" s="10">
        <f>IF(H122&lt;&gt;"",N121+K122,"")</f>
        <v/>
      </c>
      <c r="O122" s="10">
        <f>IF(H122&lt;&gt;"",O121+J122,"")</f>
        <v/>
      </c>
    </row>
    <row r="123">
      <c r="H123" s="7">
        <f>IF(AND(L122&gt;0.005,H122&lt;&gt;""),121,"")</f>
        <v/>
      </c>
      <c r="I123" s="8">
        <f>IF(H123&lt;&gt;"",EDATE(StartDate,120),"")</f>
        <v/>
      </c>
      <c r="J123" s="9">
        <f>IF(H123&lt;&gt;"",ROUND(L122*AnnualRate/12,2),"")</f>
        <v/>
      </c>
      <c r="K123" s="9">
        <f>IF(H123&lt;&gt;"",MIN(L122,(M123-J123)+SUMPRODUCT(($B$22:$B$31&lt;&gt;"")*($B$22:$B$31&lt;=I123)*(($C$22:$C$31="")+($C$22:$C$31&lt;&gt;"")*($C$22:$C$31&gt;=I123))*($E$22:$E$31="Monthly")*$D$22:$D$31)+SUMPRODUCT(($B$22:$B$31&lt;&gt;"")*($B$22:$B$31&lt;=I123)*(($C$22:$C$31="")+($C$22:$C$31&lt;&gt;"")*($C$22:$C$31&gt;=I123))*($E$22:$E$31="Annual")*(MONTH($B$22:$B$31)=MONTH(I123))*$D$22:$D$31)+SUMPRODUCT(($B$35:$B$49&lt;&gt;"")*(YEAR($B$35:$B$49)=YEAR(I123))*(MONTH($B$35:$B$49)=MONTH(I123))*$C$35:$C$49)),"")</f>
        <v/>
      </c>
      <c r="L123" s="9">
        <f>IF(H123&lt;&gt;"",ROUND(L122-K123,2),"")</f>
        <v/>
      </c>
      <c r="M123" s="10">
        <f>IF(H123&lt;&gt;"",MIN(MonthlyPmt,L122+J123),"")</f>
        <v/>
      </c>
      <c r="N123" s="10">
        <f>IF(H123&lt;&gt;"",N122+K123,"")</f>
        <v/>
      </c>
      <c r="O123" s="10">
        <f>IF(H123&lt;&gt;"",O122+J123,"")</f>
        <v/>
      </c>
    </row>
    <row r="124">
      <c r="H124" s="12">
        <f>IF(AND(L123&gt;0.005,H123&lt;&gt;""),122,"")</f>
        <v/>
      </c>
      <c r="I124" s="13">
        <f>IF(H124&lt;&gt;"",EDATE(StartDate,121),"")</f>
        <v/>
      </c>
      <c r="J124" s="14">
        <f>IF(H124&lt;&gt;"",ROUND(L123*AnnualRate/12,2),"")</f>
        <v/>
      </c>
      <c r="K124" s="14">
        <f>IF(H124&lt;&gt;"",MIN(L123,(M124-J124)+SUMPRODUCT(($B$22:$B$31&lt;&gt;"")*($B$22:$B$31&lt;=I124)*(($C$22:$C$31="")+($C$22:$C$31&lt;&gt;"")*($C$22:$C$31&gt;=I124))*($E$22:$E$31="Monthly")*$D$22:$D$31)+SUMPRODUCT(($B$22:$B$31&lt;&gt;"")*($B$22:$B$31&lt;=I124)*(($C$22:$C$31="")+($C$22:$C$31&lt;&gt;"")*($C$22:$C$31&gt;=I124))*($E$22:$E$31="Annual")*(MONTH($B$22:$B$31)=MONTH(I124))*$D$22:$D$31)+SUMPRODUCT(($B$35:$B$49&lt;&gt;"")*(YEAR($B$35:$B$49)=YEAR(I124))*(MONTH($B$35:$B$49)=MONTH(I124))*$C$35:$C$49)),"")</f>
        <v/>
      </c>
      <c r="L124" s="14">
        <f>IF(H124&lt;&gt;"",ROUND(L123-K124,2),"")</f>
        <v/>
      </c>
      <c r="M124" s="10">
        <f>IF(H124&lt;&gt;"",MIN(MonthlyPmt,L123+J124),"")</f>
        <v/>
      </c>
      <c r="N124" s="10">
        <f>IF(H124&lt;&gt;"",N123+K124,"")</f>
        <v/>
      </c>
      <c r="O124" s="10">
        <f>IF(H124&lt;&gt;"",O123+J124,"")</f>
        <v/>
      </c>
    </row>
    <row r="125">
      <c r="H125" s="7">
        <f>IF(AND(L124&gt;0.005,H124&lt;&gt;""),123,"")</f>
        <v/>
      </c>
      <c r="I125" s="8">
        <f>IF(H125&lt;&gt;"",EDATE(StartDate,122),"")</f>
        <v/>
      </c>
      <c r="J125" s="9">
        <f>IF(H125&lt;&gt;"",ROUND(L124*AnnualRate/12,2),"")</f>
        <v/>
      </c>
      <c r="K125" s="9">
        <f>IF(H125&lt;&gt;"",MIN(L124,(M125-J125)+SUMPRODUCT(($B$22:$B$31&lt;&gt;"")*($B$22:$B$31&lt;=I125)*(($C$22:$C$31="")+($C$22:$C$31&lt;&gt;"")*($C$22:$C$31&gt;=I125))*($E$22:$E$31="Monthly")*$D$22:$D$31)+SUMPRODUCT(($B$22:$B$31&lt;&gt;"")*($B$22:$B$31&lt;=I125)*(($C$22:$C$31="")+($C$22:$C$31&lt;&gt;"")*($C$22:$C$31&gt;=I125))*($E$22:$E$31="Annual")*(MONTH($B$22:$B$31)=MONTH(I125))*$D$22:$D$31)+SUMPRODUCT(($B$35:$B$49&lt;&gt;"")*(YEAR($B$35:$B$49)=YEAR(I125))*(MONTH($B$35:$B$49)=MONTH(I125))*$C$35:$C$49)),"")</f>
        <v/>
      </c>
      <c r="L125" s="9">
        <f>IF(H125&lt;&gt;"",ROUND(L124-K125,2),"")</f>
        <v/>
      </c>
      <c r="M125" s="10">
        <f>IF(H125&lt;&gt;"",MIN(MonthlyPmt,L124+J125),"")</f>
        <v/>
      </c>
      <c r="N125" s="10">
        <f>IF(H125&lt;&gt;"",N124+K125,"")</f>
        <v/>
      </c>
      <c r="O125" s="10">
        <f>IF(H125&lt;&gt;"",O124+J125,"")</f>
        <v/>
      </c>
    </row>
    <row r="126">
      <c r="H126" s="12">
        <f>IF(AND(L125&gt;0.005,H125&lt;&gt;""),124,"")</f>
        <v/>
      </c>
      <c r="I126" s="13">
        <f>IF(H126&lt;&gt;"",EDATE(StartDate,123),"")</f>
        <v/>
      </c>
      <c r="J126" s="14">
        <f>IF(H126&lt;&gt;"",ROUND(L125*AnnualRate/12,2),"")</f>
        <v/>
      </c>
      <c r="K126" s="14">
        <f>IF(H126&lt;&gt;"",MIN(L125,(M126-J126)+SUMPRODUCT(($B$22:$B$31&lt;&gt;"")*($B$22:$B$31&lt;=I126)*(($C$22:$C$31="")+($C$22:$C$31&lt;&gt;"")*($C$22:$C$31&gt;=I126))*($E$22:$E$31="Monthly")*$D$22:$D$31)+SUMPRODUCT(($B$22:$B$31&lt;&gt;"")*($B$22:$B$31&lt;=I126)*(($C$22:$C$31="")+($C$22:$C$31&lt;&gt;"")*($C$22:$C$31&gt;=I126))*($E$22:$E$31="Annual")*(MONTH($B$22:$B$31)=MONTH(I126))*$D$22:$D$31)+SUMPRODUCT(($B$35:$B$49&lt;&gt;"")*(YEAR($B$35:$B$49)=YEAR(I126))*(MONTH($B$35:$B$49)=MONTH(I126))*$C$35:$C$49)),"")</f>
        <v/>
      </c>
      <c r="L126" s="14">
        <f>IF(H126&lt;&gt;"",ROUND(L125-K126,2),"")</f>
        <v/>
      </c>
      <c r="M126" s="10">
        <f>IF(H126&lt;&gt;"",MIN(MonthlyPmt,L125+J126),"")</f>
        <v/>
      </c>
      <c r="N126" s="10">
        <f>IF(H126&lt;&gt;"",N125+K126,"")</f>
        <v/>
      </c>
      <c r="O126" s="10">
        <f>IF(H126&lt;&gt;"",O125+J126,"")</f>
        <v/>
      </c>
    </row>
    <row r="127">
      <c r="H127" s="7">
        <f>IF(AND(L126&gt;0.005,H126&lt;&gt;""),125,"")</f>
        <v/>
      </c>
      <c r="I127" s="8">
        <f>IF(H127&lt;&gt;"",EDATE(StartDate,124),"")</f>
        <v/>
      </c>
      <c r="J127" s="9">
        <f>IF(H127&lt;&gt;"",ROUND(L126*AnnualRate/12,2),"")</f>
        <v/>
      </c>
      <c r="K127" s="9">
        <f>IF(H127&lt;&gt;"",MIN(L126,(M127-J127)+SUMPRODUCT(($B$22:$B$31&lt;&gt;"")*($B$22:$B$31&lt;=I127)*(($C$22:$C$31="")+($C$22:$C$31&lt;&gt;"")*($C$22:$C$31&gt;=I127))*($E$22:$E$31="Monthly")*$D$22:$D$31)+SUMPRODUCT(($B$22:$B$31&lt;&gt;"")*($B$22:$B$31&lt;=I127)*(($C$22:$C$31="")+($C$22:$C$31&lt;&gt;"")*($C$22:$C$31&gt;=I127))*($E$22:$E$31="Annual")*(MONTH($B$22:$B$31)=MONTH(I127))*$D$22:$D$31)+SUMPRODUCT(($B$35:$B$49&lt;&gt;"")*(YEAR($B$35:$B$49)=YEAR(I127))*(MONTH($B$35:$B$49)=MONTH(I127))*$C$35:$C$49)),"")</f>
        <v/>
      </c>
      <c r="L127" s="9">
        <f>IF(H127&lt;&gt;"",ROUND(L126-K127,2),"")</f>
        <v/>
      </c>
      <c r="M127" s="10">
        <f>IF(H127&lt;&gt;"",MIN(MonthlyPmt,L126+J127),"")</f>
        <v/>
      </c>
      <c r="N127" s="10">
        <f>IF(H127&lt;&gt;"",N126+K127,"")</f>
        <v/>
      </c>
      <c r="O127" s="10">
        <f>IF(H127&lt;&gt;"",O126+J127,"")</f>
        <v/>
      </c>
    </row>
    <row r="128">
      <c r="H128" s="12">
        <f>IF(AND(L127&gt;0.005,H127&lt;&gt;""),126,"")</f>
        <v/>
      </c>
      <c r="I128" s="13">
        <f>IF(H128&lt;&gt;"",EDATE(StartDate,125),"")</f>
        <v/>
      </c>
      <c r="J128" s="14">
        <f>IF(H128&lt;&gt;"",ROUND(L127*AnnualRate/12,2),"")</f>
        <v/>
      </c>
      <c r="K128" s="14">
        <f>IF(H128&lt;&gt;"",MIN(L127,(M128-J128)+SUMPRODUCT(($B$22:$B$31&lt;&gt;"")*($B$22:$B$31&lt;=I128)*(($C$22:$C$31="")+($C$22:$C$31&lt;&gt;"")*($C$22:$C$31&gt;=I128))*($E$22:$E$31="Monthly")*$D$22:$D$31)+SUMPRODUCT(($B$22:$B$31&lt;&gt;"")*($B$22:$B$31&lt;=I128)*(($C$22:$C$31="")+($C$22:$C$31&lt;&gt;"")*($C$22:$C$31&gt;=I128))*($E$22:$E$31="Annual")*(MONTH($B$22:$B$31)=MONTH(I128))*$D$22:$D$31)+SUMPRODUCT(($B$35:$B$49&lt;&gt;"")*(YEAR($B$35:$B$49)=YEAR(I128))*(MONTH($B$35:$B$49)=MONTH(I128))*$C$35:$C$49)),"")</f>
        <v/>
      </c>
      <c r="L128" s="14">
        <f>IF(H128&lt;&gt;"",ROUND(L127-K128,2),"")</f>
        <v/>
      </c>
      <c r="M128" s="10">
        <f>IF(H128&lt;&gt;"",MIN(MonthlyPmt,L127+J128),"")</f>
        <v/>
      </c>
      <c r="N128" s="10">
        <f>IF(H128&lt;&gt;"",N127+K128,"")</f>
        <v/>
      </c>
      <c r="O128" s="10">
        <f>IF(H128&lt;&gt;"",O127+J128,"")</f>
        <v/>
      </c>
    </row>
    <row r="129">
      <c r="H129" s="7">
        <f>IF(AND(L128&gt;0.005,H128&lt;&gt;""),127,"")</f>
        <v/>
      </c>
      <c r="I129" s="8">
        <f>IF(H129&lt;&gt;"",EDATE(StartDate,126),"")</f>
        <v/>
      </c>
      <c r="J129" s="9">
        <f>IF(H129&lt;&gt;"",ROUND(L128*AnnualRate/12,2),"")</f>
        <v/>
      </c>
      <c r="K129" s="9">
        <f>IF(H129&lt;&gt;"",MIN(L128,(M129-J129)+SUMPRODUCT(($B$22:$B$31&lt;&gt;"")*($B$22:$B$31&lt;=I129)*(($C$22:$C$31="")+($C$22:$C$31&lt;&gt;"")*($C$22:$C$31&gt;=I129))*($E$22:$E$31="Monthly")*$D$22:$D$31)+SUMPRODUCT(($B$22:$B$31&lt;&gt;"")*($B$22:$B$31&lt;=I129)*(($C$22:$C$31="")+($C$22:$C$31&lt;&gt;"")*($C$22:$C$31&gt;=I129))*($E$22:$E$31="Annual")*(MONTH($B$22:$B$31)=MONTH(I129))*$D$22:$D$31)+SUMPRODUCT(($B$35:$B$49&lt;&gt;"")*(YEAR($B$35:$B$49)=YEAR(I129))*(MONTH($B$35:$B$49)=MONTH(I129))*$C$35:$C$49)),"")</f>
        <v/>
      </c>
      <c r="L129" s="9">
        <f>IF(H129&lt;&gt;"",ROUND(L128-K129,2),"")</f>
        <v/>
      </c>
      <c r="M129" s="10">
        <f>IF(H129&lt;&gt;"",MIN(MonthlyPmt,L128+J129),"")</f>
        <v/>
      </c>
      <c r="N129" s="10">
        <f>IF(H129&lt;&gt;"",N128+K129,"")</f>
        <v/>
      </c>
      <c r="O129" s="10">
        <f>IF(H129&lt;&gt;"",O128+J129,"")</f>
        <v/>
      </c>
    </row>
    <row r="130">
      <c r="H130" s="12">
        <f>IF(AND(L129&gt;0.005,H129&lt;&gt;""),128,"")</f>
        <v/>
      </c>
      <c r="I130" s="13">
        <f>IF(H130&lt;&gt;"",EDATE(StartDate,127),"")</f>
        <v/>
      </c>
      <c r="J130" s="14">
        <f>IF(H130&lt;&gt;"",ROUND(L129*AnnualRate/12,2),"")</f>
        <v/>
      </c>
      <c r="K130" s="14">
        <f>IF(H130&lt;&gt;"",MIN(L129,(M130-J130)+SUMPRODUCT(($B$22:$B$31&lt;&gt;"")*($B$22:$B$31&lt;=I130)*(($C$22:$C$31="")+($C$22:$C$31&lt;&gt;"")*($C$22:$C$31&gt;=I130))*($E$22:$E$31="Monthly")*$D$22:$D$31)+SUMPRODUCT(($B$22:$B$31&lt;&gt;"")*($B$22:$B$31&lt;=I130)*(($C$22:$C$31="")+($C$22:$C$31&lt;&gt;"")*($C$22:$C$31&gt;=I130))*($E$22:$E$31="Annual")*(MONTH($B$22:$B$31)=MONTH(I130))*$D$22:$D$31)+SUMPRODUCT(($B$35:$B$49&lt;&gt;"")*(YEAR($B$35:$B$49)=YEAR(I130))*(MONTH($B$35:$B$49)=MONTH(I130))*$C$35:$C$49)),"")</f>
        <v/>
      </c>
      <c r="L130" s="14">
        <f>IF(H130&lt;&gt;"",ROUND(L129-K130,2),"")</f>
        <v/>
      </c>
      <c r="M130" s="10">
        <f>IF(H130&lt;&gt;"",MIN(MonthlyPmt,L129+J130),"")</f>
        <v/>
      </c>
      <c r="N130" s="10">
        <f>IF(H130&lt;&gt;"",N129+K130,"")</f>
        <v/>
      </c>
      <c r="O130" s="10">
        <f>IF(H130&lt;&gt;"",O129+J130,"")</f>
        <v/>
      </c>
    </row>
    <row r="131">
      <c r="H131" s="7">
        <f>IF(AND(L130&gt;0.005,H130&lt;&gt;""),129,"")</f>
        <v/>
      </c>
      <c r="I131" s="8">
        <f>IF(H131&lt;&gt;"",EDATE(StartDate,128),"")</f>
        <v/>
      </c>
      <c r="J131" s="9">
        <f>IF(H131&lt;&gt;"",ROUND(L130*AnnualRate/12,2),"")</f>
        <v/>
      </c>
      <c r="K131" s="9">
        <f>IF(H131&lt;&gt;"",MIN(L130,(M131-J131)+SUMPRODUCT(($B$22:$B$31&lt;&gt;"")*($B$22:$B$31&lt;=I131)*(($C$22:$C$31="")+($C$22:$C$31&lt;&gt;"")*($C$22:$C$31&gt;=I131))*($E$22:$E$31="Monthly")*$D$22:$D$31)+SUMPRODUCT(($B$22:$B$31&lt;&gt;"")*($B$22:$B$31&lt;=I131)*(($C$22:$C$31="")+($C$22:$C$31&lt;&gt;"")*($C$22:$C$31&gt;=I131))*($E$22:$E$31="Annual")*(MONTH($B$22:$B$31)=MONTH(I131))*$D$22:$D$31)+SUMPRODUCT(($B$35:$B$49&lt;&gt;"")*(YEAR($B$35:$B$49)=YEAR(I131))*(MONTH($B$35:$B$49)=MONTH(I131))*$C$35:$C$49)),"")</f>
        <v/>
      </c>
      <c r="L131" s="9">
        <f>IF(H131&lt;&gt;"",ROUND(L130-K131,2),"")</f>
        <v/>
      </c>
      <c r="M131" s="10">
        <f>IF(H131&lt;&gt;"",MIN(MonthlyPmt,L130+J131),"")</f>
        <v/>
      </c>
      <c r="N131" s="10">
        <f>IF(H131&lt;&gt;"",N130+K131,"")</f>
        <v/>
      </c>
      <c r="O131" s="10">
        <f>IF(H131&lt;&gt;"",O130+J131,"")</f>
        <v/>
      </c>
    </row>
    <row r="132">
      <c r="H132" s="12">
        <f>IF(AND(L131&gt;0.005,H131&lt;&gt;""),130,"")</f>
        <v/>
      </c>
      <c r="I132" s="13">
        <f>IF(H132&lt;&gt;"",EDATE(StartDate,129),"")</f>
        <v/>
      </c>
      <c r="J132" s="14">
        <f>IF(H132&lt;&gt;"",ROUND(L131*AnnualRate/12,2),"")</f>
        <v/>
      </c>
      <c r="K132" s="14">
        <f>IF(H132&lt;&gt;"",MIN(L131,(M132-J132)+SUMPRODUCT(($B$22:$B$31&lt;&gt;"")*($B$22:$B$31&lt;=I132)*(($C$22:$C$31="")+($C$22:$C$31&lt;&gt;"")*($C$22:$C$31&gt;=I132))*($E$22:$E$31="Monthly")*$D$22:$D$31)+SUMPRODUCT(($B$22:$B$31&lt;&gt;"")*($B$22:$B$31&lt;=I132)*(($C$22:$C$31="")+($C$22:$C$31&lt;&gt;"")*($C$22:$C$31&gt;=I132))*($E$22:$E$31="Annual")*(MONTH($B$22:$B$31)=MONTH(I132))*$D$22:$D$31)+SUMPRODUCT(($B$35:$B$49&lt;&gt;"")*(YEAR($B$35:$B$49)=YEAR(I132))*(MONTH($B$35:$B$49)=MONTH(I132))*$C$35:$C$49)),"")</f>
        <v/>
      </c>
      <c r="L132" s="14">
        <f>IF(H132&lt;&gt;"",ROUND(L131-K132,2),"")</f>
        <v/>
      </c>
      <c r="M132" s="10">
        <f>IF(H132&lt;&gt;"",MIN(MonthlyPmt,L131+J132),"")</f>
        <v/>
      </c>
      <c r="N132" s="10">
        <f>IF(H132&lt;&gt;"",N131+K132,"")</f>
        <v/>
      </c>
      <c r="O132" s="10">
        <f>IF(H132&lt;&gt;"",O131+J132,"")</f>
        <v/>
      </c>
    </row>
    <row r="133">
      <c r="H133" s="7">
        <f>IF(AND(L132&gt;0.005,H132&lt;&gt;""),131,"")</f>
        <v/>
      </c>
      <c r="I133" s="8">
        <f>IF(H133&lt;&gt;"",EDATE(StartDate,130),"")</f>
        <v/>
      </c>
      <c r="J133" s="9">
        <f>IF(H133&lt;&gt;"",ROUND(L132*AnnualRate/12,2),"")</f>
        <v/>
      </c>
      <c r="K133" s="9">
        <f>IF(H133&lt;&gt;"",MIN(L132,(M133-J133)+SUMPRODUCT(($B$22:$B$31&lt;&gt;"")*($B$22:$B$31&lt;=I133)*(($C$22:$C$31="")+($C$22:$C$31&lt;&gt;"")*($C$22:$C$31&gt;=I133))*($E$22:$E$31="Monthly")*$D$22:$D$31)+SUMPRODUCT(($B$22:$B$31&lt;&gt;"")*($B$22:$B$31&lt;=I133)*(($C$22:$C$31="")+($C$22:$C$31&lt;&gt;"")*($C$22:$C$31&gt;=I133))*($E$22:$E$31="Annual")*(MONTH($B$22:$B$31)=MONTH(I133))*$D$22:$D$31)+SUMPRODUCT(($B$35:$B$49&lt;&gt;"")*(YEAR($B$35:$B$49)=YEAR(I133))*(MONTH($B$35:$B$49)=MONTH(I133))*$C$35:$C$49)),"")</f>
        <v/>
      </c>
      <c r="L133" s="9">
        <f>IF(H133&lt;&gt;"",ROUND(L132-K133,2),"")</f>
        <v/>
      </c>
      <c r="M133" s="10">
        <f>IF(H133&lt;&gt;"",MIN(MonthlyPmt,L132+J133),"")</f>
        <v/>
      </c>
      <c r="N133" s="10">
        <f>IF(H133&lt;&gt;"",N132+K133,"")</f>
        <v/>
      </c>
      <c r="O133" s="10">
        <f>IF(H133&lt;&gt;"",O132+J133,"")</f>
        <v/>
      </c>
    </row>
    <row r="134">
      <c r="H134" s="12">
        <f>IF(AND(L133&gt;0.005,H133&lt;&gt;""),132,"")</f>
        <v/>
      </c>
      <c r="I134" s="13">
        <f>IF(H134&lt;&gt;"",EDATE(StartDate,131),"")</f>
        <v/>
      </c>
      <c r="J134" s="14">
        <f>IF(H134&lt;&gt;"",ROUND(L133*AnnualRate/12,2),"")</f>
        <v/>
      </c>
      <c r="K134" s="14">
        <f>IF(H134&lt;&gt;"",MIN(L133,(M134-J134)+SUMPRODUCT(($B$22:$B$31&lt;&gt;"")*($B$22:$B$31&lt;=I134)*(($C$22:$C$31="")+($C$22:$C$31&lt;&gt;"")*($C$22:$C$31&gt;=I134))*($E$22:$E$31="Monthly")*$D$22:$D$31)+SUMPRODUCT(($B$22:$B$31&lt;&gt;"")*($B$22:$B$31&lt;=I134)*(($C$22:$C$31="")+($C$22:$C$31&lt;&gt;"")*($C$22:$C$31&gt;=I134))*($E$22:$E$31="Annual")*(MONTH($B$22:$B$31)=MONTH(I134))*$D$22:$D$31)+SUMPRODUCT(($B$35:$B$49&lt;&gt;"")*(YEAR($B$35:$B$49)=YEAR(I134))*(MONTH($B$35:$B$49)=MONTH(I134))*$C$35:$C$49)),"")</f>
        <v/>
      </c>
      <c r="L134" s="14">
        <f>IF(H134&lt;&gt;"",ROUND(L133-K134,2),"")</f>
        <v/>
      </c>
      <c r="M134" s="10">
        <f>IF(H134&lt;&gt;"",MIN(MonthlyPmt,L133+J134),"")</f>
        <v/>
      </c>
      <c r="N134" s="10">
        <f>IF(H134&lt;&gt;"",N133+K134,"")</f>
        <v/>
      </c>
      <c r="O134" s="10">
        <f>IF(H134&lt;&gt;"",O133+J134,"")</f>
        <v/>
      </c>
    </row>
    <row r="135">
      <c r="H135" s="7">
        <f>IF(AND(L134&gt;0.005,H134&lt;&gt;""),133,"")</f>
        <v/>
      </c>
      <c r="I135" s="8">
        <f>IF(H135&lt;&gt;"",EDATE(StartDate,132),"")</f>
        <v/>
      </c>
      <c r="J135" s="9">
        <f>IF(H135&lt;&gt;"",ROUND(L134*AnnualRate/12,2),"")</f>
        <v/>
      </c>
      <c r="K135" s="9">
        <f>IF(H135&lt;&gt;"",MIN(L134,(M135-J135)+SUMPRODUCT(($B$22:$B$31&lt;&gt;"")*($B$22:$B$31&lt;=I135)*(($C$22:$C$31="")+($C$22:$C$31&lt;&gt;"")*($C$22:$C$31&gt;=I135))*($E$22:$E$31="Monthly")*$D$22:$D$31)+SUMPRODUCT(($B$22:$B$31&lt;&gt;"")*($B$22:$B$31&lt;=I135)*(($C$22:$C$31="")+($C$22:$C$31&lt;&gt;"")*($C$22:$C$31&gt;=I135))*($E$22:$E$31="Annual")*(MONTH($B$22:$B$31)=MONTH(I135))*$D$22:$D$31)+SUMPRODUCT(($B$35:$B$49&lt;&gt;"")*(YEAR($B$35:$B$49)=YEAR(I135))*(MONTH($B$35:$B$49)=MONTH(I135))*$C$35:$C$49)),"")</f>
        <v/>
      </c>
      <c r="L135" s="9">
        <f>IF(H135&lt;&gt;"",ROUND(L134-K135,2),"")</f>
        <v/>
      </c>
      <c r="M135" s="10">
        <f>IF(H135&lt;&gt;"",MIN(MonthlyPmt,L134+J135),"")</f>
        <v/>
      </c>
      <c r="N135" s="10">
        <f>IF(H135&lt;&gt;"",N134+K135,"")</f>
        <v/>
      </c>
      <c r="O135" s="10">
        <f>IF(H135&lt;&gt;"",O134+J135,"")</f>
        <v/>
      </c>
    </row>
    <row r="136">
      <c r="H136" s="12">
        <f>IF(AND(L135&gt;0.005,H135&lt;&gt;""),134,"")</f>
        <v/>
      </c>
      <c r="I136" s="13">
        <f>IF(H136&lt;&gt;"",EDATE(StartDate,133),"")</f>
        <v/>
      </c>
      <c r="J136" s="14">
        <f>IF(H136&lt;&gt;"",ROUND(L135*AnnualRate/12,2),"")</f>
        <v/>
      </c>
      <c r="K136" s="14">
        <f>IF(H136&lt;&gt;"",MIN(L135,(M136-J136)+SUMPRODUCT(($B$22:$B$31&lt;&gt;"")*($B$22:$B$31&lt;=I136)*(($C$22:$C$31="")+($C$22:$C$31&lt;&gt;"")*($C$22:$C$31&gt;=I136))*($E$22:$E$31="Monthly")*$D$22:$D$31)+SUMPRODUCT(($B$22:$B$31&lt;&gt;"")*($B$22:$B$31&lt;=I136)*(($C$22:$C$31="")+($C$22:$C$31&lt;&gt;"")*($C$22:$C$31&gt;=I136))*($E$22:$E$31="Annual")*(MONTH($B$22:$B$31)=MONTH(I136))*$D$22:$D$31)+SUMPRODUCT(($B$35:$B$49&lt;&gt;"")*(YEAR($B$35:$B$49)=YEAR(I136))*(MONTH($B$35:$B$49)=MONTH(I136))*$C$35:$C$49)),"")</f>
        <v/>
      </c>
      <c r="L136" s="14">
        <f>IF(H136&lt;&gt;"",ROUND(L135-K136,2),"")</f>
        <v/>
      </c>
      <c r="M136" s="10">
        <f>IF(H136&lt;&gt;"",MIN(MonthlyPmt,L135+J136),"")</f>
        <v/>
      </c>
      <c r="N136" s="10">
        <f>IF(H136&lt;&gt;"",N135+K136,"")</f>
        <v/>
      </c>
      <c r="O136" s="10">
        <f>IF(H136&lt;&gt;"",O135+J136,"")</f>
        <v/>
      </c>
    </row>
    <row r="137">
      <c r="H137" s="7">
        <f>IF(AND(L136&gt;0.005,H136&lt;&gt;""),135,"")</f>
        <v/>
      </c>
      <c r="I137" s="8">
        <f>IF(H137&lt;&gt;"",EDATE(StartDate,134),"")</f>
        <v/>
      </c>
      <c r="J137" s="9">
        <f>IF(H137&lt;&gt;"",ROUND(L136*AnnualRate/12,2),"")</f>
        <v/>
      </c>
      <c r="K137" s="9">
        <f>IF(H137&lt;&gt;"",MIN(L136,(M137-J137)+SUMPRODUCT(($B$22:$B$31&lt;&gt;"")*($B$22:$B$31&lt;=I137)*(($C$22:$C$31="")+($C$22:$C$31&lt;&gt;"")*($C$22:$C$31&gt;=I137))*($E$22:$E$31="Monthly")*$D$22:$D$31)+SUMPRODUCT(($B$22:$B$31&lt;&gt;"")*($B$22:$B$31&lt;=I137)*(($C$22:$C$31="")+($C$22:$C$31&lt;&gt;"")*($C$22:$C$31&gt;=I137))*($E$22:$E$31="Annual")*(MONTH($B$22:$B$31)=MONTH(I137))*$D$22:$D$31)+SUMPRODUCT(($B$35:$B$49&lt;&gt;"")*(YEAR($B$35:$B$49)=YEAR(I137))*(MONTH($B$35:$B$49)=MONTH(I137))*$C$35:$C$49)),"")</f>
        <v/>
      </c>
      <c r="L137" s="9">
        <f>IF(H137&lt;&gt;"",ROUND(L136-K137,2),"")</f>
        <v/>
      </c>
      <c r="M137" s="10">
        <f>IF(H137&lt;&gt;"",MIN(MonthlyPmt,L136+J137),"")</f>
        <v/>
      </c>
      <c r="N137" s="10">
        <f>IF(H137&lt;&gt;"",N136+K137,"")</f>
        <v/>
      </c>
      <c r="O137" s="10">
        <f>IF(H137&lt;&gt;"",O136+J137,"")</f>
        <v/>
      </c>
    </row>
    <row r="138">
      <c r="H138" s="12">
        <f>IF(AND(L137&gt;0.005,H137&lt;&gt;""),136,"")</f>
        <v/>
      </c>
      <c r="I138" s="13">
        <f>IF(H138&lt;&gt;"",EDATE(StartDate,135),"")</f>
        <v/>
      </c>
      <c r="J138" s="14">
        <f>IF(H138&lt;&gt;"",ROUND(L137*AnnualRate/12,2),"")</f>
        <v/>
      </c>
      <c r="K138" s="14">
        <f>IF(H138&lt;&gt;"",MIN(L137,(M138-J138)+SUMPRODUCT(($B$22:$B$31&lt;&gt;"")*($B$22:$B$31&lt;=I138)*(($C$22:$C$31="")+($C$22:$C$31&lt;&gt;"")*($C$22:$C$31&gt;=I138))*($E$22:$E$31="Monthly")*$D$22:$D$31)+SUMPRODUCT(($B$22:$B$31&lt;&gt;"")*($B$22:$B$31&lt;=I138)*(($C$22:$C$31="")+($C$22:$C$31&lt;&gt;"")*($C$22:$C$31&gt;=I138))*($E$22:$E$31="Annual")*(MONTH($B$22:$B$31)=MONTH(I138))*$D$22:$D$31)+SUMPRODUCT(($B$35:$B$49&lt;&gt;"")*(YEAR($B$35:$B$49)=YEAR(I138))*(MONTH($B$35:$B$49)=MONTH(I138))*$C$35:$C$49)),"")</f>
        <v/>
      </c>
      <c r="L138" s="14">
        <f>IF(H138&lt;&gt;"",ROUND(L137-K138,2),"")</f>
        <v/>
      </c>
      <c r="M138" s="10">
        <f>IF(H138&lt;&gt;"",MIN(MonthlyPmt,L137+J138),"")</f>
        <v/>
      </c>
      <c r="N138" s="10">
        <f>IF(H138&lt;&gt;"",N137+K138,"")</f>
        <v/>
      </c>
      <c r="O138" s="10">
        <f>IF(H138&lt;&gt;"",O137+J138,"")</f>
        <v/>
      </c>
    </row>
    <row r="139">
      <c r="H139" s="7">
        <f>IF(AND(L138&gt;0.005,H138&lt;&gt;""),137,"")</f>
        <v/>
      </c>
      <c r="I139" s="8">
        <f>IF(H139&lt;&gt;"",EDATE(StartDate,136),"")</f>
        <v/>
      </c>
      <c r="J139" s="9">
        <f>IF(H139&lt;&gt;"",ROUND(L138*AnnualRate/12,2),"")</f>
        <v/>
      </c>
      <c r="K139" s="9">
        <f>IF(H139&lt;&gt;"",MIN(L138,(M139-J139)+SUMPRODUCT(($B$22:$B$31&lt;&gt;"")*($B$22:$B$31&lt;=I139)*(($C$22:$C$31="")+($C$22:$C$31&lt;&gt;"")*($C$22:$C$31&gt;=I139))*($E$22:$E$31="Monthly")*$D$22:$D$31)+SUMPRODUCT(($B$22:$B$31&lt;&gt;"")*($B$22:$B$31&lt;=I139)*(($C$22:$C$31="")+($C$22:$C$31&lt;&gt;"")*($C$22:$C$31&gt;=I139))*($E$22:$E$31="Annual")*(MONTH($B$22:$B$31)=MONTH(I139))*$D$22:$D$31)+SUMPRODUCT(($B$35:$B$49&lt;&gt;"")*(YEAR($B$35:$B$49)=YEAR(I139))*(MONTH($B$35:$B$49)=MONTH(I139))*$C$35:$C$49)),"")</f>
        <v/>
      </c>
      <c r="L139" s="9">
        <f>IF(H139&lt;&gt;"",ROUND(L138-K139,2),"")</f>
        <v/>
      </c>
      <c r="M139" s="10">
        <f>IF(H139&lt;&gt;"",MIN(MonthlyPmt,L138+J139),"")</f>
        <v/>
      </c>
      <c r="N139" s="10">
        <f>IF(H139&lt;&gt;"",N138+K139,"")</f>
        <v/>
      </c>
      <c r="O139" s="10">
        <f>IF(H139&lt;&gt;"",O138+J139,"")</f>
        <v/>
      </c>
    </row>
    <row r="140">
      <c r="H140" s="12">
        <f>IF(AND(L139&gt;0.005,H139&lt;&gt;""),138,"")</f>
        <v/>
      </c>
      <c r="I140" s="13">
        <f>IF(H140&lt;&gt;"",EDATE(StartDate,137),"")</f>
        <v/>
      </c>
      <c r="J140" s="14">
        <f>IF(H140&lt;&gt;"",ROUND(L139*AnnualRate/12,2),"")</f>
        <v/>
      </c>
      <c r="K140" s="14">
        <f>IF(H140&lt;&gt;"",MIN(L139,(M140-J140)+SUMPRODUCT(($B$22:$B$31&lt;&gt;"")*($B$22:$B$31&lt;=I140)*(($C$22:$C$31="")+($C$22:$C$31&lt;&gt;"")*($C$22:$C$31&gt;=I140))*($E$22:$E$31="Monthly")*$D$22:$D$31)+SUMPRODUCT(($B$22:$B$31&lt;&gt;"")*($B$22:$B$31&lt;=I140)*(($C$22:$C$31="")+($C$22:$C$31&lt;&gt;"")*($C$22:$C$31&gt;=I140))*($E$22:$E$31="Annual")*(MONTH($B$22:$B$31)=MONTH(I140))*$D$22:$D$31)+SUMPRODUCT(($B$35:$B$49&lt;&gt;"")*(YEAR($B$35:$B$49)=YEAR(I140))*(MONTH($B$35:$B$49)=MONTH(I140))*$C$35:$C$49)),"")</f>
        <v/>
      </c>
      <c r="L140" s="14">
        <f>IF(H140&lt;&gt;"",ROUND(L139-K140,2),"")</f>
        <v/>
      </c>
      <c r="M140" s="10">
        <f>IF(H140&lt;&gt;"",MIN(MonthlyPmt,L139+J140),"")</f>
        <v/>
      </c>
      <c r="N140" s="10">
        <f>IF(H140&lt;&gt;"",N139+K140,"")</f>
        <v/>
      </c>
      <c r="O140" s="10">
        <f>IF(H140&lt;&gt;"",O139+J140,"")</f>
        <v/>
      </c>
    </row>
    <row r="141">
      <c r="H141" s="7">
        <f>IF(AND(L140&gt;0.005,H140&lt;&gt;""),139,"")</f>
        <v/>
      </c>
      <c r="I141" s="8">
        <f>IF(H141&lt;&gt;"",EDATE(StartDate,138),"")</f>
        <v/>
      </c>
      <c r="J141" s="9">
        <f>IF(H141&lt;&gt;"",ROUND(L140*AnnualRate/12,2),"")</f>
        <v/>
      </c>
      <c r="K141" s="9">
        <f>IF(H141&lt;&gt;"",MIN(L140,(M141-J141)+SUMPRODUCT(($B$22:$B$31&lt;&gt;"")*($B$22:$B$31&lt;=I141)*(($C$22:$C$31="")+($C$22:$C$31&lt;&gt;"")*($C$22:$C$31&gt;=I141))*($E$22:$E$31="Monthly")*$D$22:$D$31)+SUMPRODUCT(($B$22:$B$31&lt;&gt;"")*($B$22:$B$31&lt;=I141)*(($C$22:$C$31="")+($C$22:$C$31&lt;&gt;"")*($C$22:$C$31&gt;=I141))*($E$22:$E$31="Annual")*(MONTH($B$22:$B$31)=MONTH(I141))*$D$22:$D$31)+SUMPRODUCT(($B$35:$B$49&lt;&gt;"")*(YEAR($B$35:$B$49)=YEAR(I141))*(MONTH($B$35:$B$49)=MONTH(I141))*$C$35:$C$49)),"")</f>
        <v/>
      </c>
      <c r="L141" s="9">
        <f>IF(H141&lt;&gt;"",ROUND(L140-K141,2),"")</f>
        <v/>
      </c>
      <c r="M141" s="10">
        <f>IF(H141&lt;&gt;"",MIN(MonthlyPmt,L140+J141),"")</f>
        <v/>
      </c>
      <c r="N141" s="10">
        <f>IF(H141&lt;&gt;"",N140+K141,"")</f>
        <v/>
      </c>
      <c r="O141" s="10">
        <f>IF(H141&lt;&gt;"",O140+J141,"")</f>
        <v/>
      </c>
    </row>
    <row r="142">
      <c r="H142" s="12">
        <f>IF(AND(L141&gt;0.005,H141&lt;&gt;""),140,"")</f>
        <v/>
      </c>
      <c r="I142" s="13">
        <f>IF(H142&lt;&gt;"",EDATE(StartDate,139),"")</f>
        <v/>
      </c>
      <c r="J142" s="14">
        <f>IF(H142&lt;&gt;"",ROUND(L141*AnnualRate/12,2),"")</f>
        <v/>
      </c>
      <c r="K142" s="14">
        <f>IF(H142&lt;&gt;"",MIN(L141,(M142-J142)+SUMPRODUCT(($B$22:$B$31&lt;&gt;"")*($B$22:$B$31&lt;=I142)*(($C$22:$C$31="")+($C$22:$C$31&lt;&gt;"")*($C$22:$C$31&gt;=I142))*($E$22:$E$31="Monthly")*$D$22:$D$31)+SUMPRODUCT(($B$22:$B$31&lt;&gt;"")*($B$22:$B$31&lt;=I142)*(($C$22:$C$31="")+($C$22:$C$31&lt;&gt;"")*($C$22:$C$31&gt;=I142))*($E$22:$E$31="Annual")*(MONTH($B$22:$B$31)=MONTH(I142))*$D$22:$D$31)+SUMPRODUCT(($B$35:$B$49&lt;&gt;"")*(YEAR($B$35:$B$49)=YEAR(I142))*(MONTH($B$35:$B$49)=MONTH(I142))*$C$35:$C$49)),"")</f>
        <v/>
      </c>
      <c r="L142" s="14">
        <f>IF(H142&lt;&gt;"",ROUND(L141-K142,2),"")</f>
        <v/>
      </c>
      <c r="M142" s="10">
        <f>IF(H142&lt;&gt;"",MIN(MonthlyPmt,L141+J142),"")</f>
        <v/>
      </c>
      <c r="N142" s="10">
        <f>IF(H142&lt;&gt;"",N141+K142,"")</f>
        <v/>
      </c>
      <c r="O142" s="10">
        <f>IF(H142&lt;&gt;"",O141+J142,"")</f>
        <v/>
      </c>
    </row>
    <row r="143">
      <c r="H143" s="7">
        <f>IF(AND(L142&gt;0.005,H142&lt;&gt;""),141,"")</f>
        <v/>
      </c>
      <c r="I143" s="8">
        <f>IF(H143&lt;&gt;"",EDATE(StartDate,140),"")</f>
        <v/>
      </c>
      <c r="J143" s="9">
        <f>IF(H143&lt;&gt;"",ROUND(L142*AnnualRate/12,2),"")</f>
        <v/>
      </c>
      <c r="K143" s="9">
        <f>IF(H143&lt;&gt;"",MIN(L142,(M143-J143)+SUMPRODUCT(($B$22:$B$31&lt;&gt;"")*($B$22:$B$31&lt;=I143)*(($C$22:$C$31="")+($C$22:$C$31&lt;&gt;"")*($C$22:$C$31&gt;=I143))*($E$22:$E$31="Monthly")*$D$22:$D$31)+SUMPRODUCT(($B$22:$B$31&lt;&gt;"")*($B$22:$B$31&lt;=I143)*(($C$22:$C$31="")+($C$22:$C$31&lt;&gt;"")*($C$22:$C$31&gt;=I143))*($E$22:$E$31="Annual")*(MONTH($B$22:$B$31)=MONTH(I143))*$D$22:$D$31)+SUMPRODUCT(($B$35:$B$49&lt;&gt;"")*(YEAR($B$35:$B$49)=YEAR(I143))*(MONTH($B$35:$B$49)=MONTH(I143))*$C$35:$C$49)),"")</f>
        <v/>
      </c>
      <c r="L143" s="9">
        <f>IF(H143&lt;&gt;"",ROUND(L142-K143,2),"")</f>
        <v/>
      </c>
      <c r="M143" s="10">
        <f>IF(H143&lt;&gt;"",MIN(MonthlyPmt,L142+J143),"")</f>
        <v/>
      </c>
      <c r="N143" s="10">
        <f>IF(H143&lt;&gt;"",N142+K143,"")</f>
        <v/>
      </c>
      <c r="O143" s="10">
        <f>IF(H143&lt;&gt;"",O142+J143,"")</f>
        <v/>
      </c>
    </row>
    <row r="144">
      <c r="H144" s="12">
        <f>IF(AND(L143&gt;0.005,H143&lt;&gt;""),142,"")</f>
        <v/>
      </c>
      <c r="I144" s="13">
        <f>IF(H144&lt;&gt;"",EDATE(StartDate,141),"")</f>
        <v/>
      </c>
      <c r="J144" s="14">
        <f>IF(H144&lt;&gt;"",ROUND(L143*AnnualRate/12,2),"")</f>
        <v/>
      </c>
      <c r="K144" s="14">
        <f>IF(H144&lt;&gt;"",MIN(L143,(M144-J144)+SUMPRODUCT(($B$22:$B$31&lt;&gt;"")*($B$22:$B$31&lt;=I144)*(($C$22:$C$31="")+($C$22:$C$31&lt;&gt;"")*($C$22:$C$31&gt;=I144))*($E$22:$E$31="Monthly")*$D$22:$D$31)+SUMPRODUCT(($B$22:$B$31&lt;&gt;"")*($B$22:$B$31&lt;=I144)*(($C$22:$C$31="")+($C$22:$C$31&lt;&gt;"")*($C$22:$C$31&gt;=I144))*($E$22:$E$31="Annual")*(MONTH($B$22:$B$31)=MONTH(I144))*$D$22:$D$31)+SUMPRODUCT(($B$35:$B$49&lt;&gt;"")*(YEAR($B$35:$B$49)=YEAR(I144))*(MONTH($B$35:$B$49)=MONTH(I144))*$C$35:$C$49)),"")</f>
        <v/>
      </c>
      <c r="L144" s="14">
        <f>IF(H144&lt;&gt;"",ROUND(L143-K144,2),"")</f>
        <v/>
      </c>
      <c r="M144" s="10">
        <f>IF(H144&lt;&gt;"",MIN(MonthlyPmt,L143+J144),"")</f>
        <v/>
      </c>
      <c r="N144" s="10">
        <f>IF(H144&lt;&gt;"",N143+K144,"")</f>
        <v/>
      </c>
      <c r="O144" s="10">
        <f>IF(H144&lt;&gt;"",O143+J144,"")</f>
        <v/>
      </c>
    </row>
    <row r="145">
      <c r="H145" s="7">
        <f>IF(AND(L144&gt;0.005,H144&lt;&gt;""),143,"")</f>
        <v/>
      </c>
      <c r="I145" s="8">
        <f>IF(H145&lt;&gt;"",EDATE(StartDate,142),"")</f>
        <v/>
      </c>
      <c r="J145" s="9">
        <f>IF(H145&lt;&gt;"",ROUND(L144*AnnualRate/12,2),"")</f>
        <v/>
      </c>
      <c r="K145" s="9">
        <f>IF(H145&lt;&gt;"",MIN(L144,(M145-J145)+SUMPRODUCT(($B$22:$B$31&lt;&gt;"")*($B$22:$B$31&lt;=I145)*(($C$22:$C$31="")+($C$22:$C$31&lt;&gt;"")*($C$22:$C$31&gt;=I145))*($E$22:$E$31="Monthly")*$D$22:$D$31)+SUMPRODUCT(($B$22:$B$31&lt;&gt;"")*($B$22:$B$31&lt;=I145)*(($C$22:$C$31="")+($C$22:$C$31&lt;&gt;"")*($C$22:$C$31&gt;=I145))*($E$22:$E$31="Annual")*(MONTH($B$22:$B$31)=MONTH(I145))*$D$22:$D$31)+SUMPRODUCT(($B$35:$B$49&lt;&gt;"")*(YEAR($B$35:$B$49)=YEAR(I145))*(MONTH($B$35:$B$49)=MONTH(I145))*$C$35:$C$49)),"")</f>
        <v/>
      </c>
      <c r="L145" s="9">
        <f>IF(H145&lt;&gt;"",ROUND(L144-K145,2),"")</f>
        <v/>
      </c>
      <c r="M145" s="10">
        <f>IF(H145&lt;&gt;"",MIN(MonthlyPmt,L144+J145),"")</f>
        <v/>
      </c>
      <c r="N145" s="10">
        <f>IF(H145&lt;&gt;"",N144+K145,"")</f>
        <v/>
      </c>
      <c r="O145" s="10">
        <f>IF(H145&lt;&gt;"",O144+J145,"")</f>
        <v/>
      </c>
    </row>
    <row r="146">
      <c r="H146" s="12">
        <f>IF(AND(L145&gt;0.005,H145&lt;&gt;""),144,"")</f>
        <v/>
      </c>
      <c r="I146" s="13">
        <f>IF(H146&lt;&gt;"",EDATE(StartDate,143),"")</f>
        <v/>
      </c>
      <c r="J146" s="14">
        <f>IF(H146&lt;&gt;"",ROUND(L145*AnnualRate/12,2),"")</f>
        <v/>
      </c>
      <c r="K146" s="14">
        <f>IF(H146&lt;&gt;"",MIN(L145,(M146-J146)+SUMPRODUCT(($B$22:$B$31&lt;&gt;"")*($B$22:$B$31&lt;=I146)*(($C$22:$C$31="")+($C$22:$C$31&lt;&gt;"")*($C$22:$C$31&gt;=I146))*($E$22:$E$31="Monthly")*$D$22:$D$31)+SUMPRODUCT(($B$22:$B$31&lt;&gt;"")*($B$22:$B$31&lt;=I146)*(($C$22:$C$31="")+($C$22:$C$31&lt;&gt;"")*($C$22:$C$31&gt;=I146))*($E$22:$E$31="Annual")*(MONTH($B$22:$B$31)=MONTH(I146))*$D$22:$D$31)+SUMPRODUCT(($B$35:$B$49&lt;&gt;"")*(YEAR($B$35:$B$49)=YEAR(I146))*(MONTH($B$35:$B$49)=MONTH(I146))*$C$35:$C$49)),"")</f>
        <v/>
      </c>
      <c r="L146" s="14">
        <f>IF(H146&lt;&gt;"",ROUND(L145-K146,2),"")</f>
        <v/>
      </c>
      <c r="M146" s="10">
        <f>IF(H146&lt;&gt;"",MIN(MonthlyPmt,L145+J146),"")</f>
        <v/>
      </c>
      <c r="N146" s="10">
        <f>IF(H146&lt;&gt;"",N145+K146,"")</f>
        <v/>
      </c>
      <c r="O146" s="10">
        <f>IF(H146&lt;&gt;"",O145+J146,"")</f>
        <v/>
      </c>
    </row>
    <row r="147">
      <c r="H147" s="7">
        <f>IF(AND(L146&gt;0.005,H146&lt;&gt;""),145,"")</f>
        <v/>
      </c>
      <c r="I147" s="8">
        <f>IF(H147&lt;&gt;"",EDATE(StartDate,144),"")</f>
        <v/>
      </c>
      <c r="J147" s="9">
        <f>IF(H147&lt;&gt;"",ROUND(L146*AnnualRate/12,2),"")</f>
        <v/>
      </c>
      <c r="K147" s="9">
        <f>IF(H147&lt;&gt;"",MIN(L146,(M147-J147)+SUMPRODUCT(($B$22:$B$31&lt;&gt;"")*($B$22:$B$31&lt;=I147)*(($C$22:$C$31="")+($C$22:$C$31&lt;&gt;"")*($C$22:$C$31&gt;=I147))*($E$22:$E$31="Monthly")*$D$22:$D$31)+SUMPRODUCT(($B$22:$B$31&lt;&gt;"")*($B$22:$B$31&lt;=I147)*(($C$22:$C$31="")+($C$22:$C$31&lt;&gt;"")*($C$22:$C$31&gt;=I147))*($E$22:$E$31="Annual")*(MONTH($B$22:$B$31)=MONTH(I147))*$D$22:$D$31)+SUMPRODUCT(($B$35:$B$49&lt;&gt;"")*(YEAR($B$35:$B$49)=YEAR(I147))*(MONTH($B$35:$B$49)=MONTH(I147))*$C$35:$C$49)),"")</f>
        <v/>
      </c>
      <c r="L147" s="9">
        <f>IF(H147&lt;&gt;"",ROUND(L146-K147,2),"")</f>
        <v/>
      </c>
      <c r="M147" s="10">
        <f>IF(H147&lt;&gt;"",MIN(MonthlyPmt,L146+J147),"")</f>
        <v/>
      </c>
      <c r="N147" s="10">
        <f>IF(H147&lt;&gt;"",N146+K147,"")</f>
        <v/>
      </c>
      <c r="O147" s="10">
        <f>IF(H147&lt;&gt;"",O146+J147,"")</f>
        <v/>
      </c>
    </row>
    <row r="148">
      <c r="H148" s="12">
        <f>IF(AND(L147&gt;0.005,H147&lt;&gt;""),146,"")</f>
        <v/>
      </c>
      <c r="I148" s="13">
        <f>IF(H148&lt;&gt;"",EDATE(StartDate,145),"")</f>
        <v/>
      </c>
      <c r="J148" s="14">
        <f>IF(H148&lt;&gt;"",ROUND(L147*AnnualRate/12,2),"")</f>
        <v/>
      </c>
      <c r="K148" s="14">
        <f>IF(H148&lt;&gt;"",MIN(L147,(M148-J148)+SUMPRODUCT(($B$22:$B$31&lt;&gt;"")*($B$22:$B$31&lt;=I148)*(($C$22:$C$31="")+($C$22:$C$31&lt;&gt;"")*($C$22:$C$31&gt;=I148))*($E$22:$E$31="Monthly")*$D$22:$D$31)+SUMPRODUCT(($B$22:$B$31&lt;&gt;"")*($B$22:$B$31&lt;=I148)*(($C$22:$C$31="")+($C$22:$C$31&lt;&gt;"")*($C$22:$C$31&gt;=I148))*($E$22:$E$31="Annual")*(MONTH($B$22:$B$31)=MONTH(I148))*$D$22:$D$31)+SUMPRODUCT(($B$35:$B$49&lt;&gt;"")*(YEAR($B$35:$B$49)=YEAR(I148))*(MONTH($B$35:$B$49)=MONTH(I148))*$C$35:$C$49)),"")</f>
        <v/>
      </c>
      <c r="L148" s="14">
        <f>IF(H148&lt;&gt;"",ROUND(L147-K148,2),"")</f>
        <v/>
      </c>
      <c r="M148" s="10">
        <f>IF(H148&lt;&gt;"",MIN(MonthlyPmt,L147+J148),"")</f>
        <v/>
      </c>
      <c r="N148" s="10">
        <f>IF(H148&lt;&gt;"",N147+K148,"")</f>
        <v/>
      </c>
      <c r="O148" s="10">
        <f>IF(H148&lt;&gt;"",O147+J148,"")</f>
        <v/>
      </c>
    </row>
    <row r="149">
      <c r="H149" s="7">
        <f>IF(AND(L148&gt;0.005,H148&lt;&gt;""),147,"")</f>
        <v/>
      </c>
      <c r="I149" s="8">
        <f>IF(H149&lt;&gt;"",EDATE(StartDate,146),"")</f>
        <v/>
      </c>
      <c r="J149" s="9">
        <f>IF(H149&lt;&gt;"",ROUND(L148*AnnualRate/12,2),"")</f>
        <v/>
      </c>
      <c r="K149" s="9">
        <f>IF(H149&lt;&gt;"",MIN(L148,(M149-J149)+SUMPRODUCT(($B$22:$B$31&lt;&gt;"")*($B$22:$B$31&lt;=I149)*(($C$22:$C$31="")+($C$22:$C$31&lt;&gt;"")*($C$22:$C$31&gt;=I149))*($E$22:$E$31="Monthly")*$D$22:$D$31)+SUMPRODUCT(($B$22:$B$31&lt;&gt;"")*($B$22:$B$31&lt;=I149)*(($C$22:$C$31="")+($C$22:$C$31&lt;&gt;"")*($C$22:$C$31&gt;=I149))*($E$22:$E$31="Annual")*(MONTH($B$22:$B$31)=MONTH(I149))*$D$22:$D$31)+SUMPRODUCT(($B$35:$B$49&lt;&gt;"")*(YEAR($B$35:$B$49)=YEAR(I149))*(MONTH($B$35:$B$49)=MONTH(I149))*$C$35:$C$49)),"")</f>
        <v/>
      </c>
      <c r="L149" s="9">
        <f>IF(H149&lt;&gt;"",ROUND(L148-K149,2),"")</f>
        <v/>
      </c>
      <c r="M149" s="10">
        <f>IF(H149&lt;&gt;"",MIN(MonthlyPmt,L148+J149),"")</f>
        <v/>
      </c>
      <c r="N149" s="10">
        <f>IF(H149&lt;&gt;"",N148+K149,"")</f>
        <v/>
      </c>
      <c r="O149" s="10">
        <f>IF(H149&lt;&gt;"",O148+J149,"")</f>
        <v/>
      </c>
    </row>
    <row r="150">
      <c r="H150" s="12">
        <f>IF(AND(L149&gt;0.005,H149&lt;&gt;""),148,"")</f>
        <v/>
      </c>
      <c r="I150" s="13">
        <f>IF(H150&lt;&gt;"",EDATE(StartDate,147),"")</f>
        <v/>
      </c>
      <c r="J150" s="14">
        <f>IF(H150&lt;&gt;"",ROUND(L149*AnnualRate/12,2),"")</f>
        <v/>
      </c>
      <c r="K150" s="14">
        <f>IF(H150&lt;&gt;"",MIN(L149,(M150-J150)+SUMPRODUCT(($B$22:$B$31&lt;&gt;"")*($B$22:$B$31&lt;=I150)*(($C$22:$C$31="")+($C$22:$C$31&lt;&gt;"")*($C$22:$C$31&gt;=I150))*($E$22:$E$31="Monthly")*$D$22:$D$31)+SUMPRODUCT(($B$22:$B$31&lt;&gt;"")*($B$22:$B$31&lt;=I150)*(($C$22:$C$31="")+($C$22:$C$31&lt;&gt;"")*($C$22:$C$31&gt;=I150))*($E$22:$E$31="Annual")*(MONTH($B$22:$B$31)=MONTH(I150))*$D$22:$D$31)+SUMPRODUCT(($B$35:$B$49&lt;&gt;"")*(YEAR($B$35:$B$49)=YEAR(I150))*(MONTH($B$35:$B$49)=MONTH(I150))*$C$35:$C$49)),"")</f>
        <v/>
      </c>
      <c r="L150" s="14">
        <f>IF(H150&lt;&gt;"",ROUND(L149-K150,2),"")</f>
        <v/>
      </c>
      <c r="M150" s="10">
        <f>IF(H150&lt;&gt;"",MIN(MonthlyPmt,L149+J150),"")</f>
        <v/>
      </c>
      <c r="N150" s="10">
        <f>IF(H150&lt;&gt;"",N149+K150,"")</f>
        <v/>
      </c>
      <c r="O150" s="10">
        <f>IF(H150&lt;&gt;"",O149+J150,"")</f>
        <v/>
      </c>
    </row>
    <row r="151">
      <c r="H151" s="7">
        <f>IF(AND(L150&gt;0.005,H150&lt;&gt;""),149,"")</f>
        <v/>
      </c>
      <c r="I151" s="8">
        <f>IF(H151&lt;&gt;"",EDATE(StartDate,148),"")</f>
        <v/>
      </c>
      <c r="J151" s="9">
        <f>IF(H151&lt;&gt;"",ROUND(L150*AnnualRate/12,2),"")</f>
        <v/>
      </c>
      <c r="K151" s="9">
        <f>IF(H151&lt;&gt;"",MIN(L150,(M151-J151)+SUMPRODUCT(($B$22:$B$31&lt;&gt;"")*($B$22:$B$31&lt;=I151)*(($C$22:$C$31="")+($C$22:$C$31&lt;&gt;"")*($C$22:$C$31&gt;=I151))*($E$22:$E$31="Monthly")*$D$22:$D$31)+SUMPRODUCT(($B$22:$B$31&lt;&gt;"")*($B$22:$B$31&lt;=I151)*(($C$22:$C$31="")+($C$22:$C$31&lt;&gt;"")*($C$22:$C$31&gt;=I151))*($E$22:$E$31="Annual")*(MONTH($B$22:$B$31)=MONTH(I151))*$D$22:$D$31)+SUMPRODUCT(($B$35:$B$49&lt;&gt;"")*(YEAR($B$35:$B$49)=YEAR(I151))*(MONTH($B$35:$B$49)=MONTH(I151))*$C$35:$C$49)),"")</f>
        <v/>
      </c>
      <c r="L151" s="9">
        <f>IF(H151&lt;&gt;"",ROUND(L150-K151,2),"")</f>
        <v/>
      </c>
      <c r="M151" s="10">
        <f>IF(H151&lt;&gt;"",MIN(MonthlyPmt,L150+J151),"")</f>
        <v/>
      </c>
      <c r="N151" s="10">
        <f>IF(H151&lt;&gt;"",N150+K151,"")</f>
        <v/>
      </c>
      <c r="O151" s="10">
        <f>IF(H151&lt;&gt;"",O150+J151,"")</f>
        <v/>
      </c>
    </row>
    <row r="152">
      <c r="H152" s="12">
        <f>IF(AND(L151&gt;0.005,H151&lt;&gt;""),150,"")</f>
        <v/>
      </c>
      <c r="I152" s="13">
        <f>IF(H152&lt;&gt;"",EDATE(StartDate,149),"")</f>
        <v/>
      </c>
      <c r="J152" s="14">
        <f>IF(H152&lt;&gt;"",ROUND(L151*AnnualRate/12,2),"")</f>
        <v/>
      </c>
      <c r="K152" s="14">
        <f>IF(H152&lt;&gt;"",MIN(L151,(M152-J152)+SUMPRODUCT(($B$22:$B$31&lt;&gt;"")*($B$22:$B$31&lt;=I152)*(($C$22:$C$31="")+($C$22:$C$31&lt;&gt;"")*($C$22:$C$31&gt;=I152))*($E$22:$E$31="Monthly")*$D$22:$D$31)+SUMPRODUCT(($B$22:$B$31&lt;&gt;"")*($B$22:$B$31&lt;=I152)*(($C$22:$C$31="")+($C$22:$C$31&lt;&gt;"")*($C$22:$C$31&gt;=I152))*($E$22:$E$31="Annual")*(MONTH($B$22:$B$31)=MONTH(I152))*$D$22:$D$31)+SUMPRODUCT(($B$35:$B$49&lt;&gt;"")*(YEAR($B$35:$B$49)=YEAR(I152))*(MONTH($B$35:$B$49)=MONTH(I152))*$C$35:$C$49)),"")</f>
        <v/>
      </c>
      <c r="L152" s="14">
        <f>IF(H152&lt;&gt;"",ROUND(L151-K152,2),"")</f>
        <v/>
      </c>
      <c r="M152" s="10">
        <f>IF(H152&lt;&gt;"",MIN(MonthlyPmt,L151+J152),"")</f>
        <v/>
      </c>
      <c r="N152" s="10">
        <f>IF(H152&lt;&gt;"",N151+K152,"")</f>
        <v/>
      </c>
      <c r="O152" s="10">
        <f>IF(H152&lt;&gt;"",O151+J152,"")</f>
        <v/>
      </c>
    </row>
    <row r="153">
      <c r="H153" s="7">
        <f>IF(AND(L152&gt;0.005,H152&lt;&gt;""),151,"")</f>
        <v/>
      </c>
      <c r="I153" s="8">
        <f>IF(H153&lt;&gt;"",EDATE(StartDate,150),"")</f>
        <v/>
      </c>
      <c r="J153" s="9">
        <f>IF(H153&lt;&gt;"",ROUND(L152*AnnualRate/12,2),"")</f>
        <v/>
      </c>
      <c r="K153" s="9">
        <f>IF(H153&lt;&gt;"",MIN(L152,(M153-J153)+SUMPRODUCT(($B$22:$B$31&lt;&gt;"")*($B$22:$B$31&lt;=I153)*(($C$22:$C$31="")+($C$22:$C$31&lt;&gt;"")*($C$22:$C$31&gt;=I153))*($E$22:$E$31="Monthly")*$D$22:$D$31)+SUMPRODUCT(($B$22:$B$31&lt;&gt;"")*($B$22:$B$31&lt;=I153)*(($C$22:$C$31="")+($C$22:$C$31&lt;&gt;"")*($C$22:$C$31&gt;=I153))*($E$22:$E$31="Annual")*(MONTH($B$22:$B$31)=MONTH(I153))*$D$22:$D$31)+SUMPRODUCT(($B$35:$B$49&lt;&gt;"")*(YEAR($B$35:$B$49)=YEAR(I153))*(MONTH($B$35:$B$49)=MONTH(I153))*$C$35:$C$49)),"")</f>
        <v/>
      </c>
      <c r="L153" s="9">
        <f>IF(H153&lt;&gt;"",ROUND(L152-K153,2),"")</f>
        <v/>
      </c>
      <c r="M153" s="10">
        <f>IF(H153&lt;&gt;"",MIN(MonthlyPmt,L152+J153),"")</f>
        <v/>
      </c>
      <c r="N153" s="10">
        <f>IF(H153&lt;&gt;"",N152+K153,"")</f>
        <v/>
      </c>
      <c r="O153" s="10">
        <f>IF(H153&lt;&gt;"",O152+J153,"")</f>
        <v/>
      </c>
    </row>
    <row r="154">
      <c r="H154" s="12">
        <f>IF(AND(L153&gt;0.005,H153&lt;&gt;""),152,"")</f>
        <v/>
      </c>
      <c r="I154" s="13">
        <f>IF(H154&lt;&gt;"",EDATE(StartDate,151),"")</f>
        <v/>
      </c>
      <c r="J154" s="14">
        <f>IF(H154&lt;&gt;"",ROUND(L153*AnnualRate/12,2),"")</f>
        <v/>
      </c>
      <c r="K154" s="14">
        <f>IF(H154&lt;&gt;"",MIN(L153,(M154-J154)+SUMPRODUCT(($B$22:$B$31&lt;&gt;"")*($B$22:$B$31&lt;=I154)*(($C$22:$C$31="")+($C$22:$C$31&lt;&gt;"")*($C$22:$C$31&gt;=I154))*($E$22:$E$31="Monthly")*$D$22:$D$31)+SUMPRODUCT(($B$22:$B$31&lt;&gt;"")*($B$22:$B$31&lt;=I154)*(($C$22:$C$31="")+($C$22:$C$31&lt;&gt;"")*($C$22:$C$31&gt;=I154))*($E$22:$E$31="Annual")*(MONTH($B$22:$B$31)=MONTH(I154))*$D$22:$D$31)+SUMPRODUCT(($B$35:$B$49&lt;&gt;"")*(YEAR($B$35:$B$49)=YEAR(I154))*(MONTH($B$35:$B$49)=MONTH(I154))*$C$35:$C$49)),"")</f>
        <v/>
      </c>
      <c r="L154" s="14">
        <f>IF(H154&lt;&gt;"",ROUND(L153-K154,2),"")</f>
        <v/>
      </c>
      <c r="M154" s="10">
        <f>IF(H154&lt;&gt;"",MIN(MonthlyPmt,L153+J154),"")</f>
        <v/>
      </c>
      <c r="N154" s="10">
        <f>IF(H154&lt;&gt;"",N153+K154,"")</f>
        <v/>
      </c>
      <c r="O154" s="10">
        <f>IF(H154&lt;&gt;"",O153+J154,"")</f>
        <v/>
      </c>
    </row>
    <row r="155">
      <c r="H155" s="7">
        <f>IF(AND(L154&gt;0.005,H154&lt;&gt;""),153,"")</f>
        <v/>
      </c>
      <c r="I155" s="8">
        <f>IF(H155&lt;&gt;"",EDATE(StartDate,152),"")</f>
        <v/>
      </c>
      <c r="J155" s="9">
        <f>IF(H155&lt;&gt;"",ROUND(L154*AnnualRate/12,2),"")</f>
        <v/>
      </c>
      <c r="K155" s="9">
        <f>IF(H155&lt;&gt;"",MIN(L154,(M155-J155)+SUMPRODUCT(($B$22:$B$31&lt;&gt;"")*($B$22:$B$31&lt;=I155)*(($C$22:$C$31="")+($C$22:$C$31&lt;&gt;"")*($C$22:$C$31&gt;=I155))*($E$22:$E$31="Monthly")*$D$22:$D$31)+SUMPRODUCT(($B$22:$B$31&lt;&gt;"")*($B$22:$B$31&lt;=I155)*(($C$22:$C$31="")+($C$22:$C$31&lt;&gt;"")*($C$22:$C$31&gt;=I155))*($E$22:$E$31="Annual")*(MONTH($B$22:$B$31)=MONTH(I155))*$D$22:$D$31)+SUMPRODUCT(($B$35:$B$49&lt;&gt;"")*(YEAR($B$35:$B$49)=YEAR(I155))*(MONTH($B$35:$B$49)=MONTH(I155))*$C$35:$C$49)),"")</f>
        <v/>
      </c>
      <c r="L155" s="9">
        <f>IF(H155&lt;&gt;"",ROUND(L154-K155,2),"")</f>
        <v/>
      </c>
      <c r="M155" s="10">
        <f>IF(H155&lt;&gt;"",MIN(MonthlyPmt,L154+J155),"")</f>
        <v/>
      </c>
      <c r="N155" s="10">
        <f>IF(H155&lt;&gt;"",N154+K155,"")</f>
        <v/>
      </c>
      <c r="O155" s="10">
        <f>IF(H155&lt;&gt;"",O154+J155,"")</f>
        <v/>
      </c>
    </row>
    <row r="156">
      <c r="H156" s="12">
        <f>IF(AND(L155&gt;0.005,H155&lt;&gt;""),154,"")</f>
        <v/>
      </c>
      <c r="I156" s="13">
        <f>IF(H156&lt;&gt;"",EDATE(StartDate,153),"")</f>
        <v/>
      </c>
      <c r="J156" s="14">
        <f>IF(H156&lt;&gt;"",ROUND(L155*AnnualRate/12,2),"")</f>
        <v/>
      </c>
      <c r="K156" s="14">
        <f>IF(H156&lt;&gt;"",MIN(L155,(M156-J156)+SUMPRODUCT(($B$22:$B$31&lt;&gt;"")*($B$22:$B$31&lt;=I156)*(($C$22:$C$31="")+($C$22:$C$31&lt;&gt;"")*($C$22:$C$31&gt;=I156))*($E$22:$E$31="Monthly")*$D$22:$D$31)+SUMPRODUCT(($B$22:$B$31&lt;&gt;"")*($B$22:$B$31&lt;=I156)*(($C$22:$C$31="")+($C$22:$C$31&lt;&gt;"")*($C$22:$C$31&gt;=I156))*($E$22:$E$31="Annual")*(MONTH($B$22:$B$31)=MONTH(I156))*$D$22:$D$31)+SUMPRODUCT(($B$35:$B$49&lt;&gt;"")*(YEAR($B$35:$B$49)=YEAR(I156))*(MONTH($B$35:$B$49)=MONTH(I156))*$C$35:$C$49)),"")</f>
        <v/>
      </c>
      <c r="L156" s="14">
        <f>IF(H156&lt;&gt;"",ROUND(L155-K156,2),"")</f>
        <v/>
      </c>
      <c r="M156" s="10">
        <f>IF(H156&lt;&gt;"",MIN(MonthlyPmt,L155+J156),"")</f>
        <v/>
      </c>
      <c r="N156" s="10">
        <f>IF(H156&lt;&gt;"",N155+K156,"")</f>
        <v/>
      </c>
      <c r="O156" s="10">
        <f>IF(H156&lt;&gt;"",O155+J156,"")</f>
        <v/>
      </c>
    </row>
    <row r="157">
      <c r="H157" s="7">
        <f>IF(AND(L156&gt;0.005,H156&lt;&gt;""),155,"")</f>
        <v/>
      </c>
      <c r="I157" s="8">
        <f>IF(H157&lt;&gt;"",EDATE(StartDate,154),"")</f>
        <v/>
      </c>
      <c r="J157" s="9">
        <f>IF(H157&lt;&gt;"",ROUND(L156*AnnualRate/12,2),"")</f>
        <v/>
      </c>
      <c r="K157" s="9">
        <f>IF(H157&lt;&gt;"",MIN(L156,(M157-J157)+SUMPRODUCT(($B$22:$B$31&lt;&gt;"")*($B$22:$B$31&lt;=I157)*(($C$22:$C$31="")+($C$22:$C$31&lt;&gt;"")*($C$22:$C$31&gt;=I157))*($E$22:$E$31="Monthly")*$D$22:$D$31)+SUMPRODUCT(($B$22:$B$31&lt;&gt;"")*($B$22:$B$31&lt;=I157)*(($C$22:$C$31="")+($C$22:$C$31&lt;&gt;"")*($C$22:$C$31&gt;=I157))*($E$22:$E$31="Annual")*(MONTH($B$22:$B$31)=MONTH(I157))*$D$22:$D$31)+SUMPRODUCT(($B$35:$B$49&lt;&gt;"")*(YEAR($B$35:$B$49)=YEAR(I157))*(MONTH($B$35:$B$49)=MONTH(I157))*$C$35:$C$49)),"")</f>
        <v/>
      </c>
      <c r="L157" s="9">
        <f>IF(H157&lt;&gt;"",ROUND(L156-K157,2),"")</f>
        <v/>
      </c>
      <c r="M157" s="10">
        <f>IF(H157&lt;&gt;"",MIN(MonthlyPmt,L156+J157),"")</f>
        <v/>
      </c>
      <c r="N157" s="10">
        <f>IF(H157&lt;&gt;"",N156+K157,"")</f>
        <v/>
      </c>
      <c r="O157" s="10">
        <f>IF(H157&lt;&gt;"",O156+J157,"")</f>
        <v/>
      </c>
    </row>
    <row r="158">
      <c r="H158" s="12">
        <f>IF(AND(L157&gt;0.005,H157&lt;&gt;""),156,"")</f>
        <v/>
      </c>
      <c r="I158" s="13">
        <f>IF(H158&lt;&gt;"",EDATE(StartDate,155),"")</f>
        <v/>
      </c>
      <c r="J158" s="14">
        <f>IF(H158&lt;&gt;"",ROUND(L157*AnnualRate/12,2),"")</f>
        <v/>
      </c>
      <c r="K158" s="14">
        <f>IF(H158&lt;&gt;"",MIN(L157,(M158-J158)+SUMPRODUCT(($B$22:$B$31&lt;&gt;"")*($B$22:$B$31&lt;=I158)*(($C$22:$C$31="")+($C$22:$C$31&lt;&gt;"")*($C$22:$C$31&gt;=I158))*($E$22:$E$31="Monthly")*$D$22:$D$31)+SUMPRODUCT(($B$22:$B$31&lt;&gt;"")*($B$22:$B$31&lt;=I158)*(($C$22:$C$31="")+($C$22:$C$31&lt;&gt;"")*($C$22:$C$31&gt;=I158))*($E$22:$E$31="Annual")*(MONTH($B$22:$B$31)=MONTH(I158))*$D$22:$D$31)+SUMPRODUCT(($B$35:$B$49&lt;&gt;"")*(YEAR($B$35:$B$49)=YEAR(I158))*(MONTH($B$35:$B$49)=MONTH(I158))*$C$35:$C$49)),"")</f>
        <v/>
      </c>
      <c r="L158" s="14">
        <f>IF(H158&lt;&gt;"",ROUND(L157-K158,2),"")</f>
        <v/>
      </c>
      <c r="M158" s="10">
        <f>IF(H158&lt;&gt;"",MIN(MonthlyPmt,L157+J158),"")</f>
        <v/>
      </c>
      <c r="N158" s="10">
        <f>IF(H158&lt;&gt;"",N157+K158,"")</f>
        <v/>
      </c>
      <c r="O158" s="10">
        <f>IF(H158&lt;&gt;"",O157+J158,"")</f>
        <v/>
      </c>
    </row>
    <row r="159">
      <c r="H159" s="7">
        <f>IF(AND(L158&gt;0.005,H158&lt;&gt;""),157,"")</f>
        <v/>
      </c>
      <c r="I159" s="8">
        <f>IF(H159&lt;&gt;"",EDATE(StartDate,156),"")</f>
        <v/>
      </c>
      <c r="J159" s="9">
        <f>IF(H159&lt;&gt;"",ROUND(L158*AnnualRate/12,2),"")</f>
        <v/>
      </c>
      <c r="K159" s="9">
        <f>IF(H159&lt;&gt;"",MIN(L158,(M159-J159)+SUMPRODUCT(($B$22:$B$31&lt;&gt;"")*($B$22:$B$31&lt;=I159)*(($C$22:$C$31="")+($C$22:$C$31&lt;&gt;"")*($C$22:$C$31&gt;=I159))*($E$22:$E$31="Monthly")*$D$22:$D$31)+SUMPRODUCT(($B$22:$B$31&lt;&gt;"")*($B$22:$B$31&lt;=I159)*(($C$22:$C$31="")+($C$22:$C$31&lt;&gt;"")*($C$22:$C$31&gt;=I159))*($E$22:$E$31="Annual")*(MONTH($B$22:$B$31)=MONTH(I159))*$D$22:$D$31)+SUMPRODUCT(($B$35:$B$49&lt;&gt;"")*(YEAR($B$35:$B$49)=YEAR(I159))*(MONTH($B$35:$B$49)=MONTH(I159))*$C$35:$C$49)),"")</f>
        <v/>
      </c>
      <c r="L159" s="9">
        <f>IF(H159&lt;&gt;"",ROUND(L158-K159,2),"")</f>
        <v/>
      </c>
      <c r="M159" s="10">
        <f>IF(H159&lt;&gt;"",MIN(MonthlyPmt,L158+J159),"")</f>
        <v/>
      </c>
      <c r="N159" s="10">
        <f>IF(H159&lt;&gt;"",N158+K159,"")</f>
        <v/>
      </c>
      <c r="O159" s="10">
        <f>IF(H159&lt;&gt;"",O158+J159,"")</f>
        <v/>
      </c>
    </row>
    <row r="160">
      <c r="H160" s="12">
        <f>IF(AND(L159&gt;0.005,H159&lt;&gt;""),158,"")</f>
        <v/>
      </c>
      <c r="I160" s="13">
        <f>IF(H160&lt;&gt;"",EDATE(StartDate,157),"")</f>
        <v/>
      </c>
      <c r="J160" s="14">
        <f>IF(H160&lt;&gt;"",ROUND(L159*AnnualRate/12,2),"")</f>
        <v/>
      </c>
      <c r="K160" s="14">
        <f>IF(H160&lt;&gt;"",MIN(L159,(M160-J160)+SUMPRODUCT(($B$22:$B$31&lt;&gt;"")*($B$22:$B$31&lt;=I160)*(($C$22:$C$31="")+($C$22:$C$31&lt;&gt;"")*($C$22:$C$31&gt;=I160))*($E$22:$E$31="Monthly")*$D$22:$D$31)+SUMPRODUCT(($B$22:$B$31&lt;&gt;"")*($B$22:$B$31&lt;=I160)*(($C$22:$C$31="")+($C$22:$C$31&lt;&gt;"")*($C$22:$C$31&gt;=I160))*($E$22:$E$31="Annual")*(MONTH($B$22:$B$31)=MONTH(I160))*$D$22:$D$31)+SUMPRODUCT(($B$35:$B$49&lt;&gt;"")*(YEAR($B$35:$B$49)=YEAR(I160))*(MONTH($B$35:$B$49)=MONTH(I160))*$C$35:$C$49)),"")</f>
        <v/>
      </c>
      <c r="L160" s="14">
        <f>IF(H160&lt;&gt;"",ROUND(L159-K160,2),"")</f>
        <v/>
      </c>
      <c r="M160" s="10">
        <f>IF(H160&lt;&gt;"",MIN(MonthlyPmt,L159+J160),"")</f>
        <v/>
      </c>
      <c r="N160" s="10">
        <f>IF(H160&lt;&gt;"",N159+K160,"")</f>
        <v/>
      </c>
      <c r="O160" s="10">
        <f>IF(H160&lt;&gt;"",O159+J160,"")</f>
        <v/>
      </c>
    </row>
    <row r="161">
      <c r="H161" s="7">
        <f>IF(AND(L160&gt;0.005,H160&lt;&gt;""),159,"")</f>
        <v/>
      </c>
      <c r="I161" s="8">
        <f>IF(H161&lt;&gt;"",EDATE(StartDate,158),"")</f>
        <v/>
      </c>
      <c r="J161" s="9">
        <f>IF(H161&lt;&gt;"",ROUND(L160*AnnualRate/12,2),"")</f>
        <v/>
      </c>
      <c r="K161" s="9">
        <f>IF(H161&lt;&gt;"",MIN(L160,(M161-J161)+SUMPRODUCT(($B$22:$B$31&lt;&gt;"")*($B$22:$B$31&lt;=I161)*(($C$22:$C$31="")+($C$22:$C$31&lt;&gt;"")*($C$22:$C$31&gt;=I161))*($E$22:$E$31="Monthly")*$D$22:$D$31)+SUMPRODUCT(($B$22:$B$31&lt;&gt;"")*($B$22:$B$31&lt;=I161)*(($C$22:$C$31="")+($C$22:$C$31&lt;&gt;"")*($C$22:$C$31&gt;=I161))*($E$22:$E$31="Annual")*(MONTH($B$22:$B$31)=MONTH(I161))*$D$22:$D$31)+SUMPRODUCT(($B$35:$B$49&lt;&gt;"")*(YEAR($B$35:$B$49)=YEAR(I161))*(MONTH($B$35:$B$49)=MONTH(I161))*$C$35:$C$49)),"")</f>
        <v/>
      </c>
      <c r="L161" s="9">
        <f>IF(H161&lt;&gt;"",ROUND(L160-K161,2),"")</f>
        <v/>
      </c>
      <c r="M161" s="10">
        <f>IF(H161&lt;&gt;"",MIN(MonthlyPmt,L160+J161),"")</f>
        <v/>
      </c>
      <c r="N161" s="10">
        <f>IF(H161&lt;&gt;"",N160+K161,"")</f>
        <v/>
      </c>
      <c r="O161" s="10">
        <f>IF(H161&lt;&gt;"",O160+J161,"")</f>
        <v/>
      </c>
    </row>
    <row r="162">
      <c r="H162" s="12">
        <f>IF(AND(L161&gt;0.005,H161&lt;&gt;""),160,"")</f>
        <v/>
      </c>
      <c r="I162" s="13">
        <f>IF(H162&lt;&gt;"",EDATE(StartDate,159),"")</f>
        <v/>
      </c>
      <c r="J162" s="14">
        <f>IF(H162&lt;&gt;"",ROUND(L161*AnnualRate/12,2),"")</f>
        <v/>
      </c>
      <c r="K162" s="14">
        <f>IF(H162&lt;&gt;"",MIN(L161,(M162-J162)+SUMPRODUCT(($B$22:$B$31&lt;&gt;"")*($B$22:$B$31&lt;=I162)*(($C$22:$C$31="")+($C$22:$C$31&lt;&gt;"")*($C$22:$C$31&gt;=I162))*($E$22:$E$31="Monthly")*$D$22:$D$31)+SUMPRODUCT(($B$22:$B$31&lt;&gt;"")*($B$22:$B$31&lt;=I162)*(($C$22:$C$31="")+($C$22:$C$31&lt;&gt;"")*($C$22:$C$31&gt;=I162))*($E$22:$E$31="Annual")*(MONTH($B$22:$B$31)=MONTH(I162))*$D$22:$D$31)+SUMPRODUCT(($B$35:$B$49&lt;&gt;"")*(YEAR($B$35:$B$49)=YEAR(I162))*(MONTH($B$35:$B$49)=MONTH(I162))*$C$35:$C$49)),"")</f>
        <v/>
      </c>
      <c r="L162" s="14">
        <f>IF(H162&lt;&gt;"",ROUND(L161-K162,2),"")</f>
        <v/>
      </c>
      <c r="M162" s="10">
        <f>IF(H162&lt;&gt;"",MIN(MonthlyPmt,L161+J162),"")</f>
        <v/>
      </c>
      <c r="N162" s="10">
        <f>IF(H162&lt;&gt;"",N161+K162,"")</f>
        <v/>
      </c>
      <c r="O162" s="10">
        <f>IF(H162&lt;&gt;"",O161+J162,"")</f>
        <v/>
      </c>
    </row>
    <row r="163">
      <c r="H163" s="7">
        <f>IF(AND(L162&gt;0.005,H162&lt;&gt;""),161,"")</f>
        <v/>
      </c>
      <c r="I163" s="8">
        <f>IF(H163&lt;&gt;"",EDATE(StartDate,160),"")</f>
        <v/>
      </c>
      <c r="J163" s="9">
        <f>IF(H163&lt;&gt;"",ROUND(L162*AnnualRate/12,2),"")</f>
        <v/>
      </c>
      <c r="K163" s="9">
        <f>IF(H163&lt;&gt;"",MIN(L162,(M163-J163)+SUMPRODUCT(($B$22:$B$31&lt;&gt;"")*($B$22:$B$31&lt;=I163)*(($C$22:$C$31="")+($C$22:$C$31&lt;&gt;"")*($C$22:$C$31&gt;=I163))*($E$22:$E$31="Monthly")*$D$22:$D$31)+SUMPRODUCT(($B$22:$B$31&lt;&gt;"")*($B$22:$B$31&lt;=I163)*(($C$22:$C$31="")+($C$22:$C$31&lt;&gt;"")*($C$22:$C$31&gt;=I163))*($E$22:$E$31="Annual")*(MONTH($B$22:$B$31)=MONTH(I163))*$D$22:$D$31)+SUMPRODUCT(($B$35:$B$49&lt;&gt;"")*(YEAR($B$35:$B$49)=YEAR(I163))*(MONTH($B$35:$B$49)=MONTH(I163))*$C$35:$C$49)),"")</f>
        <v/>
      </c>
      <c r="L163" s="9">
        <f>IF(H163&lt;&gt;"",ROUND(L162-K163,2),"")</f>
        <v/>
      </c>
      <c r="M163" s="10">
        <f>IF(H163&lt;&gt;"",MIN(MonthlyPmt,L162+J163),"")</f>
        <v/>
      </c>
      <c r="N163" s="10">
        <f>IF(H163&lt;&gt;"",N162+K163,"")</f>
        <v/>
      </c>
      <c r="O163" s="10">
        <f>IF(H163&lt;&gt;"",O162+J163,"")</f>
        <v/>
      </c>
    </row>
    <row r="164">
      <c r="H164" s="12">
        <f>IF(AND(L163&gt;0.005,H163&lt;&gt;""),162,"")</f>
        <v/>
      </c>
      <c r="I164" s="13">
        <f>IF(H164&lt;&gt;"",EDATE(StartDate,161),"")</f>
        <v/>
      </c>
      <c r="J164" s="14">
        <f>IF(H164&lt;&gt;"",ROUND(L163*AnnualRate/12,2),"")</f>
        <v/>
      </c>
      <c r="K164" s="14">
        <f>IF(H164&lt;&gt;"",MIN(L163,(M164-J164)+SUMPRODUCT(($B$22:$B$31&lt;&gt;"")*($B$22:$B$31&lt;=I164)*(($C$22:$C$31="")+($C$22:$C$31&lt;&gt;"")*($C$22:$C$31&gt;=I164))*($E$22:$E$31="Monthly")*$D$22:$D$31)+SUMPRODUCT(($B$22:$B$31&lt;&gt;"")*($B$22:$B$31&lt;=I164)*(($C$22:$C$31="")+($C$22:$C$31&lt;&gt;"")*($C$22:$C$31&gt;=I164))*($E$22:$E$31="Annual")*(MONTH($B$22:$B$31)=MONTH(I164))*$D$22:$D$31)+SUMPRODUCT(($B$35:$B$49&lt;&gt;"")*(YEAR($B$35:$B$49)=YEAR(I164))*(MONTH($B$35:$B$49)=MONTH(I164))*$C$35:$C$49)),"")</f>
        <v/>
      </c>
      <c r="L164" s="14">
        <f>IF(H164&lt;&gt;"",ROUND(L163-K164,2),"")</f>
        <v/>
      </c>
      <c r="M164" s="10">
        <f>IF(H164&lt;&gt;"",MIN(MonthlyPmt,L163+J164),"")</f>
        <v/>
      </c>
      <c r="N164" s="10">
        <f>IF(H164&lt;&gt;"",N163+K164,"")</f>
        <v/>
      </c>
      <c r="O164" s="10">
        <f>IF(H164&lt;&gt;"",O163+J164,"")</f>
        <v/>
      </c>
    </row>
    <row r="165">
      <c r="H165" s="7">
        <f>IF(AND(L164&gt;0.005,H164&lt;&gt;""),163,"")</f>
        <v/>
      </c>
      <c r="I165" s="8">
        <f>IF(H165&lt;&gt;"",EDATE(StartDate,162),"")</f>
        <v/>
      </c>
      <c r="J165" s="9">
        <f>IF(H165&lt;&gt;"",ROUND(L164*AnnualRate/12,2),"")</f>
        <v/>
      </c>
      <c r="K165" s="9">
        <f>IF(H165&lt;&gt;"",MIN(L164,(M165-J165)+SUMPRODUCT(($B$22:$B$31&lt;&gt;"")*($B$22:$B$31&lt;=I165)*(($C$22:$C$31="")+($C$22:$C$31&lt;&gt;"")*($C$22:$C$31&gt;=I165))*($E$22:$E$31="Monthly")*$D$22:$D$31)+SUMPRODUCT(($B$22:$B$31&lt;&gt;"")*($B$22:$B$31&lt;=I165)*(($C$22:$C$31="")+($C$22:$C$31&lt;&gt;"")*($C$22:$C$31&gt;=I165))*($E$22:$E$31="Annual")*(MONTH($B$22:$B$31)=MONTH(I165))*$D$22:$D$31)+SUMPRODUCT(($B$35:$B$49&lt;&gt;"")*(YEAR($B$35:$B$49)=YEAR(I165))*(MONTH($B$35:$B$49)=MONTH(I165))*$C$35:$C$49)),"")</f>
        <v/>
      </c>
      <c r="L165" s="9">
        <f>IF(H165&lt;&gt;"",ROUND(L164-K165,2),"")</f>
        <v/>
      </c>
      <c r="M165" s="10">
        <f>IF(H165&lt;&gt;"",MIN(MonthlyPmt,L164+J165),"")</f>
        <v/>
      </c>
      <c r="N165" s="10">
        <f>IF(H165&lt;&gt;"",N164+K165,"")</f>
        <v/>
      </c>
      <c r="O165" s="10">
        <f>IF(H165&lt;&gt;"",O164+J165,"")</f>
        <v/>
      </c>
    </row>
    <row r="166">
      <c r="H166" s="12">
        <f>IF(AND(L165&gt;0.005,H165&lt;&gt;""),164,"")</f>
        <v/>
      </c>
      <c r="I166" s="13">
        <f>IF(H166&lt;&gt;"",EDATE(StartDate,163),"")</f>
        <v/>
      </c>
      <c r="J166" s="14">
        <f>IF(H166&lt;&gt;"",ROUND(L165*AnnualRate/12,2),"")</f>
        <v/>
      </c>
      <c r="K166" s="14">
        <f>IF(H166&lt;&gt;"",MIN(L165,(M166-J166)+SUMPRODUCT(($B$22:$B$31&lt;&gt;"")*($B$22:$B$31&lt;=I166)*(($C$22:$C$31="")+($C$22:$C$31&lt;&gt;"")*($C$22:$C$31&gt;=I166))*($E$22:$E$31="Monthly")*$D$22:$D$31)+SUMPRODUCT(($B$22:$B$31&lt;&gt;"")*($B$22:$B$31&lt;=I166)*(($C$22:$C$31="")+($C$22:$C$31&lt;&gt;"")*($C$22:$C$31&gt;=I166))*($E$22:$E$31="Annual")*(MONTH($B$22:$B$31)=MONTH(I166))*$D$22:$D$31)+SUMPRODUCT(($B$35:$B$49&lt;&gt;"")*(YEAR($B$35:$B$49)=YEAR(I166))*(MONTH($B$35:$B$49)=MONTH(I166))*$C$35:$C$49)),"")</f>
        <v/>
      </c>
      <c r="L166" s="14">
        <f>IF(H166&lt;&gt;"",ROUND(L165-K166,2),"")</f>
        <v/>
      </c>
      <c r="M166" s="10">
        <f>IF(H166&lt;&gt;"",MIN(MonthlyPmt,L165+J166),"")</f>
        <v/>
      </c>
      <c r="N166" s="10">
        <f>IF(H166&lt;&gt;"",N165+K166,"")</f>
        <v/>
      </c>
      <c r="O166" s="10">
        <f>IF(H166&lt;&gt;"",O165+J166,"")</f>
        <v/>
      </c>
    </row>
    <row r="167">
      <c r="H167" s="7">
        <f>IF(AND(L166&gt;0.005,H166&lt;&gt;""),165,"")</f>
        <v/>
      </c>
      <c r="I167" s="8">
        <f>IF(H167&lt;&gt;"",EDATE(StartDate,164),"")</f>
        <v/>
      </c>
      <c r="J167" s="9">
        <f>IF(H167&lt;&gt;"",ROUND(L166*AnnualRate/12,2),"")</f>
        <v/>
      </c>
      <c r="K167" s="9">
        <f>IF(H167&lt;&gt;"",MIN(L166,(M167-J167)+SUMPRODUCT(($B$22:$B$31&lt;&gt;"")*($B$22:$B$31&lt;=I167)*(($C$22:$C$31="")+($C$22:$C$31&lt;&gt;"")*($C$22:$C$31&gt;=I167))*($E$22:$E$31="Monthly")*$D$22:$D$31)+SUMPRODUCT(($B$22:$B$31&lt;&gt;"")*($B$22:$B$31&lt;=I167)*(($C$22:$C$31="")+($C$22:$C$31&lt;&gt;"")*($C$22:$C$31&gt;=I167))*($E$22:$E$31="Annual")*(MONTH($B$22:$B$31)=MONTH(I167))*$D$22:$D$31)+SUMPRODUCT(($B$35:$B$49&lt;&gt;"")*(YEAR($B$35:$B$49)=YEAR(I167))*(MONTH($B$35:$B$49)=MONTH(I167))*$C$35:$C$49)),"")</f>
        <v/>
      </c>
      <c r="L167" s="9">
        <f>IF(H167&lt;&gt;"",ROUND(L166-K167,2),"")</f>
        <v/>
      </c>
      <c r="M167" s="10">
        <f>IF(H167&lt;&gt;"",MIN(MonthlyPmt,L166+J167),"")</f>
        <v/>
      </c>
      <c r="N167" s="10">
        <f>IF(H167&lt;&gt;"",N166+K167,"")</f>
        <v/>
      </c>
      <c r="O167" s="10">
        <f>IF(H167&lt;&gt;"",O166+J167,"")</f>
        <v/>
      </c>
    </row>
    <row r="168">
      <c r="H168" s="12">
        <f>IF(AND(L167&gt;0.005,H167&lt;&gt;""),166,"")</f>
        <v/>
      </c>
      <c r="I168" s="13">
        <f>IF(H168&lt;&gt;"",EDATE(StartDate,165),"")</f>
        <v/>
      </c>
      <c r="J168" s="14">
        <f>IF(H168&lt;&gt;"",ROUND(L167*AnnualRate/12,2),"")</f>
        <v/>
      </c>
      <c r="K168" s="14">
        <f>IF(H168&lt;&gt;"",MIN(L167,(M168-J168)+SUMPRODUCT(($B$22:$B$31&lt;&gt;"")*($B$22:$B$31&lt;=I168)*(($C$22:$C$31="")+($C$22:$C$31&lt;&gt;"")*($C$22:$C$31&gt;=I168))*($E$22:$E$31="Monthly")*$D$22:$D$31)+SUMPRODUCT(($B$22:$B$31&lt;&gt;"")*($B$22:$B$31&lt;=I168)*(($C$22:$C$31="")+($C$22:$C$31&lt;&gt;"")*($C$22:$C$31&gt;=I168))*($E$22:$E$31="Annual")*(MONTH($B$22:$B$31)=MONTH(I168))*$D$22:$D$31)+SUMPRODUCT(($B$35:$B$49&lt;&gt;"")*(YEAR($B$35:$B$49)=YEAR(I168))*(MONTH($B$35:$B$49)=MONTH(I168))*$C$35:$C$49)),"")</f>
        <v/>
      </c>
      <c r="L168" s="14">
        <f>IF(H168&lt;&gt;"",ROUND(L167-K168,2),"")</f>
        <v/>
      </c>
      <c r="M168" s="10">
        <f>IF(H168&lt;&gt;"",MIN(MonthlyPmt,L167+J168),"")</f>
        <v/>
      </c>
      <c r="N168" s="10">
        <f>IF(H168&lt;&gt;"",N167+K168,"")</f>
        <v/>
      </c>
      <c r="O168" s="10">
        <f>IF(H168&lt;&gt;"",O167+J168,"")</f>
        <v/>
      </c>
    </row>
    <row r="169">
      <c r="H169" s="7">
        <f>IF(AND(L168&gt;0.005,H168&lt;&gt;""),167,"")</f>
        <v/>
      </c>
      <c r="I169" s="8">
        <f>IF(H169&lt;&gt;"",EDATE(StartDate,166),"")</f>
        <v/>
      </c>
      <c r="J169" s="9">
        <f>IF(H169&lt;&gt;"",ROUND(L168*AnnualRate/12,2),"")</f>
        <v/>
      </c>
      <c r="K169" s="9">
        <f>IF(H169&lt;&gt;"",MIN(L168,(M169-J169)+SUMPRODUCT(($B$22:$B$31&lt;&gt;"")*($B$22:$B$31&lt;=I169)*(($C$22:$C$31="")+($C$22:$C$31&lt;&gt;"")*($C$22:$C$31&gt;=I169))*($E$22:$E$31="Monthly")*$D$22:$D$31)+SUMPRODUCT(($B$22:$B$31&lt;&gt;"")*($B$22:$B$31&lt;=I169)*(($C$22:$C$31="")+($C$22:$C$31&lt;&gt;"")*($C$22:$C$31&gt;=I169))*($E$22:$E$31="Annual")*(MONTH($B$22:$B$31)=MONTH(I169))*$D$22:$D$31)+SUMPRODUCT(($B$35:$B$49&lt;&gt;"")*(YEAR($B$35:$B$49)=YEAR(I169))*(MONTH($B$35:$B$49)=MONTH(I169))*$C$35:$C$49)),"")</f>
        <v/>
      </c>
      <c r="L169" s="9">
        <f>IF(H169&lt;&gt;"",ROUND(L168-K169,2),"")</f>
        <v/>
      </c>
      <c r="M169" s="10">
        <f>IF(H169&lt;&gt;"",MIN(MonthlyPmt,L168+J169),"")</f>
        <v/>
      </c>
      <c r="N169" s="10">
        <f>IF(H169&lt;&gt;"",N168+K169,"")</f>
        <v/>
      </c>
      <c r="O169" s="10">
        <f>IF(H169&lt;&gt;"",O168+J169,"")</f>
        <v/>
      </c>
    </row>
    <row r="170">
      <c r="H170" s="12">
        <f>IF(AND(L169&gt;0.005,H169&lt;&gt;""),168,"")</f>
        <v/>
      </c>
      <c r="I170" s="13">
        <f>IF(H170&lt;&gt;"",EDATE(StartDate,167),"")</f>
        <v/>
      </c>
      <c r="J170" s="14">
        <f>IF(H170&lt;&gt;"",ROUND(L169*AnnualRate/12,2),"")</f>
        <v/>
      </c>
      <c r="K170" s="14">
        <f>IF(H170&lt;&gt;"",MIN(L169,(M170-J170)+SUMPRODUCT(($B$22:$B$31&lt;&gt;"")*($B$22:$B$31&lt;=I170)*(($C$22:$C$31="")+($C$22:$C$31&lt;&gt;"")*($C$22:$C$31&gt;=I170))*($E$22:$E$31="Monthly")*$D$22:$D$31)+SUMPRODUCT(($B$22:$B$31&lt;&gt;"")*($B$22:$B$31&lt;=I170)*(($C$22:$C$31="")+($C$22:$C$31&lt;&gt;"")*($C$22:$C$31&gt;=I170))*($E$22:$E$31="Annual")*(MONTH($B$22:$B$31)=MONTH(I170))*$D$22:$D$31)+SUMPRODUCT(($B$35:$B$49&lt;&gt;"")*(YEAR($B$35:$B$49)=YEAR(I170))*(MONTH($B$35:$B$49)=MONTH(I170))*$C$35:$C$49)),"")</f>
        <v/>
      </c>
      <c r="L170" s="14">
        <f>IF(H170&lt;&gt;"",ROUND(L169-K170,2),"")</f>
        <v/>
      </c>
      <c r="M170" s="10">
        <f>IF(H170&lt;&gt;"",MIN(MonthlyPmt,L169+J170),"")</f>
        <v/>
      </c>
      <c r="N170" s="10">
        <f>IF(H170&lt;&gt;"",N169+K170,"")</f>
        <v/>
      </c>
      <c r="O170" s="10">
        <f>IF(H170&lt;&gt;"",O169+J170,"")</f>
        <v/>
      </c>
    </row>
    <row r="171">
      <c r="H171" s="7">
        <f>IF(AND(L170&gt;0.005,H170&lt;&gt;""),169,"")</f>
        <v/>
      </c>
      <c r="I171" s="8">
        <f>IF(H171&lt;&gt;"",EDATE(StartDate,168),"")</f>
        <v/>
      </c>
      <c r="J171" s="9">
        <f>IF(H171&lt;&gt;"",ROUND(L170*AnnualRate/12,2),"")</f>
        <v/>
      </c>
      <c r="K171" s="9">
        <f>IF(H171&lt;&gt;"",MIN(L170,(M171-J171)+SUMPRODUCT(($B$22:$B$31&lt;&gt;"")*($B$22:$B$31&lt;=I171)*(($C$22:$C$31="")+($C$22:$C$31&lt;&gt;"")*($C$22:$C$31&gt;=I171))*($E$22:$E$31="Monthly")*$D$22:$D$31)+SUMPRODUCT(($B$22:$B$31&lt;&gt;"")*($B$22:$B$31&lt;=I171)*(($C$22:$C$31="")+($C$22:$C$31&lt;&gt;"")*($C$22:$C$31&gt;=I171))*($E$22:$E$31="Annual")*(MONTH($B$22:$B$31)=MONTH(I171))*$D$22:$D$31)+SUMPRODUCT(($B$35:$B$49&lt;&gt;"")*(YEAR($B$35:$B$49)=YEAR(I171))*(MONTH($B$35:$B$49)=MONTH(I171))*$C$35:$C$49)),"")</f>
        <v/>
      </c>
      <c r="L171" s="9">
        <f>IF(H171&lt;&gt;"",ROUND(L170-K171,2),"")</f>
        <v/>
      </c>
      <c r="M171" s="10">
        <f>IF(H171&lt;&gt;"",MIN(MonthlyPmt,L170+J171),"")</f>
        <v/>
      </c>
      <c r="N171" s="10">
        <f>IF(H171&lt;&gt;"",N170+K171,"")</f>
        <v/>
      </c>
      <c r="O171" s="10">
        <f>IF(H171&lt;&gt;"",O170+J171,"")</f>
        <v/>
      </c>
    </row>
    <row r="172">
      <c r="H172" s="12">
        <f>IF(AND(L171&gt;0.005,H171&lt;&gt;""),170,"")</f>
        <v/>
      </c>
      <c r="I172" s="13">
        <f>IF(H172&lt;&gt;"",EDATE(StartDate,169),"")</f>
        <v/>
      </c>
      <c r="J172" s="14">
        <f>IF(H172&lt;&gt;"",ROUND(L171*AnnualRate/12,2),"")</f>
        <v/>
      </c>
      <c r="K172" s="14">
        <f>IF(H172&lt;&gt;"",MIN(L171,(M172-J172)+SUMPRODUCT(($B$22:$B$31&lt;&gt;"")*($B$22:$B$31&lt;=I172)*(($C$22:$C$31="")+($C$22:$C$31&lt;&gt;"")*($C$22:$C$31&gt;=I172))*($E$22:$E$31="Monthly")*$D$22:$D$31)+SUMPRODUCT(($B$22:$B$31&lt;&gt;"")*($B$22:$B$31&lt;=I172)*(($C$22:$C$31="")+($C$22:$C$31&lt;&gt;"")*($C$22:$C$31&gt;=I172))*($E$22:$E$31="Annual")*(MONTH($B$22:$B$31)=MONTH(I172))*$D$22:$D$31)+SUMPRODUCT(($B$35:$B$49&lt;&gt;"")*(YEAR($B$35:$B$49)=YEAR(I172))*(MONTH($B$35:$B$49)=MONTH(I172))*$C$35:$C$49)),"")</f>
        <v/>
      </c>
      <c r="L172" s="14">
        <f>IF(H172&lt;&gt;"",ROUND(L171-K172,2),"")</f>
        <v/>
      </c>
      <c r="M172" s="10">
        <f>IF(H172&lt;&gt;"",MIN(MonthlyPmt,L171+J172),"")</f>
        <v/>
      </c>
      <c r="N172" s="10">
        <f>IF(H172&lt;&gt;"",N171+K172,"")</f>
        <v/>
      </c>
      <c r="O172" s="10">
        <f>IF(H172&lt;&gt;"",O171+J172,"")</f>
        <v/>
      </c>
    </row>
    <row r="173">
      <c r="H173" s="7">
        <f>IF(AND(L172&gt;0.005,H172&lt;&gt;""),171,"")</f>
        <v/>
      </c>
      <c r="I173" s="8">
        <f>IF(H173&lt;&gt;"",EDATE(StartDate,170),"")</f>
        <v/>
      </c>
      <c r="J173" s="9">
        <f>IF(H173&lt;&gt;"",ROUND(L172*AnnualRate/12,2),"")</f>
        <v/>
      </c>
      <c r="K173" s="9">
        <f>IF(H173&lt;&gt;"",MIN(L172,(M173-J173)+SUMPRODUCT(($B$22:$B$31&lt;&gt;"")*($B$22:$B$31&lt;=I173)*(($C$22:$C$31="")+($C$22:$C$31&lt;&gt;"")*($C$22:$C$31&gt;=I173))*($E$22:$E$31="Monthly")*$D$22:$D$31)+SUMPRODUCT(($B$22:$B$31&lt;&gt;"")*($B$22:$B$31&lt;=I173)*(($C$22:$C$31="")+($C$22:$C$31&lt;&gt;"")*($C$22:$C$31&gt;=I173))*($E$22:$E$31="Annual")*(MONTH($B$22:$B$31)=MONTH(I173))*$D$22:$D$31)+SUMPRODUCT(($B$35:$B$49&lt;&gt;"")*(YEAR($B$35:$B$49)=YEAR(I173))*(MONTH($B$35:$B$49)=MONTH(I173))*$C$35:$C$49)),"")</f>
        <v/>
      </c>
      <c r="L173" s="9">
        <f>IF(H173&lt;&gt;"",ROUND(L172-K173,2),"")</f>
        <v/>
      </c>
      <c r="M173" s="10">
        <f>IF(H173&lt;&gt;"",MIN(MonthlyPmt,L172+J173),"")</f>
        <v/>
      </c>
      <c r="N173" s="10">
        <f>IF(H173&lt;&gt;"",N172+K173,"")</f>
        <v/>
      </c>
      <c r="O173" s="10">
        <f>IF(H173&lt;&gt;"",O172+J173,"")</f>
        <v/>
      </c>
    </row>
    <row r="174">
      <c r="H174" s="12">
        <f>IF(AND(L173&gt;0.005,H173&lt;&gt;""),172,"")</f>
        <v/>
      </c>
      <c r="I174" s="13">
        <f>IF(H174&lt;&gt;"",EDATE(StartDate,171),"")</f>
        <v/>
      </c>
      <c r="J174" s="14">
        <f>IF(H174&lt;&gt;"",ROUND(L173*AnnualRate/12,2),"")</f>
        <v/>
      </c>
      <c r="K174" s="14">
        <f>IF(H174&lt;&gt;"",MIN(L173,(M174-J174)+SUMPRODUCT(($B$22:$B$31&lt;&gt;"")*($B$22:$B$31&lt;=I174)*(($C$22:$C$31="")+($C$22:$C$31&lt;&gt;"")*($C$22:$C$31&gt;=I174))*($E$22:$E$31="Monthly")*$D$22:$D$31)+SUMPRODUCT(($B$22:$B$31&lt;&gt;"")*($B$22:$B$31&lt;=I174)*(($C$22:$C$31="")+($C$22:$C$31&lt;&gt;"")*($C$22:$C$31&gt;=I174))*($E$22:$E$31="Annual")*(MONTH($B$22:$B$31)=MONTH(I174))*$D$22:$D$31)+SUMPRODUCT(($B$35:$B$49&lt;&gt;"")*(YEAR($B$35:$B$49)=YEAR(I174))*(MONTH($B$35:$B$49)=MONTH(I174))*$C$35:$C$49)),"")</f>
        <v/>
      </c>
      <c r="L174" s="14">
        <f>IF(H174&lt;&gt;"",ROUND(L173-K174,2),"")</f>
        <v/>
      </c>
      <c r="M174" s="10">
        <f>IF(H174&lt;&gt;"",MIN(MonthlyPmt,L173+J174),"")</f>
        <v/>
      </c>
      <c r="N174" s="10">
        <f>IF(H174&lt;&gt;"",N173+K174,"")</f>
        <v/>
      </c>
      <c r="O174" s="10">
        <f>IF(H174&lt;&gt;"",O173+J174,"")</f>
        <v/>
      </c>
    </row>
    <row r="175">
      <c r="H175" s="7">
        <f>IF(AND(L174&gt;0.005,H174&lt;&gt;""),173,"")</f>
        <v/>
      </c>
      <c r="I175" s="8">
        <f>IF(H175&lt;&gt;"",EDATE(StartDate,172),"")</f>
        <v/>
      </c>
      <c r="J175" s="9">
        <f>IF(H175&lt;&gt;"",ROUND(L174*AnnualRate/12,2),"")</f>
        <v/>
      </c>
      <c r="K175" s="9">
        <f>IF(H175&lt;&gt;"",MIN(L174,(M175-J175)+SUMPRODUCT(($B$22:$B$31&lt;&gt;"")*($B$22:$B$31&lt;=I175)*(($C$22:$C$31="")+($C$22:$C$31&lt;&gt;"")*($C$22:$C$31&gt;=I175))*($E$22:$E$31="Monthly")*$D$22:$D$31)+SUMPRODUCT(($B$22:$B$31&lt;&gt;"")*($B$22:$B$31&lt;=I175)*(($C$22:$C$31="")+($C$22:$C$31&lt;&gt;"")*($C$22:$C$31&gt;=I175))*($E$22:$E$31="Annual")*(MONTH($B$22:$B$31)=MONTH(I175))*$D$22:$D$31)+SUMPRODUCT(($B$35:$B$49&lt;&gt;"")*(YEAR($B$35:$B$49)=YEAR(I175))*(MONTH($B$35:$B$49)=MONTH(I175))*$C$35:$C$49)),"")</f>
        <v/>
      </c>
      <c r="L175" s="9">
        <f>IF(H175&lt;&gt;"",ROUND(L174-K175,2),"")</f>
        <v/>
      </c>
      <c r="M175" s="10">
        <f>IF(H175&lt;&gt;"",MIN(MonthlyPmt,L174+J175),"")</f>
        <v/>
      </c>
      <c r="N175" s="10">
        <f>IF(H175&lt;&gt;"",N174+K175,"")</f>
        <v/>
      </c>
      <c r="O175" s="10">
        <f>IF(H175&lt;&gt;"",O174+J175,"")</f>
        <v/>
      </c>
    </row>
    <row r="176">
      <c r="H176" s="12">
        <f>IF(AND(L175&gt;0.005,H175&lt;&gt;""),174,"")</f>
        <v/>
      </c>
      <c r="I176" s="13">
        <f>IF(H176&lt;&gt;"",EDATE(StartDate,173),"")</f>
        <v/>
      </c>
      <c r="J176" s="14">
        <f>IF(H176&lt;&gt;"",ROUND(L175*AnnualRate/12,2),"")</f>
        <v/>
      </c>
      <c r="K176" s="14">
        <f>IF(H176&lt;&gt;"",MIN(L175,(M176-J176)+SUMPRODUCT(($B$22:$B$31&lt;&gt;"")*($B$22:$B$31&lt;=I176)*(($C$22:$C$31="")+($C$22:$C$31&lt;&gt;"")*($C$22:$C$31&gt;=I176))*($E$22:$E$31="Monthly")*$D$22:$D$31)+SUMPRODUCT(($B$22:$B$31&lt;&gt;"")*($B$22:$B$31&lt;=I176)*(($C$22:$C$31="")+($C$22:$C$31&lt;&gt;"")*($C$22:$C$31&gt;=I176))*($E$22:$E$31="Annual")*(MONTH($B$22:$B$31)=MONTH(I176))*$D$22:$D$31)+SUMPRODUCT(($B$35:$B$49&lt;&gt;"")*(YEAR($B$35:$B$49)=YEAR(I176))*(MONTH($B$35:$B$49)=MONTH(I176))*$C$35:$C$49)),"")</f>
        <v/>
      </c>
      <c r="L176" s="14">
        <f>IF(H176&lt;&gt;"",ROUND(L175-K176,2),"")</f>
        <v/>
      </c>
      <c r="M176" s="10">
        <f>IF(H176&lt;&gt;"",MIN(MonthlyPmt,L175+J176),"")</f>
        <v/>
      </c>
      <c r="N176" s="10">
        <f>IF(H176&lt;&gt;"",N175+K176,"")</f>
        <v/>
      </c>
      <c r="O176" s="10">
        <f>IF(H176&lt;&gt;"",O175+J176,"")</f>
        <v/>
      </c>
    </row>
    <row r="177">
      <c r="H177" s="7">
        <f>IF(AND(L176&gt;0.005,H176&lt;&gt;""),175,"")</f>
        <v/>
      </c>
      <c r="I177" s="8">
        <f>IF(H177&lt;&gt;"",EDATE(StartDate,174),"")</f>
        <v/>
      </c>
      <c r="J177" s="9">
        <f>IF(H177&lt;&gt;"",ROUND(L176*AnnualRate/12,2),"")</f>
        <v/>
      </c>
      <c r="K177" s="9">
        <f>IF(H177&lt;&gt;"",MIN(L176,(M177-J177)+SUMPRODUCT(($B$22:$B$31&lt;&gt;"")*($B$22:$B$31&lt;=I177)*(($C$22:$C$31="")+($C$22:$C$31&lt;&gt;"")*($C$22:$C$31&gt;=I177))*($E$22:$E$31="Monthly")*$D$22:$D$31)+SUMPRODUCT(($B$22:$B$31&lt;&gt;"")*($B$22:$B$31&lt;=I177)*(($C$22:$C$31="")+($C$22:$C$31&lt;&gt;"")*($C$22:$C$31&gt;=I177))*($E$22:$E$31="Annual")*(MONTH($B$22:$B$31)=MONTH(I177))*$D$22:$D$31)+SUMPRODUCT(($B$35:$B$49&lt;&gt;"")*(YEAR($B$35:$B$49)=YEAR(I177))*(MONTH($B$35:$B$49)=MONTH(I177))*$C$35:$C$49)),"")</f>
        <v/>
      </c>
      <c r="L177" s="9">
        <f>IF(H177&lt;&gt;"",ROUND(L176-K177,2),"")</f>
        <v/>
      </c>
      <c r="M177" s="10">
        <f>IF(H177&lt;&gt;"",MIN(MonthlyPmt,L176+J177),"")</f>
        <v/>
      </c>
      <c r="N177" s="10">
        <f>IF(H177&lt;&gt;"",N176+K177,"")</f>
        <v/>
      </c>
      <c r="O177" s="10">
        <f>IF(H177&lt;&gt;"",O176+J177,"")</f>
        <v/>
      </c>
    </row>
    <row r="178">
      <c r="H178" s="12">
        <f>IF(AND(L177&gt;0.005,H177&lt;&gt;""),176,"")</f>
        <v/>
      </c>
      <c r="I178" s="13">
        <f>IF(H178&lt;&gt;"",EDATE(StartDate,175),"")</f>
        <v/>
      </c>
      <c r="J178" s="14">
        <f>IF(H178&lt;&gt;"",ROUND(L177*AnnualRate/12,2),"")</f>
        <v/>
      </c>
      <c r="K178" s="14">
        <f>IF(H178&lt;&gt;"",MIN(L177,(M178-J178)+SUMPRODUCT(($B$22:$B$31&lt;&gt;"")*($B$22:$B$31&lt;=I178)*(($C$22:$C$31="")+($C$22:$C$31&lt;&gt;"")*($C$22:$C$31&gt;=I178))*($E$22:$E$31="Monthly")*$D$22:$D$31)+SUMPRODUCT(($B$22:$B$31&lt;&gt;"")*($B$22:$B$31&lt;=I178)*(($C$22:$C$31="")+($C$22:$C$31&lt;&gt;"")*($C$22:$C$31&gt;=I178))*($E$22:$E$31="Annual")*(MONTH($B$22:$B$31)=MONTH(I178))*$D$22:$D$31)+SUMPRODUCT(($B$35:$B$49&lt;&gt;"")*(YEAR($B$35:$B$49)=YEAR(I178))*(MONTH($B$35:$B$49)=MONTH(I178))*$C$35:$C$49)),"")</f>
        <v/>
      </c>
      <c r="L178" s="14">
        <f>IF(H178&lt;&gt;"",ROUND(L177-K178,2),"")</f>
        <v/>
      </c>
      <c r="M178" s="10">
        <f>IF(H178&lt;&gt;"",MIN(MonthlyPmt,L177+J178),"")</f>
        <v/>
      </c>
      <c r="N178" s="10">
        <f>IF(H178&lt;&gt;"",N177+K178,"")</f>
        <v/>
      </c>
      <c r="O178" s="10">
        <f>IF(H178&lt;&gt;"",O177+J178,"")</f>
        <v/>
      </c>
    </row>
    <row r="179">
      <c r="H179" s="7">
        <f>IF(AND(L178&gt;0.005,H178&lt;&gt;""),177,"")</f>
        <v/>
      </c>
      <c r="I179" s="8">
        <f>IF(H179&lt;&gt;"",EDATE(StartDate,176),"")</f>
        <v/>
      </c>
      <c r="J179" s="9">
        <f>IF(H179&lt;&gt;"",ROUND(L178*AnnualRate/12,2),"")</f>
        <v/>
      </c>
      <c r="K179" s="9">
        <f>IF(H179&lt;&gt;"",MIN(L178,(M179-J179)+SUMPRODUCT(($B$22:$B$31&lt;&gt;"")*($B$22:$B$31&lt;=I179)*(($C$22:$C$31="")+($C$22:$C$31&lt;&gt;"")*($C$22:$C$31&gt;=I179))*($E$22:$E$31="Monthly")*$D$22:$D$31)+SUMPRODUCT(($B$22:$B$31&lt;&gt;"")*($B$22:$B$31&lt;=I179)*(($C$22:$C$31="")+($C$22:$C$31&lt;&gt;"")*($C$22:$C$31&gt;=I179))*($E$22:$E$31="Annual")*(MONTH($B$22:$B$31)=MONTH(I179))*$D$22:$D$31)+SUMPRODUCT(($B$35:$B$49&lt;&gt;"")*(YEAR($B$35:$B$49)=YEAR(I179))*(MONTH($B$35:$B$49)=MONTH(I179))*$C$35:$C$49)),"")</f>
        <v/>
      </c>
      <c r="L179" s="9">
        <f>IF(H179&lt;&gt;"",ROUND(L178-K179,2),"")</f>
        <v/>
      </c>
      <c r="M179" s="10">
        <f>IF(H179&lt;&gt;"",MIN(MonthlyPmt,L178+J179),"")</f>
        <v/>
      </c>
      <c r="N179" s="10">
        <f>IF(H179&lt;&gt;"",N178+K179,"")</f>
        <v/>
      </c>
      <c r="O179" s="10">
        <f>IF(H179&lt;&gt;"",O178+J179,"")</f>
        <v/>
      </c>
    </row>
    <row r="180">
      <c r="H180" s="12">
        <f>IF(AND(L179&gt;0.005,H179&lt;&gt;""),178,"")</f>
        <v/>
      </c>
      <c r="I180" s="13">
        <f>IF(H180&lt;&gt;"",EDATE(StartDate,177),"")</f>
        <v/>
      </c>
      <c r="J180" s="14">
        <f>IF(H180&lt;&gt;"",ROUND(L179*AnnualRate/12,2),"")</f>
        <v/>
      </c>
      <c r="K180" s="14">
        <f>IF(H180&lt;&gt;"",MIN(L179,(M180-J180)+SUMPRODUCT(($B$22:$B$31&lt;&gt;"")*($B$22:$B$31&lt;=I180)*(($C$22:$C$31="")+($C$22:$C$31&lt;&gt;"")*($C$22:$C$31&gt;=I180))*($E$22:$E$31="Monthly")*$D$22:$D$31)+SUMPRODUCT(($B$22:$B$31&lt;&gt;"")*($B$22:$B$31&lt;=I180)*(($C$22:$C$31="")+($C$22:$C$31&lt;&gt;"")*($C$22:$C$31&gt;=I180))*($E$22:$E$31="Annual")*(MONTH($B$22:$B$31)=MONTH(I180))*$D$22:$D$31)+SUMPRODUCT(($B$35:$B$49&lt;&gt;"")*(YEAR($B$35:$B$49)=YEAR(I180))*(MONTH($B$35:$B$49)=MONTH(I180))*$C$35:$C$49)),"")</f>
        <v/>
      </c>
      <c r="L180" s="14">
        <f>IF(H180&lt;&gt;"",ROUND(L179-K180,2),"")</f>
        <v/>
      </c>
      <c r="M180" s="10">
        <f>IF(H180&lt;&gt;"",MIN(MonthlyPmt,L179+J180),"")</f>
        <v/>
      </c>
      <c r="N180" s="10">
        <f>IF(H180&lt;&gt;"",N179+K180,"")</f>
        <v/>
      </c>
      <c r="O180" s="10">
        <f>IF(H180&lt;&gt;"",O179+J180,"")</f>
        <v/>
      </c>
    </row>
    <row r="181">
      <c r="H181" s="7">
        <f>IF(AND(L180&gt;0.005,H180&lt;&gt;""),179,"")</f>
        <v/>
      </c>
      <c r="I181" s="8">
        <f>IF(H181&lt;&gt;"",EDATE(StartDate,178),"")</f>
        <v/>
      </c>
      <c r="J181" s="9">
        <f>IF(H181&lt;&gt;"",ROUND(L180*AnnualRate/12,2),"")</f>
        <v/>
      </c>
      <c r="K181" s="9">
        <f>IF(H181&lt;&gt;"",MIN(L180,(M181-J181)+SUMPRODUCT(($B$22:$B$31&lt;&gt;"")*($B$22:$B$31&lt;=I181)*(($C$22:$C$31="")+($C$22:$C$31&lt;&gt;"")*($C$22:$C$31&gt;=I181))*($E$22:$E$31="Monthly")*$D$22:$D$31)+SUMPRODUCT(($B$22:$B$31&lt;&gt;"")*($B$22:$B$31&lt;=I181)*(($C$22:$C$31="")+($C$22:$C$31&lt;&gt;"")*($C$22:$C$31&gt;=I181))*($E$22:$E$31="Annual")*(MONTH($B$22:$B$31)=MONTH(I181))*$D$22:$D$31)+SUMPRODUCT(($B$35:$B$49&lt;&gt;"")*(YEAR($B$35:$B$49)=YEAR(I181))*(MONTH($B$35:$B$49)=MONTH(I181))*$C$35:$C$49)),"")</f>
        <v/>
      </c>
      <c r="L181" s="9">
        <f>IF(H181&lt;&gt;"",ROUND(L180-K181,2),"")</f>
        <v/>
      </c>
      <c r="M181" s="10">
        <f>IF(H181&lt;&gt;"",MIN(MonthlyPmt,L180+J181),"")</f>
        <v/>
      </c>
      <c r="N181" s="10">
        <f>IF(H181&lt;&gt;"",N180+K181,"")</f>
        <v/>
      </c>
      <c r="O181" s="10">
        <f>IF(H181&lt;&gt;"",O180+J181,"")</f>
        <v/>
      </c>
    </row>
    <row r="182">
      <c r="H182" s="12">
        <f>IF(AND(L181&gt;0.005,H181&lt;&gt;""),180,"")</f>
        <v/>
      </c>
      <c r="I182" s="13">
        <f>IF(H182&lt;&gt;"",EDATE(StartDate,179),"")</f>
        <v/>
      </c>
      <c r="J182" s="14">
        <f>IF(H182&lt;&gt;"",ROUND(L181*AnnualRate/12,2),"")</f>
        <v/>
      </c>
      <c r="K182" s="14">
        <f>IF(H182&lt;&gt;"",MIN(L181,(M182-J182)+SUMPRODUCT(($B$22:$B$31&lt;&gt;"")*($B$22:$B$31&lt;=I182)*(($C$22:$C$31="")+($C$22:$C$31&lt;&gt;"")*($C$22:$C$31&gt;=I182))*($E$22:$E$31="Monthly")*$D$22:$D$31)+SUMPRODUCT(($B$22:$B$31&lt;&gt;"")*($B$22:$B$31&lt;=I182)*(($C$22:$C$31="")+($C$22:$C$31&lt;&gt;"")*($C$22:$C$31&gt;=I182))*($E$22:$E$31="Annual")*(MONTH($B$22:$B$31)=MONTH(I182))*$D$22:$D$31)+SUMPRODUCT(($B$35:$B$49&lt;&gt;"")*(YEAR($B$35:$B$49)=YEAR(I182))*(MONTH($B$35:$B$49)=MONTH(I182))*$C$35:$C$49)),"")</f>
        <v/>
      </c>
      <c r="L182" s="14">
        <f>IF(H182&lt;&gt;"",ROUND(L181-K182,2),"")</f>
        <v/>
      </c>
      <c r="M182" s="10">
        <f>IF(H182&lt;&gt;"",MIN(MonthlyPmt,L181+J182),"")</f>
        <v/>
      </c>
      <c r="N182" s="10">
        <f>IF(H182&lt;&gt;"",N181+K182,"")</f>
        <v/>
      </c>
      <c r="O182" s="10">
        <f>IF(H182&lt;&gt;"",O181+J182,"")</f>
        <v/>
      </c>
    </row>
    <row r="183">
      <c r="H183" s="7">
        <f>IF(AND(L182&gt;0.005,H182&lt;&gt;""),181,"")</f>
        <v/>
      </c>
      <c r="I183" s="8">
        <f>IF(H183&lt;&gt;"",EDATE(StartDate,180),"")</f>
        <v/>
      </c>
      <c r="J183" s="9">
        <f>IF(H183&lt;&gt;"",ROUND(L182*AnnualRate/12,2),"")</f>
        <v/>
      </c>
      <c r="K183" s="9">
        <f>IF(H183&lt;&gt;"",MIN(L182,(M183-J183)+SUMPRODUCT(($B$22:$B$31&lt;&gt;"")*($B$22:$B$31&lt;=I183)*(($C$22:$C$31="")+($C$22:$C$31&lt;&gt;"")*($C$22:$C$31&gt;=I183))*($E$22:$E$31="Monthly")*$D$22:$D$31)+SUMPRODUCT(($B$22:$B$31&lt;&gt;"")*($B$22:$B$31&lt;=I183)*(($C$22:$C$31="")+($C$22:$C$31&lt;&gt;"")*($C$22:$C$31&gt;=I183))*($E$22:$E$31="Annual")*(MONTH($B$22:$B$31)=MONTH(I183))*$D$22:$D$31)+SUMPRODUCT(($B$35:$B$49&lt;&gt;"")*(YEAR($B$35:$B$49)=YEAR(I183))*(MONTH($B$35:$B$49)=MONTH(I183))*$C$35:$C$49)),"")</f>
        <v/>
      </c>
      <c r="L183" s="9">
        <f>IF(H183&lt;&gt;"",ROUND(L182-K183,2),"")</f>
        <v/>
      </c>
      <c r="M183" s="10">
        <f>IF(H183&lt;&gt;"",MIN(MonthlyPmt,L182+J183),"")</f>
        <v/>
      </c>
      <c r="N183" s="10">
        <f>IF(H183&lt;&gt;"",N182+K183,"")</f>
        <v/>
      </c>
      <c r="O183" s="10">
        <f>IF(H183&lt;&gt;"",O182+J183,"")</f>
        <v/>
      </c>
    </row>
    <row r="184">
      <c r="H184" s="12">
        <f>IF(AND(L183&gt;0.005,H183&lt;&gt;""),182,"")</f>
        <v/>
      </c>
      <c r="I184" s="13">
        <f>IF(H184&lt;&gt;"",EDATE(StartDate,181),"")</f>
        <v/>
      </c>
      <c r="J184" s="14">
        <f>IF(H184&lt;&gt;"",ROUND(L183*AnnualRate/12,2),"")</f>
        <v/>
      </c>
      <c r="K184" s="14">
        <f>IF(H184&lt;&gt;"",MIN(L183,(M184-J184)+SUMPRODUCT(($B$22:$B$31&lt;&gt;"")*($B$22:$B$31&lt;=I184)*(($C$22:$C$31="")+($C$22:$C$31&lt;&gt;"")*($C$22:$C$31&gt;=I184))*($E$22:$E$31="Monthly")*$D$22:$D$31)+SUMPRODUCT(($B$22:$B$31&lt;&gt;"")*($B$22:$B$31&lt;=I184)*(($C$22:$C$31="")+($C$22:$C$31&lt;&gt;"")*($C$22:$C$31&gt;=I184))*($E$22:$E$31="Annual")*(MONTH($B$22:$B$31)=MONTH(I184))*$D$22:$D$31)+SUMPRODUCT(($B$35:$B$49&lt;&gt;"")*(YEAR($B$35:$B$49)=YEAR(I184))*(MONTH($B$35:$B$49)=MONTH(I184))*$C$35:$C$49)),"")</f>
        <v/>
      </c>
      <c r="L184" s="14">
        <f>IF(H184&lt;&gt;"",ROUND(L183-K184,2),"")</f>
        <v/>
      </c>
      <c r="M184" s="10">
        <f>IF(H184&lt;&gt;"",MIN(MonthlyPmt,L183+J184),"")</f>
        <v/>
      </c>
      <c r="N184" s="10">
        <f>IF(H184&lt;&gt;"",N183+K184,"")</f>
        <v/>
      </c>
      <c r="O184" s="10">
        <f>IF(H184&lt;&gt;"",O183+J184,"")</f>
        <v/>
      </c>
    </row>
    <row r="185">
      <c r="H185" s="7">
        <f>IF(AND(L184&gt;0.005,H184&lt;&gt;""),183,"")</f>
        <v/>
      </c>
      <c r="I185" s="8">
        <f>IF(H185&lt;&gt;"",EDATE(StartDate,182),"")</f>
        <v/>
      </c>
      <c r="J185" s="9">
        <f>IF(H185&lt;&gt;"",ROUND(L184*AnnualRate/12,2),"")</f>
        <v/>
      </c>
      <c r="K185" s="9">
        <f>IF(H185&lt;&gt;"",MIN(L184,(M185-J185)+SUMPRODUCT(($B$22:$B$31&lt;&gt;"")*($B$22:$B$31&lt;=I185)*(($C$22:$C$31="")+($C$22:$C$31&lt;&gt;"")*($C$22:$C$31&gt;=I185))*($E$22:$E$31="Monthly")*$D$22:$D$31)+SUMPRODUCT(($B$22:$B$31&lt;&gt;"")*($B$22:$B$31&lt;=I185)*(($C$22:$C$31="")+($C$22:$C$31&lt;&gt;"")*($C$22:$C$31&gt;=I185))*($E$22:$E$31="Annual")*(MONTH($B$22:$B$31)=MONTH(I185))*$D$22:$D$31)+SUMPRODUCT(($B$35:$B$49&lt;&gt;"")*(YEAR($B$35:$B$49)=YEAR(I185))*(MONTH($B$35:$B$49)=MONTH(I185))*$C$35:$C$49)),"")</f>
        <v/>
      </c>
      <c r="L185" s="9">
        <f>IF(H185&lt;&gt;"",ROUND(L184-K185,2),"")</f>
        <v/>
      </c>
      <c r="M185" s="10">
        <f>IF(H185&lt;&gt;"",MIN(MonthlyPmt,L184+J185),"")</f>
        <v/>
      </c>
      <c r="N185" s="10">
        <f>IF(H185&lt;&gt;"",N184+K185,"")</f>
        <v/>
      </c>
      <c r="O185" s="10">
        <f>IF(H185&lt;&gt;"",O184+J185,"")</f>
        <v/>
      </c>
    </row>
    <row r="186">
      <c r="H186" s="12">
        <f>IF(AND(L185&gt;0.005,H185&lt;&gt;""),184,"")</f>
        <v/>
      </c>
      <c r="I186" s="13">
        <f>IF(H186&lt;&gt;"",EDATE(StartDate,183),"")</f>
        <v/>
      </c>
      <c r="J186" s="14">
        <f>IF(H186&lt;&gt;"",ROUND(L185*AnnualRate/12,2),"")</f>
        <v/>
      </c>
      <c r="K186" s="14">
        <f>IF(H186&lt;&gt;"",MIN(L185,(M186-J186)+SUMPRODUCT(($B$22:$B$31&lt;&gt;"")*($B$22:$B$31&lt;=I186)*(($C$22:$C$31="")+($C$22:$C$31&lt;&gt;"")*($C$22:$C$31&gt;=I186))*($E$22:$E$31="Monthly")*$D$22:$D$31)+SUMPRODUCT(($B$22:$B$31&lt;&gt;"")*($B$22:$B$31&lt;=I186)*(($C$22:$C$31="")+($C$22:$C$31&lt;&gt;"")*($C$22:$C$31&gt;=I186))*($E$22:$E$31="Annual")*(MONTH($B$22:$B$31)=MONTH(I186))*$D$22:$D$31)+SUMPRODUCT(($B$35:$B$49&lt;&gt;"")*(YEAR($B$35:$B$49)=YEAR(I186))*(MONTH($B$35:$B$49)=MONTH(I186))*$C$35:$C$49)),"")</f>
        <v/>
      </c>
      <c r="L186" s="14">
        <f>IF(H186&lt;&gt;"",ROUND(L185-K186,2),"")</f>
        <v/>
      </c>
      <c r="M186" s="10">
        <f>IF(H186&lt;&gt;"",MIN(MonthlyPmt,L185+J186),"")</f>
        <v/>
      </c>
      <c r="N186" s="10">
        <f>IF(H186&lt;&gt;"",N185+K186,"")</f>
        <v/>
      </c>
      <c r="O186" s="10">
        <f>IF(H186&lt;&gt;"",O185+J186,"")</f>
        <v/>
      </c>
    </row>
    <row r="187">
      <c r="H187" s="7">
        <f>IF(AND(L186&gt;0.005,H186&lt;&gt;""),185,"")</f>
        <v/>
      </c>
      <c r="I187" s="8">
        <f>IF(H187&lt;&gt;"",EDATE(StartDate,184),"")</f>
        <v/>
      </c>
      <c r="J187" s="9">
        <f>IF(H187&lt;&gt;"",ROUND(L186*AnnualRate/12,2),"")</f>
        <v/>
      </c>
      <c r="K187" s="9">
        <f>IF(H187&lt;&gt;"",MIN(L186,(M187-J187)+SUMPRODUCT(($B$22:$B$31&lt;&gt;"")*($B$22:$B$31&lt;=I187)*(($C$22:$C$31="")+($C$22:$C$31&lt;&gt;"")*($C$22:$C$31&gt;=I187))*($E$22:$E$31="Monthly")*$D$22:$D$31)+SUMPRODUCT(($B$22:$B$31&lt;&gt;"")*($B$22:$B$31&lt;=I187)*(($C$22:$C$31="")+($C$22:$C$31&lt;&gt;"")*($C$22:$C$31&gt;=I187))*($E$22:$E$31="Annual")*(MONTH($B$22:$B$31)=MONTH(I187))*$D$22:$D$31)+SUMPRODUCT(($B$35:$B$49&lt;&gt;"")*(YEAR($B$35:$B$49)=YEAR(I187))*(MONTH($B$35:$B$49)=MONTH(I187))*$C$35:$C$49)),"")</f>
        <v/>
      </c>
      <c r="L187" s="9">
        <f>IF(H187&lt;&gt;"",ROUND(L186-K187,2),"")</f>
        <v/>
      </c>
      <c r="M187" s="10">
        <f>IF(H187&lt;&gt;"",MIN(MonthlyPmt,L186+J187),"")</f>
        <v/>
      </c>
      <c r="N187" s="10">
        <f>IF(H187&lt;&gt;"",N186+K187,"")</f>
        <v/>
      </c>
      <c r="O187" s="10">
        <f>IF(H187&lt;&gt;"",O186+J187,"")</f>
        <v/>
      </c>
    </row>
    <row r="188">
      <c r="H188" s="12">
        <f>IF(AND(L187&gt;0.005,H187&lt;&gt;""),186,"")</f>
        <v/>
      </c>
      <c r="I188" s="13">
        <f>IF(H188&lt;&gt;"",EDATE(StartDate,185),"")</f>
        <v/>
      </c>
      <c r="J188" s="14">
        <f>IF(H188&lt;&gt;"",ROUND(L187*AnnualRate/12,2),"")</f>
        <v/>
      </c>
      <c r="K188" s="14">
        <f>IF(H188&lt;&gt;"",MIN(L187,(M188-J188)+SUMPRODUCT(($B$22:$B$31&lt;&gt;"")*($B$22:$B$31&lt;=I188)*(($C$22:$C$31="")+($C$22:$C$31&lt;&gt;"")*($C$22:$C$31&gt;=I188))*($E$22:$E$31="Monthly")*$D$22:$D$31)+SUMPRODUCT(($B$22:$B$31&lt;&gt;"")*($B$22:$B$31&lt;=I188)*(($C$22:$C$31="")+($C$22:$C$31&lt;&gt;"")*($C$22:$C$31&gt;=I188))*($E$22:$E$31="Annual")*(MONTH($B$22:$B$31)=MONTH(I188))*$D$22:$D$31)+SUMPRODUCT(($B$35:$B$49&lt;&gt;"")*(YEAR($B$35:$B$49)=YEAR(I188))*(MONTH($B$35:$B$49)=MONTH(I188))*$C$35:$C$49)),"")</f>
        <v/>
      </c>
      <c r="L188" s="14">
        <f>IF(H188&lt;&gt;"",ROUND(L187-K188,2),"")</f>
        <v/>
      </c>
      <c r="M188" s="10">
        <f>IF(H188&lt;&gt;"",MIN(MonthlyPmt,L187+J188),"")</f>
        <v/>
      </c>
      <c r="N188" s="10">
        <f>IF(H188&lt;&gt;"",N187+K188,"")</f>
        <v/>
      </c>
      <c r="O188" s="10">
        <f>IF(H188&lt;&gt;"",O187+J188,"")</f>
        <v/>
      </c>
    </row>
    <row r="189">
      <c r="H189" s="7">
        <f>IF(AND(L188&gt;0.005,H188&lt;&gt;""),187,"")</f>
        <v/>
      </c>
      <c r="I189" s="8">
        <f>IF(H189&lt;&gt;"",EDATE(StartDate,186),"")</f>
        <v/>
      </c>
      <c r="J189" s="9">
        <f>IF(H189&lt;&gt;"",ROUND(L188*AnnualRate/12,2),"")</f>
        <v/>
      </c>
      <c r="K189" s="9">
        <f>IF(H189&lt;&gt;"",MIN(L188,(M189-J189)+SUMPRODUCT(($B$22:$B$31&lt;&gt;"")*($B$22:$B$31&lt;=I189)*(($C$22:$C$31="")+($C$22:$C$31&lt;&gt;"")*($C$22:$C$31&gt;=I189))*($E$22:$E$31="Monthly")*$D$22:$D$31)+SUMPRODUCT(($B$22:$B$31&lt;&gt;"")*($B$22:$B$31&lt;=I189)*(($C$22:$C$31="")+($C$22:$C$31&lt;&gt;"")*($C$22:$C$31&gt;=I189))*($E$22:$E$31="Annual")*(MONTH($B$22:$B$31)=MONTH(I189))*$D$22:$D$31)+SUMPRODUCT(($B$35:$B$49&lt;&gt;"")*(YEAR($B$35:$B$49)=YEAR(I189))*(MONTH($B$35:$B$49)=MONTH(I189))*$C$35:$C$49)),"")</f>
        <v/>
      </c>
      <c r="L189" s="9">
        <f>IF(H189&lt;&gt;"",ROUND(L188-K189,2),"")</f>
        <v/>
      </c>
      <c r="M189" s="10">
        <f>IF(H189&lt;&gt;"",MIN(MonthlyPmt,L188+J189),"")</f>
        <v/>
      </c>
      <c r="N189" s="10">
        <f>IF(H189&lt;&gt;"",N188+K189,"")</f>
        <v/>
      </c>
      <c r="O189" s="10">
        <f>IF(H189&lt;&gt;"",O188+J189,"")</f>
        <v/>
      </c>
    </row>
    <row r="190">
      <c r="H190" s="12">
        <f>IF(AND(L189&gt;0.005,H189&lt;&gt;""),188,"")</f>
        <v/>
      </c>
      <c r="I190" s="13">
        <f>IF(H190&lt;&gt;"",EDATE(StartDate,187),"")</f>
        <v/>
      </c>
      <c r="J190" s="14">
        <f>IF(H190&lt;&gt;"",ROUND(L189*AnnualRate/12,2),"")</f>
        <v/>
      </c>
      <c r="K190" s="14">
        <f>IF(H190&lt;&gt;"",MIN(L189,(M190-J190)+SUMPRODUCT(($B$22:$B$31&lt;&gt;"")*($B$22:$B$31&lt;=I190)*(($C$22:$C$31="")+($C$22:$C$31&lt;&gt;"")*($C$22:$C$31&gt;=I190))*($E$22:$E$31="Monthly")*$D$22:$D$31)+SUMPRODUCT(($B$22:$B$31&lt;&gt;"")*($B$22:$B$31&lt;=I190)*(($C$22:$C$31="")+($C$22:$C$31&lt;&gt;"")*($C$22:$C$31&gt;=I190))*($E$22:$E$31="Annual")*(MONTH($B$22:$B$31)=MONTH(I190))*$D$22:$D$31)+SUMPRODUCT(($B$35:$B$49&lt;&gt;"")*(YEAR($B$35:$B$49)=YEAR(I190))*(MONTH($B$35:$B$49)=MONTH(I190))*$C$35:$C$49)),"")</f>
        <v/>
      </c>
      <c r="L190" s="14">
        <f>IF(H190&lt;&gt;"",ROUND(L189-K190,2),"")</f>
        <v/>
      </c>
      <c r="M190" s="10">
        <f>IF(H190&lt;&gt;"",MIN(MonthlyPmt,L189+J190),"")</f>
        <v/>
      </c>
      <c r="N190" s="10">
        <f>IF(H190&lt;&gt;"",N189+K190,"")</f>
        <v/>
      </c>
      <c r="O190" s="10">
        <f>IF(H190&lt;&gt;"",O189+J190,"")</f>
        <v/>
      </c>
    </row>
    <row r="191">
      <c r="H191" s="7">
        <f>IF(AND(L190&gt;0.005,H190&lt;&gt;""),189,"")</f>
        <v/>
      </c>
      <c r="I191" s="8">
        <f>IF(H191&lt;&gt;"",EDATE(StartDate,188),"")</f>
        <v/>
      </c>
      <c r="J191" s="9">
        <f>IF(H191&lt;&gt;"",ROUND(L190*AnnualRate/12,2),"")</f>
        <v/>
      </c>
      <c r="K191" s="9">
        <f>IF(H191&lt;&gt;"",MIN(L190,(M191-J191)+SUMPRODUCT(($B$22:$B$31&lt;&gt;"")*($B$22:$B$31&lt;=I191)*(($C$22:$C$31="")+($C$22:$C$31&lt;&gt;"")*($C$22:$C$31&gt;=I191))*($E$22:$E$31="Monthly")*$D$22:$D$31)+SUMPRODUCT(($B$22:$B$31&lt;&gt;"")*($B$22:$B$31&lt;=I191)*(($C$22:$C$31="")+($C$22:$C$31&lt;&gt;"")*($C$22:$C$31&gt;=I191))*($E$22:$E$31="Annual")*(MONTH($B$22:$B$31)=MONTH(I191))*$D$22:$D$31)+SUMPRODUCT(($B$35:$B$49&lt;&gt;"")*(YEAR($B$35:$B$49)=YEAR(I191))*(MONTH($B$35:$B$49)=MONTH(I191))*$C$35:$C$49)),"")</f>
        <v/>
      </c>
      <c r="L191" s="9">
        <f>IF(H191&lt;&gt;"",ROUND(L190-K191,2),"")</f>
        <v/>
      </c>
      <c r="M191" s="10">
        <f>IF(H191&lt;&gt;"",MIN(MonthlyPmt,L190+J191),"")</f>
        <v/>
      </c>
      <c r="N191" s="10">
        <f>IF(H191&lt;&gt;"",N190+K191,"")</f>
        <v/>
      </c>
      <c r="O191" s="10">
        <f>IF(H191&lt;&gt;"",O190+J191,"")</f>
        <v/>
      </c>
    </row>
    <row r="192">
      <c r="H192" s="12">
        <f>IF(AND(L191&gt;0.005,H191&lt;&gt;""),190,"")</f>
        <v/>
      </c>
      <c r="I192" s="13">
        <f>IF(H192&lt;&gt;"",EDATE(StartDate,189),"")</f>
        <v/>
      </c>
      <c r="J192" s="14">
        <f>IF(H192&lt;&gt;"",ROUND(L191*AnnualRate/12,2),"")</f>
        <v/>
      </c>
      <c r="K192" s="14">
        <f>IF(H192&lt;&gt;"",MIN(L191,(M192-J192)+SUMPRODUCT(($B$22:$B$31&lt;&gt;"")*($B$22:$B$31&lt;=I192)*(($C$22:$C$31="")+($C$22:$C$31&lt;&gt;"")*($C$22:$C$31&gt;=I192))*($E$22:$E$31="Monthly")*$D$22:$D$31)+SUMPRODUCT(($B$22:$B$31&lt;&gt;"")*($B$22:$B$31&lt;=I192)*(($C$22:$C$31="")+($C$22:$C$31&lt;&gt;"")*($C$22:$C$31&gt;=I192))*($E$22:$E$31="Annual")*(MONTH($B$22:$B$31)=MONTH(I192))*$D$22:$D$31)+SUMPRODUCT(($B$35:$B$49&lt;&gt;"")*(YEAR($B$35:$B$49)=YEAR(I192))*(MONTH($B$35:$B$49)=MONTH(I192))*$C$35:$C$49)),"")</f>
        <v/>
      </c>
      <c r="L192" s="14">
        <f>IF(H192&lt;&gt;"",ROUND(L191-K192,2),"")</f>
        <v/>
      </c>
      <c r="M192" s="10">
        <f>IF(H192&lt;&gt;"",MIN(MonthlyPmt,L191+J192),"")</f>
        <v/>
      </c>
      <c r="N192" s="10">
        <f>IF(H192&lt;&gt;"",N191+K192,"")</f>
        <v/>
      </c>
      <c r="O192" s="10">
        <f>IF(H192&lt;&gt;"",O191+J192,"")</f>
        <v/>
      </c>
    </row>
    <row r="193">
      <c r="H193" s="7">
        <f>IF(AND(L192&gt;0.005,H192&lt;&gt;""),191,"")</f>
        <v/>
      </c>
      <c r="I193" s="8">
        <f>IF(H193&lt;&gt;"",EDATE(StartDate,190),"")</f>
        <v/>
      </c>
      <c r="J193" s="9">
        <f>IF(H193&lt;&gt;"",ROUND(L192*AnnualRate/12,2),"")</f>
        <v/>
      </c>
      <c r="K193" s="9">
        <f>IF(H193&lt;&gt;"",MIN(L192,(M193-J193)+SUMPRODUCT(($B$22:$B$31&lt;&gt;"")*($B$22:$B$31&lt;=I193)*(($C$22:$C$31="")+($C$22:$C$31&lt;&gt;"")*($C$22:$C$31&gt;=I193))*($E$22:$E$31="Monthly")*$D$22:$D$31)+SUMPRODUCT(($B$22:$B$31&lt;&gt;"")*($B$22:$B$31&lt;=I193)*(($C$22:$C$31="")+($C$22:$C$31&lt;&gt;"")*($C$22:$C$31&gt;=I193))*($E$22:$E$31="Annual")*(MONTH($B$22:$B$31)=MONTH(I193))*$D$22:$D$31)+SUMPRODUCT(($B$35:$B$49&lt;&gt;"")*(YEAR($B$35:$B$49)=YEAR(I193))*(MONTH($B$35:$B$49)=MONTH(I193))*$C$35:$C$49)),"")</f>
        <v/>
      </c>
      <c r="L193" s="9">
        <f>IF(H193&lt;&gt;"",ROUND(L192-K193,2),"")</f>
        <v/>
      </c>
      <c r="M193" s="10">
        <f>IF(H193&lt;&gt;"",MIN(MonthlyPmt,L192+J193),"")</f>
        <v/>
      </c>
      <c r="N193" s="10">
        <f>IF(H193&lt;&gt;"",N192+K193,"")</f>
        <v/>
      </c>
      <c r="O193" s="10">
        <f>IF(H193&lt;&gt;"",O192+J193,"")</f>
        <v/>
      </c>
    </row>
    <row r="194">
      <c r="H194" s="12">
        <f>IF(AND(L193&gt;0.005,H193&lt;&gt;""),192,"")</f>
        <v/>
      </c>
      <c r="I194" s="13">
        <f>IF(H194&lt;&gt;"",EDATE(StartDate,191),"")</f>
        <v/>
      </c>
      <c r="J194" s="14">
        <f>IF(H194&lt;&gt;"",ROUND(L193*AnnualRate/12,2),"")</f>
        <v/>
      </c>
      <c r="K194" s="14">
        <f>IF(H194&lt;&gt;"",MIN(L193,(M194-J194)+SUMPRODUCT(($B$22:$B$31&lt;&gt;"")*($B$22:$B$31&lt;=I194)*(($C$22:$C$31="")+($C$22:$C$31&lt;&gt;"")*($C$22:$C$31&gt;=I194))*($E$22:$E$31="Monthly")*$D$22:$D$31)+SUMPRODUCT(($B$22:$B$31&lt;&gt;"")*($B$22:$B$31&lt;=I194)*(($C$22:$C$31="")+($C$22:$C$31&lt;&gt;"")*($C$22:$C$31&gt;=I194))*($E$22:$E$31="Annual")*(MONTH($B$22:$B$31)=MONTH(I194))*$D$22:$D$31)+SUMPRODUCT(($B$35:$B$49&lt;&gt;"")*(YEAR($B$35:$B$49)=YEAR(I194))*(MONTH($B$35:$B$49)=MONTH(I194))*$C$35:$C$49)),"")</f>
        <v/>
      </c>
      <c r="L194" s="14">
        <f>IF(H194&lt;&gt;"",ROUND(L193-K194,2),"")</f>
        <v/>
      </c>
      <c r="M194" s="10">
        <f>IF(H194&lt;&gt;"",MIN(MonthlyPmt,L193+J194),"")</f>
        <v/>
      </c>
      <c r="N194" s="10">
        <f>IF(H194&lt;&gt;"",N193+K194,"")</f>
        <v/>
      </c>
      <c r="O194" s="10">
        <f>IF(H194&lt;&gt;"",O193+J194,"")</f>
        <v/>
      </c>
    </row>
    <row r="195">
      <c r="H195" s="7">
        <f>IF(AND(L194&gt;0.005,H194&lt;&gt;""),193,"")</f>
        <v/>
      </c>
      <c r="I195" s="8">
        <f>IF(H195&lt;&gt;"",EDATE(StartDate,192),"")</f>
        <v/>
      </c>
      <c r="J195" s="9">
        <f>IF(H195&lt;&gt;"",ROUND(L194*AnnualRate/12,2),"")</f>
        <v/>
      </c>
      <c r="K195" s="9">
        <f>IF(H195&lt;&gt;"",MIN(L194,(M195-J195)+SUMPRODUCT(($B$22:$B$31&lt;&gt;"")*($B$22:$B$31&lt;=I195)*(($C$22:$C$31="")+($C$22:$C$31&lt;&gt;"")*($C$22:$C$31&gt;=I195))*($E$22:$E$31="Monthly")*$D$22:$D$31)+SUMPRODUCT(($B$22:$B$31&lt;&gt;"")*($B$22:$B$31&lt;=I195)*(($C$22:$C$31="")+($C$22:$C$31&lt;&gt;"")*($C$22:$C$31&gt;=I195))*($E$22:$E$31="Annual")*(MONTH($B$22:$B$31)=MONTH(I195))*$D$22:$D$31)+SUMPRODUCT(($B$35:$B$49&lt;&gt;"")*(YEAR($B$35:$B$49)=YEAR(I195))*(MONTH($B$35:$B$49)=MONTH(I195))*$C$35:$C$49)),"")</f>
        <v/>
      </c>
      <c r="L195" s="9">
        <f>IF(H195&lt;&gt;"",ROUND(L194-K195,2),"")</f>
        <v/>
      </c>
      <c r="M195" s="10">
        <f>IF(H195&lt;&gt;"",MIN(MonthlyPmt,L194+J195),"")</f>
        <v/>
      </c>
      <c r="N195" s="10">
        <f>IF(H195&lt;&gt;"",N194+K195,"")</f>
        <v/>
      </c>
      <c r="O195" s="10">
        <f>IF(H195&lt;&gt;"",O194+J195,"")</f>
        <v/>
      </c>
    </row>
    <row r="196">
      <c r="H196" s="12">
        <f>IF(AND(L195&gt;0.005,H195&lt;&gt;""),194,"")</f>
        <v/>
      </c>
      <c r="I196" s="13">
        <f>IF(H196&lt;&gt;"",EDATE(StartDate,193),"")</f>
        <v/>
      </c>
      <c r="J196" s="14">
        <f>IF(H196&lt;&gt;"",ROUND(L195*AnnualRate/12,2),"")</f>
        <v/>
      </c>
      <c r="K196" s="14">
        <f>IF(H196&lt;&gt;"",MIN(L195,(M196-J196)+SUMPRODUCT(($B$22:$B$31&lt;&gt;"")*($B$22:$B$31&lt;=I196)*(($C$22:$C$31="")+($C$22:$C$31&lt;&gt;"")*($C$22:$C$31&gt;=I196))*($E$22:$E$31="Monthly")*$D$22:$D$31)+SUMPRODUCT(($B$22:$B$31&lt;&gt;"")*($B$22:$B$31&lt;=I196)*(($C$22:$C$31="")+($C$22:$C$31&lt;&gt;"")*($C$22:$C$31&gt;=I196))*($E$22:$E$31="Annual")*(MONTH($B$22:$B$31)=MONTH(I196))*$D$22:$D$31)+SUMPRODUCT(($B$35:$B$49&lt;&gt;"")*(YEAR($B$35:$B$49)=YEAR(I196))*(MONTH($B$35:$B$49)=MONTH(I196))*$C$35:$C$49)),"")</f>
        <v/>
      </c>
      <c r="L196" s="14">
        <f>IF(H196&lt;&gt;"",ROUND(L195-K196,2),"")</f>
        <v/>
      </c>
      <c r="M196" s="10">
        <f>IF(H196&lt;&gt;"",MIN(MonthlyPmt,L195+J196),"")</f>
        <v/>
      </c>
      <c r="N196" s="10">
        <f>IF(H196&lt;&gt;"",N195+K196,"")</f>
        <v/>
      </c>
      <c r="O196" s="10">
        <f>IF(H196&lt;&gt;"",O195+J196,"")</f>
        <v/>
      </c>
    </row>
    <row r="197">
      <c r="H197" s="7">
        <f>IF(AND(L196&gt;0.005,H196&lt;&gt;""),195,"")</f>
        <v/>
      </c>
      <c r="I197" s="8">
        <f>IF(H197&lt;&gt;"",EDATE(StartDate,194),"")</f>
        <v/>
      </c>
      <c r="J197" s="9">
        <f>IF(H197&lt;&gt;"",ROUND(L196*AnnualRate/12,2),"")</f>
        <v/>
      </c>
      <c r="K197" s="9">
        <f>IF(H197&lt;&gt;"",MIN(L196,(M197-J197)+SUMPRODUCT(($B$22:$B$31&lt;&gt;"")*($B$22:$B$31&lt;=I197)*(($C$22:$C$31="")+($C$22:$C$31&lt;&gt;"")*($C$22:$C$31&gt;=I197))*($E$22:$E$31="Monthly")*$D$22:$D$31)+SUMPRODUCT(($B$22:$B$31&lt;&gt;"")*($B$22:$B$31&lt;=I197)*(($C$22:$C$31="")+($C$22:$C$31&lt;&gt;"")*($C$22:$C$31&gt;=I197))*($E$22:$E$31="Annual")*(MONTH($B$22:$B$31)=MONTH(I197))*$D$22:$D$31)+SUMPRODUCT(($B$35:$B$49&lt;&gt;"")*(YEAR($B$35:$B$49)=YEAR(I197))*(MONTH($B$35:$B$49)=MONTH(I197))*$C$35:$C$49)),"")</f>
        <v/>
      </c>
      <c r="L197" s="9">
        <f>IF(H197&lt;&gt;"",ROUND(L196-K197,2),"")</f>
        <v/>
      </c>
      <c r="M197" s="10">
        <f>IF(H197&lt;&gt;"",MIN(MonthlyPmt,L196+J197),"")</f>
        <v/>
      </c>
      <c r="N197" s="10">
        <f>IF(H197&lt;&gt;"",N196+K197,"")</f>
        <v/>
      </c>
      <c r="O197" s="10">
        <f>IF(H197&lt;&gt;"",O196+J197,"")</f>
        <v/>
      </c>
    </row>
    <row r="198">
      <c r="H198" s="12">
        <f>IF(AND(L197&gt;0.005,H197&lt;&gt;""),196,"")</f>
        <v/>
      </c>
      <c r="I198" s="13">
        <f>IF(H198&lt;&gt;"",EDATE(StartDate,195),"")</f>
        <v/>
      </c>
      <c r="J198" s="14">
        <f>IF(H198&lt;&gt;"",ROUND(L197*AnnualRate/12,2),"")</f>
        <v/>
      </c>
      <c r="K198" s="14">
        <f>IF(H198&lt;&gt;"",MIN(L197,(M198-J198)+SUMPRODUCT(($B$22:$B$31&lt;&gt;"")*($B$22:$B$31&lt;=I198)*(($C$22:$C$31="")+($C$22:$C$31&lt;&gt;"")*($C$22:$C$31&gt;=I198))*($E$22:$E$31="Monthly")*$D$22:$D$31)+SUMPRODUCT(($B$22:$B$31&lt;&gt;"")*($B$22:$B$31&lt;=I198)*(($C$22:$C$31="")+($C$22:$C$31&lt;&gt;"")*($C$22:$C$31&gt;=I198))*($E$22:$E$31="Annual")*(MONTH($B$22:$B$31)=MONTH(I198))*$D$22:$D$31)+SUMPRODUCT(($B$35:$B$49&lt;&gt;"")*(YEAR($B$35:$B$49)=YEAR(I198))*(MONTH($B$35:$B$49)=MONTH(I198))*$C$35:$C$49)),"")</f>
        <v/>
      </c>
      <c r="L198" s="14">
        <f>IF(H198&lt;&gt;"",ROUND(L197-K198,2),"")</f>
        <v/>
      </c>
      <c r="M198" s="10">
        <f>IF(H198&lt;&gt;"",MIN(MonthlyPmt,L197+J198),"")</f>
        <v/>
      </c>
      <c r="N198" s="10">
        <f>IF(H198&lt;&gt;"",N197+K198,"")</f>
        <v/>
      </c>
      <c r="O198" s="10">
        <f>IF(H198&lt;&gt;"",O197+J198,"")</f>
        <v/>
      </c>
    </row>
    <row r="199">
      <c r="H199" s="7">
        <f>IF(AND(L198&gt;0.005,H198&lt;&gt;""),197,"")</f>
        <v/>
      </c>
      <c r="I199" s="8">
        <f>IF(H199&lt;&gt;"",EDATE(StartDate,196),"")</f>
        <v/>
      </c>
      <c r="J199" s="9">
        <f>IF(H199&lt;&gt;"",ROUND(L198*AnnualRate/12,2),"")</f>
        <v/>
      </c>
      <c r="K199" s="9">
        <f>IF(H199&lt;&gt;"",MIN(L198,(M199-J199)+SUMPRODUCT(($B$22:$B$31&lt;&gt;"")*($B$22:$B$31&lt;=I199)*(($C$22:$C$31="")+($C$22:$C$31&lt;&gt;"")*($C$22:$C$31&gt;=I199))*($E$22:$E$31="Monthly")*$D$22:$D$31)+SUMPRODUCT(($B$22:$B$31&lt;&gt;"")*($B$22:$B$31&lt;=I199)*(($C$22:$C$31="")+($C$22:$C$31&lt;&gt;"")*($C$22:$C$31&gt;=I199))*($E$22:$E$31="Annual")*(MONTH($B$22:$B$31)=MONTH(I199))*$D$22:$D$31)+SUMPRODUCT(($B$35:$B$49&lt;&gt;"")*(YEAR($B$35:$B$49)=YEAR(I199))*(MONTH($B$35:$B$49)=MONTH(I199))*$C$35:$C$49)),"")</f>
        <v/>
      </c>
      <c r="L199" s="9">
        <f>IF(H199&lt;&gt;"",ROUND(L198-K199,2),"")</f>
        <v/>
      </c>
      <c r="M199" s="10">
        <f>IF(H199&lt;&gt;"",MIN(MonthlyPmt,L198+J199),"")</f>
        <v/>
      </c>
      <c r="N199" s="10">
        <f>IF(H199&lt;&gt;"",N198+K199,"")</f>
        <v/>
      </c>
      <c r="O199" s="10">
        <f>IF(H199&lt;&gt;"",O198+J199,"")</f>
        <v/>
      </c>
    </row>
    <row r="200">
      <c r="H200" s="12">
        <f>IF(AND(L199&gt;0.005,H199&lt;&gt;""),198,"")</f>
        <v/>
      </c>
      <c r="I200" s="13">
        <f>IF(H200&lt;&gt;"",EDATE(StartDate,197),"")</f>
        <v/>
      </c>
      <c r="J200" s="14">
        <f>IF(H200&lt;&gt;"",ROUND(L199*AnnualRate/12,2),"")</f>
        <v/>
      </c>
      <c r="K200" s="14">
        <f>IF(H200&lt;&gt;"",MIN(L199,(M200-J200)+SUMPRODUCT(($B$22:$B$31&lt;&gt;"")*($B$22:$B$31&lt;=I200)*(($C$22:$C$31="")+($C$22:$C$31&lt;&gt;"")*($C$22:$C$31&gt;=I200))*($E$22:$E$31="Monthly")*$D$22:$D$31)+SUMPRODUCT(($B$22:$B$31&lt;&gt;"")*($B$22:$B$31&lt;=I200)*(($C$22:$C$31="")+($C$22:$C$31&lt;&gt;"")*($C$22:$C$31&gt;=I200))*($E$22:$E$31="Annual")*(MONTH($B$22:$B$31)=MONTH(I200))*$D$22:$D$31)+SUMPRODUCT(($B$35:$B$49&lt;&gt;"")*(YEAR($B$35:$B$49)=YEAR(I200))*(MONTH($B$35:$B$49)=MONTH(I200))*$C$35:$C$49)),"")</f>
        <v/>
      </c>
      <c r="L200" s="14">
        <f>IF(H200&lt;&gt;"",ROUND(L199-K200,2),"")</f>
        <v/>
      </c>
      <c r="M200" s="10">
        <f>IF(H200&lt;&gt;"",MIN(MonthlyPmt,L199+J200),"")</f>
        <v/>
      </c>
      <c r="N200" s="10">
        <f>IF(H200&lt;&gt;"",N199+K200,"")</f>
        <v/>
      </c>
      <c r="O200" s="10">
        <f>IF(H200&lt;&gt;"",O199+J200,"")</f>
        <v/>
      </c>
    </row>
    <row r="201">
      <c r="H201" s="7">
        <f>IF(AND(L200&gt;0.005,H200&lt;&gt;""),199,"")</f>
        <v/>
      </c>
      <c r="I201" s="8">
        <f>IF(H201&lt;&gt;"",EDATE(StartDate,198),"")</f>
        <v/>
      </c>
      <c r="J201" s="9">
        <f>IF(H201&lt;&gt;"",ROUND(L200*AnnualRate/12,2),"")</f>
        <v/>
      </c>
      <c r="K201" s="9">
        <f>IF(H201&lt;&gt;"",MIN(L200,(M201-J201)+SUMPRODUCT(($B$22:$B$31&lt;&gt;"")*($B$22:$B$31&lt;=I201)*(($C$22:$C$31="")+($C$22:$C$31&lt;&gt;"")*($C$22:$C$31&gt;=I201))*($E$22:$E$31="Monthly")*$D$22:$D$31)+SUMPRODUCT(($B$22:$B$31&lt;&gt;"")*($B$22:$B$31&lt;=I201)*(($C$22:$C$31="")+($C$22:$C$31&lt;&gt;"")*($C$22:$C$31&gt;=I201))*($E$22:$E$31="Annual")*(MONTH($B$22:$B$31)=MONTH(I201))*$D$22:$D$31)+SUMPRODUCT(($B$35:$B$49&lt;&gt;"")*(YEAR($B$35:$B$49)=YEAR(I201))*(MONTH($B$35:$B$49)=MONTH(I201))*$C$35:$C$49)),"")</f>
        <v/>
      </c>
      <c r="L201" s="9">
        <f>IF(H201&lt;&gt;"",ROUND(L200-K201,2),"")</f>
        <v/>
      </c>
      <c r="M201" s="10">
        <f>IF(H201&lt;&gt;"",MIN(MonthlyPmt,L200+J201),"")</f>
        <v/>
      </c>
      <c r="N201" s="10">
        <f>IF(H201&lt;&gt;"",N200+K201,"")</f>
        <v/>
      </c>
      <c r="O201" s="10">
        <f>IF(H201&lt;&gt;"",O200+J201,"")</f>
        <v/>
      </c>
    </row>
    <row r="202">
      <c r="H202" s="12">
        <f>IF(AND(L201&gt;0.005,H201&lt;&gt;""),200,"")</f>
        <v/>
      </c>
      <c r="I202" s="13">
        <f>IF(H202&lt;&gt;"",EDATE(StartDate,199),"")</f>
        <v/>
      </c>
      <c r="J202" s="14">
        <f>IF(H202&lt;&gt;"",ROUND(L201*AnnualRate/12,2),"")</f>
        <v/>
      </c>
      <c r="K202" s="14">
        <f>IF(H202&lt;&gt;"",MIN(L201,(M202-J202)+SUMPRODUCT(($B$22:$B$31&lt;&gt;"")*($B$22:$B$31&lt;=I202)*(($C$22:$C$31="")+($C$22:$C$31&lt;&gt;"")*($C$22:$C$31&gt;=I202))*($E$22:$E$31="Monthly")*$D$22:$D$31)+SUMPRODUCT(($B$22:$B$31&lt;&gt;"")*($B$22:$B$31&lt;=I202)*(($C$22:$C$31="")+($C$22:$C$31&lt;&gt;"")*($C$22:$C$31&gt;=I202))*($E$22:$E$31="Annual")*(MONTH($B$22:$B$31)=MONTH(I202))*$D$22:$D$31)+SUMPRODUCT(($B$35:$B$49&lt;&gt;"")*(YEAR($B$35:$B$49)=YEAR(I202))*(MONTH($B$35:$B$49)=MONTH(I202))*$C$35:$C$49)),"")</f>
        <v/>
      </c>
      <c r="L202" s="14">
        <f>IF(H202&lt;&gt;"",ROUND(L201-K202,2),"")</f>
        <v/>
      </c>
      <c r="M202" s="10">
        <f>IF(H202&lt;&gt;"",MIN(MonthlyPmt,L201+J202),"")</f>
        <v/>
      </c>
      <c r="N202" s="10">
        <f>IF(H202&lt;&gt;"",N201+K202,"")</f>
        <v/>
      </c>
      <c r="O202" s="10">
        <f>IF(H202&lt;&gt;"",O201+J202,"")</f>
        <v/>
      </c>
    </row>
    <row r="203">
      <c r="H203" s="7">
        <f>IF(AND(L202&gt;0.005,H202&lt;&gt;""),201,"")</f>
        <v/>
      </c>
      <c r="I203" s="8">
        <f>IF(H203&lt;&gt;"",EDATE(StartDate,200),"")</f>
        <v/>
      </c>
      <c r="J203" s="9">
        <f>IF(H203&lt;&gt;"",ROUND(L202*AnnualRate/12,2),"")</f>
        <v/>
      </c>
      <c r="K203" s="9">
        <f>IF(H203&lt;&gt;"",MIN(L202,(M203-J203)+SUMPRODUCT(($B$22:$B$31&lt;&gt;"")*($B$22:$B$31&lt;=I203)*(($C$22:$C$31="")+($C$22:$C$31&lt;&gt;"")*($C$22:$C$31&gt;=I203))*($E$22:$E$31="Monthly")*$D$22:$D$31)+SUMPRODUCT(($B$22:$B$31&lt;&gt;"")*($B$22:$B$31&lt;=I203)*(($C$22:$C$31="")+($C$22:$C$31&lt;&gt;"")*($C$22:$C$31&gt;=I203))*($E$22:$E$31="Annual")*(MONTH($B$22:$B$31)=MONTH(I203))*$D$22:$D$31)+SUMPRODUCT(($B$35:$B$49&lt;&gt;"")*(YEAR($B$35:$B$49)=YEAR(I203))*(MONTH($B$35:$B$49)=MONTH(I203))*$C$35:$C$49)),"")</f>
        <v/>
      </c>
      <c r="L203" s="9">
        <f>IF(H203&lt;&gt;"",ROUND(L202-K203,2),"")</f>
        <v/>
      </c>
      <c r="M203" s="10">
        <f>IF(H203&lt;&gt;"",MIN(MonthlyPmt,L202+J203),"")</f>
        <v/>
      </c>
      <c r="N203" s="10">
        <f>IF(H203&lt;&gt;"",N202+K203,"")</f>
        <v/>
      </c>
      <c r="O203" s="10">
        <f>IF(H203&lt;&gt;"",O202+J203,"")</f>
        <v/>
      </c>
    </row>
    <row r="204">
      <c r="H204" s="12">
        <f>IF(AND(L203&gt;0.005,H203&lt;&gt;""),202,"")</f>
        <v/>
      </c>
      <c r="I204" s="13">
        <f>IF(H204&lt;&gt;"",EDATE(StartDate,201),"")</f>
        <v/>
      </c>
      <c r="J204" s="14">
        <f>IF(H204&lt;&gt;"",ROUND(L203*AnnualRate/12,2),"")</f>
        <v/>
      </c>
      <c r="K204" s="14">
        <f>IF(H204&lt;&gt;"",MIN(L203,(M204-J204)+SUMPRODUCT(($B$22:$B$31&lt;&gt;"")*($B$22:$B$31&lt;=I204)*(($C$22:$C$31="")+($C$22:$C$31&lt;&gt;"")*($C$22:$C$31&gt;=I204))*($E$22:$E$31="Monthly")*$D$22:$D$31)+SUMPRODUCT(($B$22:$B$31&lt;&gt;"")*($B$22:$B$31&lt;=I204)*(($C$22:$C$31="")+($C$22:$C$31&lt;&gt;"")*($C$22:$C$31&gt;=I204))*($E$22:$E$31="Annual")*(MONTH($B$22:$B$31)=MONTH(I204))*$D$22:$D$31)+SUMPRODUCT(($B$35:$B$49&lt;&gt;"")*(YEAR($B$35:$B$49)=YEAR(I204))*(MONTH($B$35:$B$49)=MONTH(I204))*$C$35:$C$49)),"")</f>
        <v/>
      </c>
      <c r="L204" s="14">
        <f>IF(H204&lt;&gt;"",ROUND(L203-K204,2),"")</f>
        <v/>
      </c>
      <c r="M204" s="10">
        <f>IF(H204&lt;&gt;"",MIN(MonthlyPmt,L203+J204),"")</f>
        <v/>
      </c>
      <c r="N204" s="10">
        <f>IF(H204&lt;&gt;"",N203+K204,"")</f>
        <v/>
      </c>
      <c r="O204" s="10">
        <f>IF(H204&lt;&gt;"",O203+J204,"")</f>
        <v/>
      </c>
    </row>
    <row r="205">
      <c r="H205" s="7">
        <f>IF(AND(L204&gt;0.005,H204&lt;&gt;""),203,"")</f>
        <v/>
      </c>
      <c r="I205" s="8">
        <f>IF(H205&lt;&gt;"",EDATE(StartDate,202),"")</f>
        <v/>
      </c>
      <c r="J205" s="9">
        <f>IF(H205&lt;&gt;"",ROUND(L204*AnnualRate/12,2),"")</f>
        <v/>
      </c>
      <c r="K205" s="9">
        <f>IF(H205&lt;&gt;"",MIN(L204,(M205-J205)+SUMPRODUCT(($B$22:$B$31&lt;&gt;"")*($B$22:$B$31&lt;=I205)*(($C$22:$C$31="")+($C$22:$C$31&lt;&gt;"")*($C$22:$C$31&gt;=I205))*($E$22:$E$31="Monthly")*$D$22:$D$31)+SUMPRODUCT(($B$22:$B$31&lt;&gt;"")*($B$22:$B$31&lt;=I205)*(($C$22:$C$31="")+($C$22:$C$31&lt;&gt;"")*($C$22:$C$31&gt;=I205))*($E$22:$E$31="Annual")*(MONTH($B$22:$B$31)=MONTH(I205))*$D$22:$D$31)+SUMPRODUCT(($B$35:$B$49&lt;&gt;"")*(YEAR($B$35:$B$49)=YEAR(I205))*(MONTH($B$35:$B$49)=MONTH(I205))*$C$35:$C$49)),"")</f>
        <v/>
      </c>
      <c r="L205" s="9">
        <f>IF(H205&lt;&gt;"",ROUND(L204-K205,2),"")</f>
        <v/>
      </c>
      <c r="M205" s="10">
        <f>IF(H205&lt;&gt;"",MIN(MonthlyPmt,L204+J205),"")</f>
        <v/>
      </c>
      <c r="N205" s="10">
        <f>IF(H205&lt;&gt;"",N204+K205,"")</f>
        <v/>
      </c>
      <c r="O205" s="10">
        <f>IF(H205&lt;&gt;"",O204+J205,"")</f>
        <v/>
      </c>
    </row>
    <row r="206">
      <c r="H206" s="12">
        <f>IF(AND(L205&gt;0.005,H205&lt;&gt;""),204,"")</f>
        <v/>
      </c>
      <c r="I206" s="13">
        <f>IF(H206&lt;&gt;"",EDATE(StartDate,203),"")</f>
        <v/>
      </c>
      <c r="J206" s="14">
        <f>IF(H206&lt;&gt;"",ROUND(L205*AnnualRate/12,2),"")</f>
        <v/>
      </c>
      <c r="K206" s="14">
        <f>IF(H206&lt;&gt;"",MIN(L205,(M206-J206)+SUMPRODUCT(($B$22:$B$31&lt;&gt;"")*($B$22:$B$31&lt;=I206)*(($C$22:$C$31="")+($C$22:$C$31&lt;&gt;"")*($C$22:$C$31&gt;=I206))*($E$22:$E$31="Monthly")*$D$22:$D$31)+SUMPRODUCT(($B$22:$B$31&lt;&gt;"")*($B$22:$B$31&lt;=I206)*(($C$22:$C$31="")+($C$22:$C$31&lt;&gt;"")*($C$22:$C$31&gt;=I206))*($E$22:$E$31="Annual")*(MONTH($B$22:$B$31)=MONTH(I206))*$D$22:$D$31)+SUMPRODUCT(($B$35:$B$49&lt;&gt;"")*(YEAR($B$35:$B$49)=YEAR(I206))*(MONTH($B$35:$B$49)=MONTH(I206))*$C$35:$C$49)),"")</f>
        <v/>
      </c>
      <c r="L206" s="14">
        <f>IF(H206&lt;&gt;"",ROUND(L205-K206,2),"")</f>
        <v/>
      </c>
      <c r="M206" s="10">
        <f>IF(H206&lt;&gt;"",MIN(MonthlyPmt,L205+J206),"")</f>
        <v/>
      </c>
      <c r="N206" s="10">
        <f>IF(H206&lt;&gt;"",N205+K206,"")</f>
        <v/>
      </c>
      <c r="O206" s="10">
        <f>IF(H206&lt;&gt;"",O205+J206,"")</f>
        <v/>
      </c>
    </row>
    <row r="207">
      <c r="H207" s="7">
        <f>IF(AND(L206&gt;0.005,H206&lt;&gt;""),205,"")</f>
        <v/>
      </c>
      <c r="I207" s="8">
        <f>IF(H207&lt;&gt;"",EDATE(StartDate,204),"")</f>
        <v/>
      </c>
      <c r="J207" s="9">
        <f>IF(H207&lt;&gt;"",ROUND(L206*AnnualRate/12,2),"")</f>
        <v/>
      </c>
      <c r="K207" s="9">
        <f>IF(H207&lt;&gt;"",MIN(L206,(M207-J207)+SUMPRODUCT(($B$22:$B$31&lt;&gt;"")*($B$22:$B$31&lt;=I207)*(($C$22:$C$31="")+($C$22:$C$31&lt;&gt;"")*($C$22:$C$31&gt;=I207))*($E$22:$E$31="Monthly")*$D$22:$D$31)+SUMPRODUCT(($B$22:$B$31&lt;&gt;"")*($B$22:$B$31&lt;=I207)*(($C$22:$C$31="")+($C$22:$C$31&lt;&gt;"")*($C$22:$C$31&gt;=I207))*($E$22:$E$31="Annual")*(MONTH($B$22:$B$31)=MONTH(I207))*$D$22:$D$31)+SUMPRODUCT(($B$35:$B$49&lt;&gt;"")*(YEAR($B$35:$B$49)=YEAR(I207))*(MONTH($B$35:$B$49)=MONTH(I207))*$C$35:$C$49)),"")</f>
        <v/>
      </c>
      <c r="L207" s="9">
        <f>IF(H207&lt;&gt;"",ROUND(L206-K207,2),"")</f>
        <v/>
      </c>
      <c r="M207" s="10">
        <f>IF(H207&lt;&gt;"",MIN(MonthlyPmt,L206+J207),"")</f>
        <v/>
      </c>
      <c r="N207" s="10">
        <f>IF(H207&lt;&gt;"",N206+K207,"")</f>
        <v/>
      </c>
      <c r="O207" s="10">
        <f>IF(H207&lt;&gt;"",O206+J207,"")</f>
        <v/>
      </c>
    </row>
    <row r="208">
      <c r="H208" s="12">
        <f>IF(AND(L207&gt;0.005,H207&lt;&gt;""),206,"")</f>
        <v/>
      </c>
      <c r="I208" s="13">
        <f>IF(H208&lt;&gt;"",EDATE(StartDate,205),"")</f>
        <v/>
      </c>
      <c r="J208" s="14">
        <f>IF(H208&lt;&gt;"",ROUND(L207*AnnualRate/12,2),"")</f>
        <v/>
      </c>
      <c r="K208" s="14">
        <f>IF(H208&lt;&gt;"",MIN(L207,(M208-J208)+SUMPRODUCT(($B$22:$B$31&lt;&gt;"")*($B$22:$B$31&lt;=I208)*(($C$22:$C$31="")+($C$22:$C$31&lt;&gt;"")*($C$22:$C$31&gt;=I208))*($E$22:$E$31="Monthly")*$D$22:$D$31)+SUMPRODUCT(($B$22:$B$31&lt;&gt;"")*($B$22:$B$31&lt;=I208)*(($C$22:$C$31="")+($C$22:$C$31&lt;&gt;"")*($C$22:$C$31&gt;=I208))*($E$22:$E$31="Annual")*(MONTH($B$22:$B$31)=MONTH(I208))*$D$22:$D$31)+SUMPRODUCT(($B$35:$B$49&lt;&gt;"")*(YEAR($B$35:$B$49)=YEAR(I208))*(MONTH($B$35:$B$49)=MONTH(I208))*$C$35:$C$49)),"")</f>
        <v/>
      </c>
      <c r="L208" s="14">
        <f>IF(H208&lt;&gt;"",ROUND(L207-K208,2),"")</f>
        <v/>
      </c>
      <c r="M208" s="10">
        <f>IF(H208&lt;&gt;"",MIN(MonthlyPmt,L207+J208),"")</f>
        <v/>
      </c>
      <c r="N208" s="10">
        <f>IF(H208&lt;&gt;"",N207+K208,"")</f>
        <v/>
      </c>
      <c r="O208" s="10">
        <f>IF(H208&lt;&gt;"",O207+J208,"")</f>
        <v/>
      </c>
    </row>
    <row r="209">
      <c r="H209" s="7">
        <f>IF(AND(L208&gt;0.005,H208&lt;&gt;""),207,"")</f>
        <v/>
      </c>
      <c r="I209" s="8">
        <f>IF(H209&lt;&gt;"",EDATE(StartDate,206),"")</f>
        <v/>
      </c>
      <c r="J209" s="9">
        <f>IF(H209&lt;&gt;"",ROUND(L208*AnnualRate/12,2),"")</f>
        <v/>
      </c>
      <c r="K209" s="9">
        <f>IF(H209&lt;&gt;"",MIN(L208,(M209-J209)+SUMPRODUCT(($B$22:$B$31&lt;&gt;"")*($B$22:$B$31&lt;=I209)*(($C$22:$C$31="")+($C$22:$C$31&lt;&gt;"")*($C$22:$C$31&gt;=I209))*($E$22:$E$31="Monthly")*$D$22:$D$31)+SUMPRODUCT(($B$22:$B$31&lt;&gt;"")*($B$22:$B$31&lt;=I209)*(($C$22:$C$31="")+($C$22:$C$31&lt;&gt;"")*($C$22:$C$31&gt;=I209))*($E$22:$E$31="Annual")*(MONTH($B$22:$B$31)=MONTH(I209))*$D$22:$D$31)+SUMPRODUCT(($B$35:$B$49&lt;&gt;"")*(YEAR($B$35:$B$49)=YEAR(I209))*(MONTH($B$35:$B$49)=MONTH(I209))*$C$35:$C$49)),"")</f>
        <v/>
      </c>
      <c r="L209" s="9">
        <f>IF(H209&lt;&gt;"",ROUND(L208-K209,2),"")</f>
        <v/>
      </c>
      <c r="M209" s="10">
        <f>IF(H209&lt;&gt;"",MIN(MonthlyPmt,L208+J209),"")</f>
        <v/>
      </c>
      <c r="N209" s="10">
        <f>IF(H209&lt;&gt;"",N208+K209,"")</f>
        <v/>
      </c>
      <c r="O209" s="10">
        <f>IF(H209&lt;&gt;"",O208+J209,"")</f>
        <v/>
      </c>
    </row>
    <row r="210">
      <c r="H210" s="12">
        <f>IF(AND(L209&gt;0.005,H209&lt;&gt;""),208,"")</f>
        <v/>
      </c>
      <c r="I210" s="13">
        <f>IF(H210&lt;&gt;"",EDATE(StartDate,207),"")</f>
        <v/>
      </c>
      <c r="J210" s="14">
        <f>IF(H210&lt;&gt;"",ROUND(L209*AnnualRate/12,2),"")</f>
        <v/>
      </c>
      <c r="K210" s="14">
        <f>IF(H210&lt;&gt;"",MIN(L209,(M210-J210)+SUMPRODUCT(($B$22:$B$31&lt;&gt;"")*($B$22:$B$31&lt;=I210)*(($C$22:$C$31="")+($C$22:$C$31&lt;&gt;"")*($C$22:$C$31&gt;=I210))*($E$22:$E$31="Monthly")*$D$22:$D$31)+SUMPRODUCT(($B$22:$B$31&lt;&gt;"")*($B$22:$B$31&lt;=I210)*(($C$22:$C$31="")+($C$22:$C$31&lt;&gt;"")*($C$22:$C$31&gt;=I210))*($E$22:$E$31="Annual")*(MONTH($B$22:$B$31)=MONTH(I210))*$D$22:$D$31)+SUMPRODUCT(($B$35:$B$49&lt;&gt;"")*(YEAR($B$35:$B$49)=YEAR(I210))*(MONTH($B$35:$B$49)=MONTH(I210))*$C$35:$C$49)),"")</f>
        <v/>
      </c>
      <c r="L210" s="14">
        <f>IF(H210&lt;&gt;"",ROUND(L209-K210,2),"")</f>
        <v/>
      </c>
      <c r="M210" s="10">
        <f>IF(H210&lt;&gt;"",MIN(MonthlyPmt,L209+J210),"")</f>
        <v/>
      </c>
      <c r="N210" s="10">
        <f>IF(H210&lt;&gt;"",N209+K210,"")</f>
        <v/>
      </c>
      <c r="O210" s="10">
        <f>IF(H210&lt;&gt;"",O209+J210,"")</f>
        <v/>
      </c>
    </row>
    <row r="211">
      <c r="H211" s="7">
        <f>IF(AND(L210&gt;0.005,H210&lt;&gt;""),209,"")</f>
        <v/>
      </c>
      <c r="I211" s="8">
        <f>IF(H211&lt;&gt;"",EDATE(StartDate,208),"")</f>
        <v/>
      </c>
      <c r="J211" s="9">
        <f>IF(H211&lt;&gt;"",ROUND(L210*AnnualRate/12,2),"")</f>
        <v/>
      </c>
      <c r="K211" s="9">
        <f>IF(H211&lt;&gt;"",MIN(L210,(M211-J211)+SUMPRODUCT(($B$22:$B$31&lt;&gt;"")*($B$22:$B$31&lt;=I211)*(($C$22:$C$31="")+($C$22:$C$31&lt;&gt;"")*($C$22:$C$31&gt;=I211))*($E$22:$E$31="Monthly")*$D$22:$D$31)+SUMPRODUCT(($B$22:$B$31&lt;&gt;"")*($B$22:$B$31&lt;=I211)*(($C$22:$C$31="")+($C$22:$C$31&lt;&gt;"")*($C$22:$C$31&gt;=I211))*($E$22:$E$31="Annual")*(MONTH($B$22:$B$31)=MONTH(I211))*$D$22:$D$31)+SUMPRODUCT(($B$35:$B$49&lt;&gt;"")*(YEAR($B$35:$B$49)=YEAR(I211))*(MONTH($B$35:$B$49)=MONTH(I211))*$C$35:$C$49)),"")</f>
        <v/>
      </c>
      <c r="L211" s="9">
        <f>IF(H211&lt;&gt;"",ROUND(L210-K211,2),"")</f>
        <v/>
      </c>
      <c r="M211" s="10">
        <f>IF(H211&lt;&gt;"",MIN(MonthlyPmt,L210+J211),"")</f>
        <v/>
      </c>
      <c r="N211" s="10">
        <f>IF(H211&lt;&gt;"",N210+K211,"")</f>
        <v/>
      </c>
      <c r="O211" s="10">
        <f>IF(H211&lt;&gt;"",O210+J211,"")</f>
        <v/>
      </c>
    </row>
    <row r="212">
      <c r="H212" s="12">
        <f>IF(AND(L211&gt;0.005,H211&lt;&gt;""),210,"")</f>
        <v/>
      </c>
      <c r="I212" s="13">
        <f>IF(H212&lt;&gt;"",EDATE(StartDate,209),"")</f>
        <v/>
      </c>
      <c r="J212" s="14">
        <f>IF(H212&lt;&gt;"",ROUND(L211*AnnualRate/12,2),"")</f>
        <v/>
      </c>
      <c r="K212" s="14">
        <f>IF(H212&lt;&gt;"",MIN(L211,(M212-J212)+SUMPRODUCT(($B$22:$B$31&lt;&gt;"")*($B$22:$B$31&lt;=I212)*(($C$22:$C$31="")+($C$22:$C$31&lt;&gt;"")*($C$22:$C$31&gt;=I212))*($E$22:$E$31="Monthly")*$D$22:$D$31)+SUMPRODUCT(($B$22:$B$31&lt;&gt;"")*($B$22:$B$31&lt;=I212)*(($C$22:$C$31="")+($C$22:$C$31&lt;&gt;"")*($C$22:$C$31&gt;=I212))*($E$22:$E$31="Annual")*(MONTH($B$22:$B$31)=MONTH(I212))*$D$22:$D$31)+SUMPRODUCT(($B$35:$B$49&lt;&gt;"")*(YEAR($B$35:$B$49)=YEAR(I212))*(MONTH($B$35:$B$49)=MONTH(I212))*$C$35:$C$49)),"")</f>
        <v/>
      </c>
      <c r="L212" s="14">
        <f>IF(H212&lt;&gt;"",ROUND(L211-K212,2),"")</f>
        <v/>
      </c>
      <c r="M212" s="10">
        <f>IF(H212&lt;&gt;"",MIN(MonthlyPmt,L211+J212),"")</f>
        <v/>
      </c>
      <c r="N212" s="10">
        <f>IF(H212&lt;&gt;"",N211+K212,"")</f>
        <v/>
      </c>
      <c r="O212" s="10">
        <f>IF(H212&lt;&gt;"",O211+J212,"")</f>
        <v/>
      </c>
    </row>
    <row r="213">
      <c r="H213" s="7">
        <f>IF(AND(L212&gt;0.005,H212&lt;&gt;""),211,"")</f>
        <v/>
      </c>
      <c r="I213" s="8">
        <f>IF(H213&lt;&gt;"",EDATE(StartDate,210),"")</f>
        <v/>
      </c>
      <c r="J213" s="9">
        <f>IF(H213&lt;&gt;"",ROUND(L212*AnnualRate/12,2),"")</f>
        <v/>
      </c>
      <c r="K213" s="9">
        <f>IF(H213&lt;&gt;"",MIN(L212,(M213-J213)+SUMPRODUCT(($B$22:$B$31&lt;&gt;"")*($B$22:$B$31&lt;=I213)*(($C$22:$C$31="")+($C$22:$C$31&lt;&gt;"")*($C$22:$C$31&gt;=I213))*($E$22:$E$31="Monthly")*$D$22:$D$31)+SUMPRODUCT(($B$22:$B$31&lt;&gt;"")*($B$22:$B$31&lt;=I213)*(($C$22:$C$31="")+($C$22:$C$31&lt;&gt;"")*($C$22:$C$31&gt;=I213))*($E$22:$E$31="Annual")*(MONTH($B$22:$B$31)=MONTH(I213))*$D$22:$D$31)+SUMPRODUCT(($B$35:$B$49&lt;&gt;"")*(YEAR($B$35:$B$49)=YEAR(I213))*(MONTH($B$35:$B$49)=MONTH(I213))*$C$35:$C$49)),"")</f>
        <v/>
      </c>
      <c r="L213" s="9">
        <f>IF(H213&lt;&gt;"",ROUND(L212-K213,2),"")</f>
        <v/>
      </c>
      <c r="M213" s="10">
        <f>IF(H213&lt;&gt;"",MIN(MonthlyPmt,L212+J213),"")</f>
        <v/>
      </c>
      <c r="N213" s="10">
        <f>IF(H213&lt;&gt;"",N212+K213,"")</f>
        <v/>
      </c>
      <c r="O213" s="10">
        <f>IF(H213&lt;&gt;"",O212+J213,"")</f>
        <v/>
      </c>
    </row>
    <row r="214">
      <c r="H214" s="12">
        <f>IF(AND(L213&gt;0.005,H213&lt;&gt;""),212,"")</f>
        <v/>
      </c>
      <c r="I214" s="13">
        <f>IF(H214&lt;&gt;"",EDATE(StartDate,211),"")</f>
        <v/>
      </c>
      <c r="J214" s="14">
        <f>IF(H214&lt;&gt;"",ROUND(L213*AnnualRate/12,2),"")</f>
        <v/>
      </c>
      <c r="K214" s="14">
        <f>IF(H214&lt;&gt;"",MIN(L213,(M214-J214)+SUMPRODUCT(($B$22:$B$31&lt;&gt;"")*($B$22:$B$31&lt;=I214)*(($C$22:$C$31="")+($C$22:$C$31&lt;&gt;"")*($C$22:$C$31&gt;=I214))*($E$22:$E$31="Monthly")*$D$22:$D$31)+SUMPRODUCT(($B$22:$B$31&lt;&gt;"")*($B$22:$B$31&lt;=I214)*(($C$22:$C$31="")+($C$22:$C$31&lt;&gt;"")*($C$22:$C$31&gt;=I214))*($E$22:$E$31="Annual")*(MONTH($B$22:$B$31)=MONTH(I214))*$D$22:$D$31)+SUMPRODUCT(($B$35:$B$49&lt;&gt;"")*(YEAR($B$35:$B$49)=YEAR(I214))*(MONTH($B$35:$B$49)=MONTH(I214))*$C$35:$C$49)),"")</f>
        <v/>
      </c>
      <c r="L214" s="14">
        <f>IF(H214&lt;&gt;"",ROUND(L213-K214,2),"")</f>
        <v/>
      </c>
      <c r="M214" s="10">
        <f>IF(H214&lt;&gt;"",MIN(MonthlyPmt,L213+J214),"")</f>
        <v/>
      </c>
      <c r="N214" s="10">
        <f>IF(H214&lt;&gt;"",N213+K214,"")</f>
        <v/>
      </c>
      <c r="O214" s="10">
        <f>IF(H214&lt;&gt;"",O213+J214,"")</f>
        <v/>
      </c>
    </row>
    <row r="215">
      <c r="H215" s="7">
        <f>IF(AND(L214&gt;0.005,H214&lt;&gt;""),213,"")</f>
        <v/>
      </c>
      <c r="I215" s="8">
        <f>IF(H215&lt;&gt;"",EDATE(StartDate,212),"")</f>
        <v/>
      </c>
      <c r="J215" s="9">
        <f>IF(H215&lt;&gt;"",ROUND(L214*AnnualRate/12,2),"")</f>
        <v/>
      </c>
      <c r="K215" s="9">
        <f>IF(H215&lt;&gt;"",MIN(L214,(M215-J215)+SUMPRODUCT(($B$22:$B$31&lt;&gt;"")*($B$22:$B$31&lt;=I215)*(($C$22:$C$31="")+($C$22:$C$31&lt;&gt;"")*($C$22:$C$31&gt;=I215))*($E$22:$E$31="Monthly")*$D$22:$D$31)+SUMPRODUCT(($B$22:$B$31&lt;&gt;"")*($B$22:$B$31&lt;=I215)*(($C$22:$C$31="")+($C$22:$C$31&lt;&gt;"")*($C$22:$C$31&gt;=I215))*($E$22:$E$31="Annual")*(MONTH($B$22:$B$31)=MONTH(I215))*$D$22:$D$31)+SUMPRODUCT(($B$35:$B$49&lt;&gt;"")*(YEAR($B$35:$B$49)=YEAR(I215))*(MONTH($B$35:$B$49)=MONTH(I215))*$C$35:$C$49)),"")</f>
        <v/>
      </c>
      <c r="L215" s="9">
        <f>IF(H215&lt;&gt;"",ROUND(L214-K215,2),"")</f>
        <v/>
      </c>
      <c r="M215" s="10">
        <f>IF(H215&lt;&gt;"",MIN(MonthlyPmt,L214+J215),"")</f>
        <v/>
      </c>
      <c r="N215" s="10">
        <f>IF(H215&lt;&gt;"",N214+K215,"")</f>
        <v/>
      </c>
      <c r="O215" s="10">
        <f>IF(H215&lt;&gt;"",O214+J215,"")</f>
        <v/>
      </c>
    </row>
    <row r="216">
      <c r="H216" s="12">
        <f>IF(AND(L215&gt;0.005,H215&lt;&gt;""),214,"")</f>
        <v/>
      </c>
      <c r="I216" s="13">
        <f>IF(H216&lt;&gt;"",EDATE(StartDate,213),"")</f>
        <v/>
      </c>
      <c r="J216" s="14">
        <f>IF(H216&lt;&gt;"",ROUND(L215*AnnualRate/12,2),"")</f>
        <v/>
      </c>
      <c r="K216" s="14">
        <f>IF(H216&lt;&gt;"",MIN(L215,(M216-J216)+SUMPRODUCT(($B$22:$B$31&lt;&gt;"")*($B$22:$B$31&lt;=I216)*(($C$22:$C$31="")+($C$22:$C$31&lt;&gt;"")*($C$22:$C$31&gt;=I216))*($E$22:$E$31="Monthly")*$D$22:$D$31)+SUMPRODUCT(($B$22:$B$31&lt;&gt;"")*($B$22:$B$31&lt;=I216)*(($C$22:$C$31="")+($C$22:$C$31&lt;&gt;"")*($C$22:$C$31&gt;=I216))*($E$22:$E$31="Annual")*(MONTH($B$22:$B$31)=MONTH(I216))*$D$22:$D$31)+SUMPRODUCT(($B$35:$B$49&lt;&gt;"")*(YEAR($B$35:$B$49)=YEAR(I216))*(MONTH($B$35:$B$49)=MONTH(I216))*$C$35:$C$49)),"")</f>
        <v/>
      </c>
      <c r="L216" s="14">
        <f>IF(H216&lt;&gt;"",ROUND(L215-K216,2),"")</f>
        <v/>
      </c>
      <c r="M216" s="10">
        <f>IF(H216&lt;&gt;"",MIN(MonthlyPmt,L215+J216),"")</f>
        <v/>
      </c>
      <c r="N216" s="10">
        <f>IF(H216&lt;&gt;"",N215+K216,"")</f>
        <v/>
      </c>
      <c r="O216" s="10">
        <f>IF(H216&lt;&gt;"",O215+J216,"")</f>
        <v/>
      </c>
    </row>
    <row r="217">
      <c r="H217" s="7">
        <f>IF(AND(L216&gt;0.005,H216&lt;&gt;""),215,"")</f>
        <v/>
      </c>
      <c r="I217" s="8">
        <f>IF(H217&lt;&gt;"",EDATE(StartDate,214),"")</f>
        <v/>
      </c>
      <c r="J217" s="9">
        <f>IF(H217&lt;&gt;"",ROUND(L216*AnnualRate/12,2),"")</f>
        <v/>
      </c>
      <c r="K217" s="9">
        <f>IF(H217&lt;&gt;"",MIN(L216,(M217-J217)+SUMPRODUCT(($B$22:$B$31&lt;&gt;"")*($B$22:$B$31&lt;=I217)*(($C$22:$C$31="")+($C$22:$C$31&lt;&gt;"")*($C$22:$C$31&gt;=I217))*($E$22:$E$31="Monthly")*$D$22:$D$31)+SUMPRODUCT(($B$22:$B$31&lt;&gt;"")*($B$22:$B$31&lt;=I217)*(($C$22:$C$31="")+($C$22:$C$31&lt;&gt;"")*($C$22:$C$31&gt;=I217))*($E$22:$E$31="Annual")*(MONTH($B$22:$B$31)=MONTH(I217))*$D$22:$D$31)+SUMPRODUCT(($B$35:$B$49&lt;&gt;"")*(YEAR($B$35:$B$49)=YEAR(I217))*(MONTH($B$35:$B$49)=MONTH(I217))*$C$35:$C$49)),"")</f>
        <v/>
      </c>
      <c r="L217" s="9">
        <f>IF(H217&lt;&gt;"",ROUND(L216-K217,2),"")</f>
        <v/>
      </c>
      <c r="M217" s="10">
        <f>IF(H217&lt;&gt;"",MIN(MonthlyPmt,L216+J217),"")</f>
        <v/>
      </c>
      <c r="N217" s="10">
        <f>IF(H217&lt;&gt;"",N216+K217,"")</f>
        <v/>
      </c>
      <c r="O217" s="10">
        <f>IF(H217&lt;&gt;"",O216+J217,"")</f>
        <v/>
      </c>
    </row>
    <row r="218">
      <c r="H218" s="12">
        <f>IF(AND(L217&gt;0.005,H217&lt;&gt;""),216,"")</f>
        <v/>
      </c>
      <c r="I218" s="13">
        <f>IF(H218&lt;&gt;"",EDATE(StartDate,215),"")</f>
        <v/>
      </c>
      <c r="J218" s="14">
        <f>IF(H218&lt;&gt;"",ROUND(L217*AnnualRate/12,2),"")</f>
        <v/>
      </c>
      <c r="K218" s="14">
        <f>IF(H218&lt;&gt;"",MIN(L217,(M218-J218)+SUMPRODUCT(($B$22:$B$31&lt;&gt;"")*($B$22:$B$31&lt;=I218)*(($C$22:$C$31="")+($C$22:$C$31&lt;&gt;"")*($C$22:$C$31&gt;=I218))*($E$22:$E$31="Monthly")*$D$22:$D$31)+SUMPRODUCT(($B$22:$B$31&lt;&gt;"")*($B$22:$B$31&lt;=I218)*(($C$22:$C$31="")+($C$22:$C$31&lt;&gt;"")*($C$22:$C$31&gt;=I218))*($E$22:$E$31="Annual")*(MONTH($B$22:$B$31)=MONTH(I218))*$D$22:$D$31)+SUMPRODUCT(($B$35:$B$49&lt;&gt;"")*(YEAR($B$35:$B$49)=YEAR(I218))*(MONTH($B$35:$B$49)=MONTH(I218))*$C$35:$C$49)),"")</f>
        <v/>
      </c>
      <c r="L218" s="14">
        <f>IF(H218&lt;&gt;"",ROUND(L217-K218,2),"")</f>
        <v/>
      </c>
      <c r="M218" s="10">
        <f>IF(H218&lt;&gt;"",MIN(MonthlyPmt,L217+J218),"")</f>
        <v/>
      </c>
      <c r="N218" s="10">
        <f>IF(H218&lt;&gt;"",N217+K218,"")</f>
        <v/>
      </c>
      <c r="O218" s="10">
        <f>IF(H218&lt;&gt;"",O217+J218,"")</f>
        <v/>
      </c>
    </row>
    <row r="219">
      <c r="H219" s="7">
        <f>IF(AND(L218&gt;0.005,H218&lt;&gt;""),217,"")</f>
        <v/>
      </c>
      <c r="I219" s="8">
        <f>IF(H219&lt;&gt;"",EDATE(StartDate,216),"")</f>
        <v/>
      </c>
      <c r="J219" s="9">
        <f>IF(H219&lt;&gt;"",ROUND(L218*AnnualRate/12,2),"")</f>
        <v/>
      </c>
      <c r="K219" s="9">
        <f>IF(H219&lt;&gt;"",MIN(L218,(M219-J219)+SUMPRODUCT(($B$22:$B$31&lt;&gt;"")*($B$22:$B$31&lt;=I219)*(($C$22:$C$31="")+($C$22:$C$31&lt;&gt;"")*($C$22:$C$31&gt;=I219))*($E$22:$E$31="Monthly")*$D$22:$D$31)+SUMPRODUCT(($B$22:$B$31&lt;&gt;"")*($B$22:$B$31&lt;=I219)*(($C$22:$C$31="")+($C$22:$C$31&lt;&gt;"")*($C$22:$C$31&gt;=I219))*($E$22:$E$31="Annual")*(MONTH($B$22:$B$31)=MONTH(I219))*$D$22:$D$31)+SUMPRODUCT(($B$35:$B$49&lt;&gt;"")*(YEAR($B$35:$B$49)=YEAR(I219))*(MONTH($B$35:$B$49)=MONTH(I219))*$C$35:$C$49)),"")</f>
        <v/>
      </c>
      <c r="L219" s="9">
        <f>IF(H219&lt;&gt;"",ROUND(L218-K219,2),"")</f>
        <v/>
      </c>
      <c r="M219" s="10">
        <f>IF(H219&lt;&gt;"",MIN(MonthlyPmt,L218+J219),"")</f>
        <v/>
      </c>
      <c r="N219" s="10">
        <f>IF(H219&lt;&gt;"",N218+K219,"")</f>
        <v/>
      </c>
      <c r="O219" s="10">
        <f>IF(H219&lt;&gt;"",O218+J219,"")</f>
        <v/>
      </c>
    </row>
    <row r="220">
      <c r="H220" s="12">
        <f>IF(AND(L219&gt;0.005,H219&lt;&gt;""),218,"")</f>
        <v/>
      </c>
      <c r="I220" s="13">
        <f>IF(H220&lt;&gt;"",EDATE(StartDate,217),"")</f>
        <v/>
      </c>
      <c r="J220" s="14">
        <f>IF(H220&lt;&gt;"",ROUND(L219*AnnualRate/12,2),"")</f>
        <v/>
      </c>
      <c r="K220" s="14">
        <f>IF(H220&lt;&gt;"",MIN(L219,(M220-J220)+SUMPRODUCT(($B$22:$B$31&lt;&gt;"")*($B$22:$B$31&lt;=I220)*(($C$22:$C$31="")+($C$22:$C$31&lt;&gt;"")*($C$22:$C$31&gt;=I220))*($E$22:$E$31="Monthly")*$D$22:$D$31)+SUMPRODUCT(($B$22:$B$31&lt;&gt;"")*($B$22:$B$31&lt;=I220)*(($C$22:$C$31="")+($C$22:$C$31&lt;&gt;"")*($C$22:$C$31&gt;=I220))*($E$22:$E$31="Annual")*(MONTH($B$22:$B$31)=MONTH(I220))*$D$22:$D$31)+SUMPRODUCT(($B$35:$B$49&lt;&gt;"")*(YEAR($B$35:$B$49)=YEAR(I220))*(MONTH($B$35:$B$49)=MONTH(I220))*$C$35:$C$49)),"")</f>
        <v/>
      </c>
      <c r="L220" s="14">
        <f>IF(H220&lt;&gt;"",ROUND(L219-K220,2),"")</f>
        <v/>
      </c>
      <c r="M220" s="10">
        <f>IF(H220&lt;&gt;"",MIN(MonthlyPmt,L219+J220),"")</f>
        <v/>
      </c>
      <c r="N220" s="10">
        <f>IF(H220&lt;&gt;"",N219+K220,"")</f>
        <v/>
      </c>
      <c r="O220" s="10">
        <f>IF(H220&lt;&gt;"",O219+J220,"")</f>
        <v/>
      </c>
    </row>
    <row r="221">
      <c r="H221" s="7">
        <f>IF(AND(L220&gt;0.005,H220&lt;&gt;""),219,"")</f>
        <v/>
      </c>
      <c r="I221" s="8">
        <f>IF(H221&lt;&gt;"",EDATE(StartDate,218),"")</f>
        <v/>
      </c>
      <c r="J221" s="9">
        <f>IF(H221&lt;&gt;"",ROUND(L220*AnnualRate/12,2),"")</f>
        <v/>
      </c>
      <c r="K221" s="9">
        <f>IF(H221&lt;&gt;"",MIN(L220,(M221-J221)+SUMPRODUCT(($B$22:$B$31&lt;&gt;"")*($B$22:$B$31&lt;=I221)*(($C$22:$C$31="")+($C$22:$C$31&lt;&gt;"")*($C$22:$C$31&gt;=I221))*($E$22:$E$31="Monthly")*$D$22:$D$31)+SUMPRODUCT(($B$22:$B$31&lt;&gt;"")*($B$22:$B$31&lt;=I221)*(($C$22:$C$31="")+($C$22:$C$31&lt;&gt;"")*($C$22:$C$31&gt;=I221))*($E$22:$E$31="Annual")*(MONTH($B$22:$B$31)=MONTH(I221))*$D$22:$D$31)+SUMPRODUCT(($B$35:$B$49&lt;&gt;"")*(YEAR($B$35:$B$49)=YEAR(I221))*(MONTH($B$35:$B$49)=MONTH(I221))*$C$35:$C$49)),"")</f>
        <v/>
      </c>
      <c r="L221" s="9">
        <f>IF(H221&lt;&gt;"",ROUND(L220-K221,2),"")</f>
        <v/>
      </c>
      <c r="M221" s="10">
        <f>IF(H221&lt;&gt;"",MIN(MonthlyPmt,L220+J221),"")</f>
        <v/>
      </c>
      <c r="N221" s="10">
        <f>IF(H221&lt;&gt;"",N220+K221,"")</f>
        <v/>
      </c>
      <c r="O221" s="10">
        <f>IF(H221&lt;&gt;"",O220+J221,"")</f>
        <v/>
      </c>
    </row>
    <row r="222">
      <c r="H222" s="12">
        <f>IF(AND(L221&gt;0.005,H221&lt;&gt;""),220,"")</f>
        <v/>
      </c>
      <c r="I222" s="13">
        <f>IF(H222&lt;&gt;"",EDATE(StartDate,219),"")</f>
        <v/>
      </c>
      <c r="J222" s="14">
        <f>IF(H222&lt;&gt;"",ROUND(L221*AnnualRate/12,2),"")</f>
        <v/>
      </c>
      <c r="K222" s="14">
        <f>IF(H222&lt;&gt;"",MIN(L221,(M222-J222)+SUMPRODUCT(($B$22:$B$31&lt;&gt;"")*($B$22:$B$31&lt;=I222)*(($C$22:$C$31="")+($C$22:$C$31&lt;&gt;"")*($C$22:$C$31&gt;=I222))*($E$22:$E$31="Monthly")*$D$22:$D$31)+SUMPRODUCT(($B$22:$B$31&lt;&gt;"")*($B$22:$B$31&lt;=I222)*(($C$22:$C$31="")+($C$22:$C$31&lt;&gt;"")*($C$22:$C$31&gt;=I222))*($E$22:$E$31="Annual")*(MONTH($B$22:$B$31)=MONTH(I222))*$D$22:$D$31)+SUMPRODUCT(($B$35:$B$49&lt;&gt;"")*(YEAR($B$35:$B$49)=YEAR(I222))*(MONTH($B$35:$B$49)=MONTH(I222))*$C$35:$C$49)),"")</f>
        <v/>
      </c>
      <c r="L222" s="14">
        <f>IF(H222&lt;&gt;"",ROUND(L221-K222,2),"")</f>
        <v/>
      </c>
      <c r="M222" s="10">
        <f>IF(H222&lt;&gt;"",MIN(MonthlyPmt,L221+J222),"")</f>
        <v/>
      </c>
      <c r="N222" s="10">
        <f>IF(H222&lt;&gt;"",N221+K222,"")</f>
        <v/>
      </c>
      <c r="O222" s="10">
        <f>IF(H222&lt;&gt;"",O221+J222,"")</f>
        <v/>
      </c>
    </row>
    <row r="223">
      <c r="H223" s="7">
        <f>IF(AND(L222&gt;0.005,H222&lt;&gt;""),221,"")</f>
        <v/>
      </c>
      <c r="I223" s="8">
        <f>IF(H223&lt;&gt;"",EDATE(StartDate,220),"")</f>
        <v/>
      </c>
      <c r="J223" s="9">
        <f>IF(H223&lt;&gt;"",ROUND(L222*AnnualRate/12,2),"")</f>
        <v/>
      </c>
      <c r="K223" s="9">
        <f>IF(H223&lt;&gt;"",MIN(L222,(M223-J223)+SUMPRODUCT(($B$22:$B$31&lt;&gt;"")*($B$22:$B$31&lt;=I223)*(($C$22:$C$31="")+($C$22:$C$31&lt;&gt;"")*($C$22:$C$31&gt;=I223))*($E$22:$E$31="Monthly")*$D$22:$D$31)+SUMPRODUCT(($B$22:$B$31&lt;&gt;"")*($B$22:$B$31&lt;=I223)*(($C$22:$C$31="")+($C$22:$C$31&lt;&gt;"")*($C$22:$C$31&gt;=I223))*($E$22:$E$31="Annual")*(MONTH($B$22:$B$31)=MONTH(I223))*$D$22:$D$31)+SUMPRODUCT(($B$35:$B$49&lt;&gt;"")*(YEAR($B$35:$B$49)=YEAR(I223))*(MONTH($B$35:$B$49)=MONTH(I223))*$C$35:$C$49)),"")</f>
        <v/>
      </c>
      <c r="L223" s="9">
        <f>IF(H223&lt;&gt;"",ROUND(L222-K223,2),"")</f>
        <v/>
      </c>
      <c r="M223" s="10">
        <f>IF(H223&lt;&gt;"",MIN(MonthlyPmt,L222+J223),"")</f>
        <v/>
      </c>
      <c r="N223" s="10">
        <f>IF(H223&lt;&gt;"",N222+K223,"")</f>
        <v/>
      </c>
      <c r="O223" s="10">
        <f>IF(H223&lt;&gt;"",O222+J223,"")</f>
        <v/>
      </c>
    </row>
    <row r="224">
      <c r="H224" s="12">
        <f>IF(AND(L223&gt;0.005,H223&lt;&gt;""),222,"")</f>
        <v/>
      </c>
      <c r="I224" s="13">
        <f>IF(H224&lt;&gt;"",EDATE(StartDate,221),"")</f>
        <v/>
      </c>
      <c r="J224" s="14">
        <f>IF(H224&lt;&gt;"",ROUND(L223*AnnualRate/12,2),"")</f>
        <v/>
      </c>
      <c r="K224" s="14">
        <f>IF(H224&lt;&gt;"",MIN(L223,(M224-J224)+SUMPRODUCT(($B$22:$B$31&lt;&gt;"")*($B$22:$B$31&lt;=I224)*(($C$22:$C$31="")+($C$22:$C$31&lt;&gt;"")*($C$22:$C$31&gt;=I224))*($E$22:$E$31="Monthly")*$D$22:$D$31)+SUMPRODUCT(($B$22:$B$31&lt;&gt;"")*($B$22:$B$31&lt;=I224)*(($C$22:$C$31="")+($C$22:$C$31&lt;&gt;"")*($C$22:$C$31&gt;=I224))*($E$22:$E$31="Annual")*(MONTH($B$22:$B$31)=MONTH(I224))*$D$22:$D$31)+SUMPRODUCT(($B$35:$B$49&lt;&gt;"")*(YEAR($B$35:$B$49)=YEAR(I224))*(MONTH($B$35:$B$49)=MONTH(I224))*$C$35:$C$49)),"")</f>
        <v/>
      </c>
      <c r="L224" s="14">
        <f>IF(H224&lt;&gt;"",ROUND(L223-K224,2),"")</f>
        <v/>
      </c>
      <c r="M224" s="10">
        <f>IF(H224&lt;&gt;"",MIN(MonthlyPmt,L223+J224),"")</f>
        <v/>
      </c>
      <c r="N224" s="10">
        <f>IF(H224&lt;&gt;"",N223+K224,"")</f>
        <v/>
      </c>
      <c r="O224" s="10">
        <f>IF(H224&lt;&gt;"",O223+J224,"")</f>
        <v/>
      </c>
    </row>
    <row r="225">
      <c r="H225" s="7">
        <f>IF(AND(L224&gt;0.005,H224&lt;&gt;""),223,"")</f>
        <v/>
      </c>
      <c r="I225" s="8">
        <f>IF(H225&lt;&gt;"",EDATE(StartDate,222),"")</f>
        <v/>
      </c>
      <c r="J225" s="9">
        <f>IF(H225&lt;&gt;"",ROUND(L224*AnnualRate/12,2),"")</f>
        <v/>
      </c>
      <c r="K225" s="9">
        <f>IF(H225&lt;&gt;"",MIN(L224,(M225-J225)+SUMPRODUCT(($B$22:$B$31&lt;&gt;"")*($B$22:$B$31&lt;=I225)*(($C$22:$C$31="")+($C$22:$C$31&lt;&gt;"")*($C$22:$C$31&gt;=I225))*($E$22:$E$31="Monthly")*$D$22:$D$31)+SUMPRODUCT(($B$22:$B$31&lt;&gt;"")*($B$22:$B$31&lt;=I225)*(($C$22:$C$31="")+($C$22:$C$31&lt;&gt;"")*($C$22:$C$31&gt;=I225))*($E$22:$E$31="Annual")*(MONTH($B$22:$B$31)=MONTH(I225))*$D$22:$D$31)+SUMPRODUCT(($B$35:$B$49&lt;&gt;"")*(YEAR($B$35:$B$49)=YEAR(I225))*(MONTH($B$35:$B$49)=MONTH(I225))*$C$35:$C$49)),"")</f>
        <v/>
      </c>
      <c r="L225" s="9">
        <f>IF(H225&lt;&gt;"",ROUND(L224-K225,2),"")</f>
        <v/>
      </c>
      <c r="M225" s="10">
        <f>IF(H225&lt;&gt;"",MIN(MonthlyPmt,L224+J225),"")</f>
        <v/>
      </c>
      <c r="N225" s="10">
        <f>IF(H225&lt;&gt;"",N224+K225,"")</f>
        <v/>
      </c>
      <c r="O225" s="10">
        <f>IF(H225&lt;&gt;"",O224+J225,"")</f>
        <v/>
      </c>
    </row>
    <row r="226">
      <c r="H226" s="12">
        <f>IF(AND(L225&gt;0.005,H225&lt;&gt;""),224,"")</f>
        <v/>
      </c>
      <c r="I226" s="13">
        <f>IF(H226&lt;&gt;"",EDATE(StartDate,223),"")</f>
        <v/>
      </c>
      <c r="J226" s="14">
        <f>IF(H226&lt;&gt;"",ROUND(L225*AnnualRate/12,2),"")</f>
        <v/>
      </c>
      <c r="K226" s="14">
        <f>IF(H226&lt;&gt;"",MIN(L225,(M226-J226)+SUMPRODUCT(($B$22:$B$31&lt;&gt;"")*($B$22:$B$31&lt;=I226)*(($C$22:$C$31="")+($C$22:$C$31&lt;&gt;"")*($C$22:$C$31&gt;=I226))*($E$22:$E$31="Monthly")*$D$22:$D$31)+SUMPRODUCT(($B$22:$B$31&lt;&gt;"")*($B$22:$B$31&lt;=I226)*(($C$22:$C$31="")+($C$22:$C$31&lt;&gt;"")*($C$22:$C$31&gt;=I226))*($E$22:$E$31="Annual")*(MONTH($B$22:$B$31)=MONTH(I226))*$D$22:$D$31)+SUMPRODUCT(($B$35:$B$49&lt;&gt;"")*(YEAR($B$35:$B$49)=YEAR(I226))*(MONTH($B$35:$B$49)=MONTH(I226))*$C$35:$C$49)),"")</f>
        <v/>
      </c>
      <c r="L226" s="14">
        <f>IF(H226&lt;&gt;"",ROUND(L225-K226,2),"")</f>
        <v/>
      </c>
      <c r="M226" s="10">
        <f>IF(H226&lt;&gt;"",MIN(MonthlyPmt,L225+J226),"")</f>
        <v/>
      </c>
      <c r="N226" s="10">
        <f>IF(H226&lt;&gt;"",N225+K226,"")</f>
        <v/>
      </c>
      <c r="O226" s="10">
        <f>IF(H226&lt;&gt;"",O225+J226,"")</f>
        <v/>
      </c>
    </row>
    <row r="227">
      <c r="H227" s="7">
        <f>IF(AND(L226&gt;0.005,H226&lt;&gt;""),225,"")</f>
        <v/>
      </c>
      <c r="I227" s="8">
        <f>IF(H227&lt;&gt;"",EDATE(StartDate,224),"")</f>
        <v/>
      </c>
      <c r="J227" s="9">
        <f>IF(H227&lt;&gt;"",ROUND(L226*AnnualRate/12,2),"")</f>
        <v/>
      </c>
      <c r="K227" s="9">
        <f>IF(H227&lt;&gt;"",MIN(L226,(M227-J227)+SUMPRODUCT(($B$22:$B$31&lt;&gt;"")*($B$22:$B$31&lt;=I227)*(($C$22:$C$31="")+($C$22:$C$31&lt;&gt;"")*($C$22:$C$31&gt;=I227))*($E$22:$E$31="Monthly")*$D$22:$D$31)+SUMPRODUCT(($B$22:$B$31&lt;&gt;"")*($B$22:$B$31&lt;=I227)*(($C$22:$C$31="")+($C$22:$C$31&lt;&gt;"")*($C$22:$C$31&gt;=I227))*($E$22:$E$31="Annual")*(MONTH($B$22:$B$31)=MONTH(I227))*$D$22:$D$31)+SUMPRODUCT(($B$35:$B$49&lt;&gt;"")*(YEAR($B$35:$B$49)=YEAR(I227))*(MONTH($B$35:$B$49)=MONTH(I227))*$C$35:$C$49)),"")</f>
        <v/>
      </c>
      <c r="L227" s="9">
        <f>IF(H227&lt;&gt;"",ROUND(L226-K227,2),"")</f>
        <v/>
      </c>
      <c r="M227" s="10">
        <f>IF(H227&lt;&gt;"",MIN(MonthlyPmt,L226+J227),"")</f>
        <v/>
      </c>
      <c r="N227" s="10">
        <f>IF(H227&lt;&gt;"",N226+K227,"")</f>
        <v/>
      </c>
      <c r="O227" s="10">
        <f>IF(H227&lt;&gt;"",O226+J227,"")</f>
        <v/>
      </c>
    </row>
    <row r="228">
      <c r="H228" s="12">
        <f>IF(AND(L227&gt;0.005,H227&lt;&gt;""),226,"")</f>
        <v/>
      </c>
      <c r="I228" s="13">
        <f>IF(H228&lt;&gt;"",EDATE(StartDate,225),"")</f>
        <v/>
      </c>
      <c r="J228" s="14">
        <f>IF(H228&lt;&gt;"",ROUND(L227*AnnualRate/12,2),"")</f>
        <v/>
      </c>
      <c r="K228" s="14">
        <f>IF(H228&lt;&gt;"",MIN(L227,(M228-J228)+SUMPRODUCT(($B$22:$B$31&lt;&gt;"")*($B$22:$B$31&lt;=I228)*(($C$22:$C$31="")+($C$22:$C$31&lt;&gt;"")*($C$22:$C$31&gt;=I228))*($E$22:$E$31="Monthly")*$D$22:$D$31)+SUMPRODUCT(($B$22:$B$31&lt;&gt;"")*($B$22:$B$31&lt;=I228)*(($C$22:$C$31="")+($C$22:$C$31&lt;&gt;"")*($C$22:$C$31&gt;=I228))*($E$22:$E$31="Annual")*(MONTH($B$22:$B$31)=MONTH(I228))*$D$22:$D$31)+SUMPRODUCT(($B$35:$B$49&lt;&gt;"")*(YEAR($B$35:$B$49)=YEAR(I228))*(MONTH($B$35:$B$49)=MONTH(I228))*$C$35:$C$49)),"")</f>
        <v/>
      </c>
      <c r="L228" s="14">
        <f>IF(H228&lt;&gt;"",ROUND(L227-K228,2),"")</f>
        <v/>
      </c>
      <c r="M228" s="10">
        <f>IF(H228&lt;&gt;"",MIN(MonthlyPmt,L227+J228),"")</f>
        <v/>
      </c>
      <c r="N228" s="10">
        <f>IF(H228&lt;&gt;"",N227+K228,"")</f>
        <v/>
      </c>
      <c r="O228" s="10">
        <f>IF(H228&lt;&gt;"",O227+J228,"")</f>
        <v/>
      </c>
    </row>
    <row r="229">
      <c r="H229" s="7">
        <f>IF(AND(L228&gt;0.005,H228&lt;&gt;""),227,"")</f>
        <v/>
      </c>
      <c r="I229" s="8">
        <f>IF(H229&lt;&gt;"",EDATE(StartDate,226),"")</f>
        <v/>
      </c>
      <c r="J229" s="9">
        <f>IF(H229&lt;&gt;"",ROUND(L228*AnnualRate/12,2),"")</f>
        <v/>
      </c>
      <c r="K229" s="9">
        <f>IF(H229&lt;&gt;"",MIN(L228,(M229-J229)+SUMPRODUCT(($B$22:$B$31&lt;&gt;"")*($B$22:$B$31&lt;=I229)*(($C$22:$C$31="")+($C$22:$C$31&lt;&gt;"")*($C$22:$C$31&gt;=I229))*($E$22:$E$31="Monthly")*$D$22:$D$31)+SUMPRODUCT(($B$22:$B$31&lt;&gt;"")*($B$22:$B$31&lt;=I229)*(($C$22:$C$31="")+($C$22:$C$31&lt;&gt;"")*($C$22:$C$31&gt;=I229))*($E$22:$E$31="Annual")*(MONTH($B$22:$B$31)=MONTH(I229))*$D$22:$D$31)+SUMPRODUCT(($B$35:$B$49&lt;&gt;"")*(YEAR($B$35:$B$49)=YEAR(I229))*(MONTH($B$35:$B$49)=MONTH(I229))*$C$35:$C$49)),"")</f>
        <v/>
      </c>
      <c r="L229" s="9">
        <f>IF(H229&lt;&gt;"",ROUND(L228-K229,2),"")</f>
        <v/>
      </c>
      <c r="M229" s="10">
        <f>IF(H229&lt;&gt;"",MIN(MonthlyPmt,L228+J229),"")</f>
        <v/>
      </c>
      <c r="N229" s="10">
        <f>IF(H229&lt;&gt;"",N228+K229,"")</f>
        <v/>
      </c>
      <c r="O229" s="10">
        <f>IF(H229&lt;&gt;"",O228+J229,"")</f>
        <v/>
      </c>
    </row>
    <row r="230">
      <c r="H230" s="12">
        <f>IF(AND(L229&gt;0.005,H229&lt;&gt;""),228,"")</f>
        <v/>
      </c>
      <c r="I230" s="13">
        <f>IF(H230&lt;&gt;"",EDATE(StartDate,227),"")</f>
        <v/>
      </c>
      <c r="J230" s="14">
        <f>IF(H230&lt;&gt;"",ROUND(L229*AnnualRate/12,2),"")</f>
        <v/>
      </c>
      <c r="K230" s="14">
        <f>IF(H230&lt;&gt;"",MIN(L229,(M230-J230)+SUMPRODUCT(($B$22:$B$31&lt;&gt;"")*($B$22:$B$31&lt;=I230)*(($C$22:$C$31="")+($C$22:$C$31&lt;&gt;"")*($C$22:$C$31&gt;=I230))*($E$22:$E$31="Monthly")*$D$22:$D$31)+SUMPRODUCT(($B$22:$B$31&lt;&gt;"")*($B$22:$B$31&lt;=I230)*(($C$22:$C$31="")+($C$22:$C$31&lt;&gt;"")*($C$22:$C$31&gt;=I230))*($E$22:$E$31="Annual")*(MONTH($B$22:$B$31)=MONTH(I230))*$D$22:$D$31)+SUMPRODUCT(($B$35:$B$49&lt;&gt;"")*(YEAR($B$35:$B$49)=YEAR(I230))*(MONTH($B$35:$B$49)=MONTH(I230))*$C$35:$C$49)),"")</f>
        <v/>
      </c>
      <c r="L230" s="14">
        <f>IF(H230&lt;&gt;"",ROUND(L229-K230,2),"")</f>
        <v/>
      </c>
      <c r="M230" s="10">
        <f>IF(H230&lt;&gt;"",MIN(MonthlyPmt,L229+J230),"")</f>
        <v/>
      </c>
      <c r="N230" s="10">
        <f>IF(H230&lt;&gt;"",N229+K230,"")</f>
        <v/>
      </c>
      <c r="O230" s="10">
        <f>IF(H230&lt;&gt;"",O229+J230,"")</f>
        <v/>
      </c>
    </row>
    <row r="231">
      <c r="H231" s="7">
        <f>IF(AND(L230&gt;0.005,H230&lt;&gt;""),229,"")</f>
        <v/>
      </c>
      <c r="I231" s="8">
        <f>IF(H231&lt;&gt;"",EDATE(StartDate,228),"")</f>
        <v/>
      </c>
      <c r="J231" s="9">
        <f>IF(H231&lt;&gt;"",ROUND(L230*AnnualRate/12,2),"")</f>
        <v/>
      </c>
      <c r="K231" s="9">
        <f>IF(H231&lt;&gt;"",MIN(L230,(M231-J231)+SUMPRODUCT(($B$22:$B$31&lt;&gt;"")*($B$22:$B$31&lt;=I231)*(($C$22:$C$31="")+($C$22:$C$31&lt;&gt;"")*($C$22:$C$31&gt;=I231))*($E$22:$E$31="Monthly")*$D$22:$D$31)+SUMPRODUCT(($B$22:$B$31&lt;&gt;"")*($B$22:$B$31&lt;=I231)*(($C$22:$C$31="")+($C$22:$C$31&lt;&gt;"")*($C$22:$C$31&gt;=I231))*($E$22:$E$31="Annual")*(MONTH($B$22:$B$31)=MONTH(I231))*$D$22:$D$31)+SUMPRODUCT(($B$35:$B$49&lt;&gt;"")*(YEAR($B$35:$B$49)=YEAR(I231))*(MONTH($B$35:$B$49)=MONTH(I231))*$C$35:$C$49)),"")</f>
        <v/>
      </c>
      <c r="L231" s="9">
        <f>IF(H231&lt;&gt;"",ROUND(L230-K231,2),"")</f>
        <v/>
      </c>
      <c r="M231" s="10">
        <f>IF(H231&lt;&gt;"",MIN(MonthlyPmt,L230+J231),"")</f>
        <v/>
      </c>
      <c r="N231" s="10">
        <f>IF(H231&lt;&gt;"",N230+K231,"")</f>
        <v/>
      </c>
      <c r="O231" s="10">
        <f>IF(H231&lt;&gt;"",O230+J231,"")</f>
        <v/>
      </c>
    </row>
    <row r="232">
      <c r="H232" s="12">
        <f>IF(AND(L231&gt;0.005,H231&lt;&gt;""),230,"")</f>
        <v/>
      </c>
      <c r="I232" s="13">
        <f>IF(H232&lt;&gt;"",EDATE(StartDate,229),"")</f>
        <v/>
      </c>
      <c r="J232" s="14">
        <f>IF(H232&lt;&gt;"",ROUND(L231*AnnualRate/12,2),"")</f>
        <v/>
      </c>
      <c r="K232" s="14">
        <f>IF(H232&lt;&gt;"",MIN(L231,(M232-J232)+SUMPRODUCT(($B$22:$B$31&lt;&gt;"")*($B$22:$B$31&lt;=I232)*(($C$22:$C$31="")+($C$22:$C$31&lt;&gt;"")*($C$22:$C$31&gt;=I232))*($E$22:$E$31="Monthly")*$D$22:$D$31)+SUMPRODUCT(($B$22:$B$31&lt;&gt;"")*($B$22:$B$31&lt;=I232)*(($C$22:$C$31="")+($C$22:$C$31&lt;&gt;"")*($C$22:$C$31&gt;=I232))*($E$22:$E$31="Annual")*(MONTH($B$22:$B$31)=MONTH(I232))*$D$22:$D$31)+SUMPRODUCT(($B$35:$B$49&lt;&gt;"")*(YEAR($B$35:$B$49)=YEAR(I232))*(MONTH($B$35:$B$49)=MONTH(I232))*$C$35:$C$49)),"")</f>
        <v/>
      </c>
      <c r="L232" s="14">
        <f>IF(H232&lt;&gt;"",ROUND(L231-K232,2),"")</f>
        <v/>
      </c>
      <c r="M232" s="10">
        <f>IF(H232&lt;&gt;"",MIN(MonthlyPmt,L231+J232),"")</f>
        <v/>
      </c>
      <c r="N232" s="10">
        <f>IF(H232&lt;&gt;"",N231+K232,"")</f>
        <v/>
      </c>
      <c r="O232" s="10">
        <f>IF(H232&lt;&gt;"",O231+J232,"")</f>
        <v/>
      </c>
    </row>
    <row r="233">
      <c r="H233" s="7">
        <f>IF(AND(L232&gt;0.005,H232&lt;&gt;""),231,"")</f>
        <v/>
      </c>
      <c r="I233" s="8">
        <f>IF(H233&lt;&gt;"",EDATE(StartDate,230),"")</f>
        <v/>
      </c>
      <c r="J233" s="9">
        <f>IF(H233&lt;&gt;"",ROUND(L232*AnnualRate/12,2),"")</f>
        <v/>
      </c>
      <c r="K233" s="9">
        <f>IF(H233&lt;&gt;"",MIN(L232,(M233-J233)+SUMPRODUCT(($B$22:$B$31&lt;&gt;"")*($B$22:$B$31&lt;=I233)*(($C$22:$C$31="")+($C$22:$C$31&lt;&gt;"")*($C$22:$C$31&gt;=I233))*($E$22:$E$31="Monthly")*$D$22:$D$31)+SUMPRODUCT(($B$22:$B$31&lt;&gt;"")*($B$22:$B$31&lt;=I233)*(($C$22:$C$31="")+($C$22:$C$31&lt;&gt;"")*($C$22:$C$31&gt;=I233))*($E$22:$E$31="Annual")*(MONTH($B$22:$B$31)=MONTH(I233))*$D$22:$D$31)+SUMPRODUCT(($B$35:$B$49&lt;&gt;"")*(YEAR($B$35:$B$49)=YEAR(I233))*(MONTH($B$35:$B$49)=MONTH(I233))*$C$35:$C$49)),"")</f>
        <v/>
      </c>
      <c r="L233" s="9">
        <f>IF(H233&lt;&gt;"",ROUND(L232-K233,2),"")</f>
        <v/>
      </c>
      <c r="M233" s="10">
        <f>IF(H233&lt;&gt;"",MIN(MonthlyPmt,L232+J233),"")</f>
        <v/>
      </c>
      <c r="N233" s="10">
        <f>IF(H233&lt;&gt;"",N232+K233,"")</f>
        <v/>
      </c>
      <c r="O233" s="10">
        <f>IF(H233&lt;&gt;"",O232+J233,"")</f>
        <v/>
      </c>
    </row>
    <row r="234">
      <c r="H234" s="12">
        <f>IF(AND(L233&gt;0.005,H233&lt;&gt;""),232,"")</f>
        <v/>
      </c>
      <c r="I234" s="13">
        <f>IF(H234&lt;&gt;"",EDATE(StartDate,231),"")</f>
        <v/>
      </c>
      <c r="J234" s="14">
        <f>IF(H234&lt;&gt;"",ROUND(L233*AnnualRate/12,2),"")</f>
        <v/>
      </c>
      <c r="K234" s="14">
        <f>IF(H234&lt;&gt;"",MIN(L233,(M234-J234)+SUMPRODUCT(($B$22:$B$31&lt;&gt;"")*($B$22:$B$31&lt;=I234)*(($C$22:$C$31="")+($C$22:$C$31&lt;&gt;"")*($C$22:$C$31&gt;=I234))*($E$22:$E$31="Monthly")*$D$22:$D$31)+SUMPRODUCT(($B$22:$B$31&lt;&gt;"")*($B$22:$B$31&lt;=I234)*(($C$22:$C$31="")+($C$22:$C$31&lt;&gt;"")*($C$22:$C$31&gt;=I234))*($E$22:$E$31="Annual")*(MONTH($B$22:$B$31)=MONTH(I234))*$D$22:$D$31)+SUMPRODUCT(($B$35:$B$49&lt;&gt;"")*(YEAR($B$35:$B$49)=YEAR(I234))*(MONTH($B$35:$B$49)=MONTH(I234))*$C$35:$C$49)),"")</f>
        <v/>
      </c>
      <c r="L234" s="14">
        <f>IF(H234&lt;&gt;"",ROUND(L233-K234,2),"")</f>
        <v/>
      </c>
      <c r="M234" s="10">
        <f>IF(H234&lt;&gt;"",MIN(MonthlyPmt,L233+J234),"")</f>
        <v/>
      </c>
      <c r="N234" s="10">
        <f>IF(H234&lt;&gt;"",N233+K234,"")</f>
        <v/>
      </c>
      <c r="O234" s="10">
        <f>IF(H234&lt;&gt;"",O233+J234,"")</f>
        <v/>
      </c>
    </row>
    <row r="235">
      <c r="H235" s="7">
        <f>IF(AND(L234&gt;0.005,H234&lt;&gt;""),233,"")</f>
        <v/>
      </c>
      <c r="I235" s="8">
        <f>IF(H235&lt;&gt;"",EDATE(StartDate,232),"")</f>
        <v/>
      </c>
      <c r="J235" s="9">
        <f>IF(H235&lt;&gt;"",ROUND(L234*AnnualRate/12,2),"")</f>
        <v/>
      </c>
      <c r="K235" s="9">
        <f>IF(H235&lt;&gt;"",MIN(L234,(M235-J235)+SUMPRODUCT(($B$22:$B$31&lt;&gt;"")*($B$22:$B$31&lt;=I235)*(($C$22:$C$31="")+($C$22:$C$31&lt;&gt;"")*($C$22:$C$31&gt;=I235))*($E$22:$E$31="Monthly")*$D$22:$D$31)+SUMPRODUCT(($B$22:$B$31&lt;&gt;"")*($B$22:$B$31&lt;=I235)*(($C$22:$C$31="")+($C$22:$C$31&lt;&gt;"")*($C$22:$C$31&gt;=I235))*($E$22:$E$31="Annual")*(MONTH($B$22:$B$31)=MONTH(I235))*$D$22:$D$31)+SUMPRODUCT(($B$35:$B$49&lt;&gt;"")*(YEAR($B$35:$B$49)=YEAR(I235))*(MONTH($B$35:$B$49)=MONTH(I235))*$C$35:$C$49)),"")</f>
        <v/>
      </c>
      <c r="L235" s="9">
        <f>IF(H235&lt;&gt;"",ROUND(L234-K235,2),"")</f>
        <v/>
      </c>
      <c r="M235" s="10">
        <f>IF(H235&lt;&gt;"",MIN(MonthlyPmt,L234+J235),"")</f>
        <v/>
      </c>
      <c r="N235" s="10">
        <f>IF(H235&lt;&gt;"",N234+K235,"")</f>
        <v/>
      </c>
      <c r="O235" s="10">
        <f>IF(H235&lt;&gt;"",O234+J235,"")</f>
        <v/>
      </c>
    </row>
    <row r="236">
      <c r="H236" s="12">
        <f>IF(AND(L235&gt;0.005,H235&lt;&gt;""),234,"")</f>
        <v/>
      </c>
      <c r="I236" s="13">
        <f>IF(H236&lt;&gt;"",EDATE(StartDate,233),"")</f>
        <v/>
      </c>
      <c r="J236" s="14">
        <f>IF(H236&lt;&gt;"",ROUND(L235*AnnualRate/12,2),"")</f>
        <v/>
      </c>
      <c r="K236" s="14">
        <f>IF(H236&lt;&gt;"",MIN(L235,(M236-J236)+SUMPRODUCT(($B$22:$B$31&lt;&gt;"")*($B$22:$B$31&lt;=I236)*(($C$22:$C$31="")+($C$22:$C$31&lt;&gt;"")*($C$22:$C$31&gt;=I236))*($E$22:$E$31="Monthly")*$D$22:$D$31)+SUMPRODUCT(($B$22:$B$31&lt;&gt;"")*($B$22:$B$31&lt;=I236)*(($C$22:$C$31="")+($C$22:$C$31&lt;&gt;"")*($C$22:$C$31&gt;=I236))*($E$22:$E$31="Annual")*(MONTH($B$22:$B$31)=MONTH(I236))*$D$22:$D$31)+SUMPRODUCT(($B$35:$B$49&lt;&gt;"")*(YEAR($B$35:$B$49)=YEAR(I236))*(MONTH($B$35:$B$49)=MONTH(I236))*$C$35:$C$49)),"")</f>
        <v/>
      </c>
      <c r="L236" s="14">
        <f>IF(H236&lt;&gt;"",ROUND(L235-K236,2),"")</f>
        <v/>
      </c>
      <c r="M236" s="10">
        <f>IF(H236&lt;&gt;"",MIN(MonthlyPmt,L235+J236),"")</f>
        <v/>
      </c>
      <c r="N236" s="10">
        <f>IF(H236&lt;&gt;"",N235+K236,"")</f>
        <v/>
      </c>
      <c r="O236" s="10">
        <f>IF(H236&lt;&gt;"",O235+J236,"")</f>
        <v/>
      </c>
    </row>
    <row r="237">
      <c r="H237" s="7">
        <f>IF(AND(L236&gt;0.005,H236&lt;&gt;""),235,"")</f>
        <v/>
      </c>
      <c r="I237" s="8">
        <f>IF(H237&lt;&gt;"",EDATE(StartDate,234),"")</f>
        <v/>
      </c>
      <c r="J237" s="9">
        <f>IF(H237&lt;&gt;"",ROUND(L236*AnnualRate/12,2),"")</f>
        <v/>
      </c>
      <c r="K237" s="9">
        <f>IF(H237&lt;&gt;"",MIN(L236,(M237-J237)+SUMPRODUCT(($B$22:$B$31&lt;&gt;"")*($B$22:$B$31&lt;=I237)*(($C$22:$C$31="")+($C$22:$C$31&lt;&gt;"")*($C$22:$C$31&gt;=I237))*($E$22:$E$31="Monthly")*$D$22:$D$31)+SUMPRODUCT(($B$22:$B$31&lt;&gt;"")*($B$22:$B$31&lt;=I237)*(($C$22:$C$31="")+($C$22:$C$31&lt;&gt;"")*($C$22:$C$31&gt;=I237))*($E$22:$E$31="Annual")*(MONTH($B$22:$B$31)=MONTH(I237))*$D$22:$D$31)+SUMPRODUCT(($B$35:$B$49&lt;&gt;"")*(YEAR($B$35:$B$49)=YEAR(I237))*(MONTH($B$35:$B$49)=MONTH(I237))*$C$35:$C$49)),"")</f>
        <v/>
      </c>
      <c r="L237" s="9">
        <f>IF(H237&lt;&gt;"",ROUND(L236-K237,2),"")</f>
        <v/>
      </c>
      <c r="M237" s="10">
        <f>IF(H237&lt;&gt;"",MIN(MonthlyPmt,L236+J237),"")</f>
        <v/>
      </c>
      <c r="N237" s="10">
        <f>IF(H237&lt;&gt;"",N236+K237,"")</f>
        <v/>
      </c>
      <c r="O237" s="10">
        <f>IF(H237&lt;&gt;"",O236+J237,"")</f>
        <v/>
      </c>
    </row>
    <row r="238">
      <c r="H238" s="12">
        <f>IF(AND(L237&gt;0.005,H237&lt;&gt;""),236,"")</f>
        <v/>
      </c>
      <c r="I238" s="13">
        <f>IF(H238&lt;&gt;"",EDATE(StartDate,235),"")</f>
        <v/>
      </c>
      <c r="J238" s="14">
        <f>IF(H238&lt;&gt;"",ROUND(L237*AnnualRate/12,2),"")</f>
        <v/>
      </c>
      <c r="K238" s="14">
        <f>IF(H238&lt;&gt;"",MIN(L237,(M238-J238)+SUMPRODUCT(($B$22:$B$31&lt;&gt;"")*($B$22:$B$31&lt;=I238)*(($C$22:$C$31="")+($C$22:$C$31&lt;&gt;"")*($C$22:$C$31&gt;=I238))*($E$22:$E$31="Monthly")*$D$22:$D$31)+SUMPRODUCT(($B$22:$B$31&lt;&gt;"")*($B$22:$B$31&lt;=I238)*(($C$22:$C$31="")+($C$22:$C$31&lt;&gt;"")*($C$22:$C$31&gt;=I238))*($E$22:$E$31="Annual")*(MONTH($B$22:$B$31)=MONTH(I238))*$D$22:$D$31)+SUMPRODUCT(($B$35:$B$49&lt;&gt;"")*(YEAR($B$35:$B$49)=YEAR(I238))*(MONTH($B$35:$B$49)=MONTH(I238))*$C$35:$C$49)),"")</f>
        <v/>
      </c>
      <c r="L238" s="14">
        <f>IF(H238&lt;&gt;"",ROUND(L237-K238,2),"")</f>
        <v/>
      </c>
      <c r="M238" s="10">
        <f>IF(H238&lt;&gt;"",MIN(MonthlyPmt,L237+J238),"")</f>
        <v/>
      </c>
      <c r="N238" s="10">
        <f>IF(H238&lt;&gt;"",N237+K238,"")</f>
        <v/>
      </c>
      <c r="O238" s="10">
        <f>IF(H238&lt;&gt;"",O237+J238,"")</f>
        <v/>
      </c>
    </row>
    <row r="239">
      <c r="H239" s="7">
        <f>IF(AND(L238&gt;0.005,H238&lt;&gt;""),237,"")</f>
        <v/>
      </c>
      <c r="I239" s="8">
        <f>IF(H239&lt;&gt;"",EDATE(StartDate,236),"")</f>
        <v/>
      </c>
      <c r="J239" s="9">
        <f>IF(H239&lt;&gt;"",ROUND(L238*AnnualRate/12,2),"")</f>
        <v/>
      </c>
      <c r="K239" s="9">
        <f>IF(H239&lt;&gt;"",MIN(L238,(M239-J239)+SUMPRODUCT(($B$22:$B$31&lt;&gt;"")*($B$22:$B$31&lt;=I239)*(($C$22:$C$31="")+($C$22:$C$31&lt;&gt;"")*($C$22:$C$31&gt;=I239))*($E$22:$E$31="Monthly")*$D$22:$D$31)+SUMPRODUCT(($B$22:$B$31&lt;&gt;"")*($B$22:$B$31&lt;=I239)*(($C$22:$C$31="")+($C$22:$C$31&lt;&gt;"")*($C$22:$C$31&gt;=I239))*($E$22:$E$31="Annual")*(MONTH($B$22:$B$31)=MONTH(I239))*$D$22:$D$31)+SUMPRODUCT(($B$35:$B$49&lt;&gt;"")*(YEAR($B$35:$B$49)=YEAR(I239))*(MONTH($B$35:$B$49)=MONTH(I239))*$C$35:$C$49)),"")</f>
        <v/>
      </c>
      <c r="L239" s="9">
        <f>IF(H239&lt;&gt;"",ROUND(L238-K239,2),"")</f>
        <v/>
      </c>
      <c r="M239" s="10">
        <f>IF(H239&lt;&gt;"",MIN(MonthlyPmt,L238+J239),"")</f>
        <v/>
      </c>
      <c r="N239" s="10">
        <f>IF(H239&lt;&gt;"",N238+K239,"")</f>
        <v/>
      </c>
      <c r="O239" s="10">
        <f>IF(H239&lt;&gt;"",O238+J239,"")</f>
        <v/>
      </c>
    </row>
    <row r="240">
      <c r="H240" s="12">
        <f>IF(AND(L239&gt;0.005,H239&lt;&gt;""),238,"")</f>
        <v/>
      </c>
      <c r="I240" s="13">
        <f>IF(H240&lt;&gt;"",EDATE(StartDate,237),"")</f>
        <v/>
      </c>
      <c r="J240" s="14">
        <f>IF(H240&lt;&gt;"",ROUND(L239*AnnualRate/12,2),"")</f>
        <v/>
      </c>
      <c r="K240" s="14">
        <f>IF(H240&lt;&gt;"",MIN(L239,(M240-J240)+SUMPRODUCT(($B$22:$B$31&lt;&gt;"")*($B$22:$B$31&lt;=I240)*(($C$22:$C$31="")+($C$22:$C$31&lt;&gt;"")*($C$22:$C$31&gt;=I240))*($E$22:$E$31="Monthly")*$D$22:$D$31)+SUMPRODUCT(($B$22:$B$31&lt;&gt;"")*($B$22:$B$31&lt;=I240)*(($C$22:$C$31="")+($C$22:$C$31&lt;&gt;"")*($C$22:$C$31&gt;=I240))*($E$22:$E$31="Annual")*(MONTH($B$22:$B$31)=MONTH(I240))*$D$22:$D$31)+SUMPRODUCT(($B$35:$B$49&lt;&gt;"")*(YEAR($B$35:$B$49)=YEAR(I240))*(MONTH($B$35:$B$49)=MONTH(I240))*$C$35:$C$49)),"")</f>
        <v/>
      </c>
      <c r="L240" s="14">
        <f>IF(H240&lt;&gt;"",ROUND(L239-K240,2),"")</f>
        <v/>
      </c>
      <c r="M240" s="10">
        <f>IF(H240&lt;&gt;"",MIN(MonthlyPmt,L239+J240),"")</f>
        <v/>
      </c>
      <c r="N240" s="10">
        <f>IF(H240&lt;&gt;"",N239+K240,"")</f>
        <v/>
      </c>
      <c r="O240" s="10">
        <f>IF(H240&lt;&gt;"",O239+J240,"")</f>
        <v/>
      </c>
    </row>
    <row r="241">
      <c r="H241" s="7">
        <f>IF(AND(L240&gt;0.005,H240&lt;&gt;""),239,"")</f>
        <v/>
      </c>
      <c r="I241" s="8">
        <f>IF(H241&lt;&gt;"",EDATE(StartDate,238),"")</f>
        <v/>
      </c>
      <c r="J241" s="9">
        <f>IF(H241&lt;&gt;"",ROUND(L240*AnnualRate/12,2),"")</f>
        <v/>
      </c>
      <c r="K241" s="9">
        <f>IF(H241&lt;&gt;"",MIN(L240,(M241-J241)+SUMPRODUCT(($B$22:$B$31&lt;&gt;"")*($B$22:$B$31&lt;=I241)*(($C$22:$C$31="")+($C$22:$C$31&lt;&gt;"")*($C$22:$C$31&gt;=I241))*($E$22:$E$31="Monthly")*$D$22:$D$31)+SUMPRODUCT(($B$22:$B$31&lt;&gt;"")*($B$22:$B$31&lt;=I241)*(($C$22:$C$31="")+($C$22:$C$31&lt;&gt;"")*($C$22:$C$31&gt;=I241))*($E$22:$E$31="Annual")*(MONTH($B$22:$B$31)=MONTH(I241))*$D$22:$D$31)+SUMPRODUCT(($B$35:$B$49&lt;&gt;"")*(YEAR($B$35:$B$49)=YEAR(I241))*(MONTH($B$35:$B$49)=MONTH(I241))*$C$35:$C$49)),"")</f>
        <v/>
      </c>
      <c r="L241" s="9">
        <f>IF(H241&lt;&gt;"",ROUND(L240-K241,2),"")</f>
        <v/>
      </c>
      <c r="M241" s="10">
        <f>IF(H241&lt;&gt;"",MIN(MonthlyPmt,L240+J241),"")</f>
        <v/>
      </c>
      <c r="N241" s="10">
        <f>IF(H241&lt;&gt;"",N240+K241,"")</f>
        <v/>
      </c>
      <c r="O241" s="10">
        <f>IF(H241&lt;&gt;"",O240+J241,"")</f>
        <v/>
      </c>
    </row>
    <row r="242">
      <c r="H242" s="12">
        <f>IF(AND(L241&gt;0.005,H241&lt;&gt;""),240,"")</f>
        <v/>
      </c>
      <c r="I242" s="13">
        <f>IF(H242&lt;&gt;"",EDATE(StartDate,239),"")</f>
        <v/>
      </c>
      <c r="J242" s="14">
        <f>IF(H242&lt;&gt;"",ROUND(L241*AnnualRate/12,2),"")</f>
        <v/>
      </c>
      <c r="K242" s="14">
        <f>IF(H242&lt;&gt;"",MIN(L241,(M242-J242)+SUMPRODUCT(($B$22:$B$31&lt;&gt;"")*($B$22:$B$31&lt;=I242)*(($C$22:$C$31="")+($C$22:$C$31&lt;&gt;"")*($C$22:$C$31&gt;=I242))*($E$22:$E$31="Monthly")*$D$22:$D$31)+SUMPRODUCT(($B$22:$B$31&lt;&gt;"")*($B$22:$B$31&lt;=I242)*(($C$22:$C$31="")+($C$22:$C$31&lt;&gt;"")*($C$22:$C$31&gt;=I242))*($E$22:$E$31="Annual")*(MONTH($B$22:$B$31)=MONTH(I242))*$D$22:$D$31)+SUMPRODUCT(($B$35:$B$49&lt;&gt;"")*(YEAR($B$35:$B$49)=YEAR(I242))*(MONTH($B$35:$B$49)=MONTH(I242))*$C$35:$C$49)),"")</f>
        <v/>
      </c>
      <c r="L242" s="14">
        <f>IF(H242&lt;&gt;"",ROUND(L241-K242,2),"")</f>
        <v/>
      </c>
      <c r="M242" s="10">
        <f>IF(H242&lt;&gt;"",MIN(MonthlyPmt,L241+J242),"")</f>
        <v/>
      </c>
      <c r="N242" s="10">
        <f>IF(H242&lt;&gt;"",N241+K242,"")</f>
        <v/>
      </c>
      <c r="O242" s="10">
        <f>IF(H242&lt;&gt;"",O241+J242,"")</f>
        <v/>
      </c>
    </row>
    <row r="243">
      <c r="H243" s="7">
        <f>IF(AND(L242&gt;0.005,H242&lt;&gt;""),241,"")</f>
        <v/>
      </c>
      <c r="I243" s="8">
        <f>IF(H243&lt;&gt;"",EDATE(StartDate,240),"")</f>
        <v/>
      </c>
      <c r="J243" s="9">
        <f>IF(H243&lt;&gt;"",ROUND(L242*AnnualRate/12,2),"")</f>
        <v/>
      </c>
      <c r="K243" s="9">
        <f>IF(H243&lt;&gt;"",MIN(L242,(M243-J243)+SUMPRODUCT(($B$22:$B$31&lt;&gt;"")*($B$22:$B$31&lt;=I243)*(($C$22:$C$31="")+($C$22:$C$31&lt;&gt;"")*($C$22:$C$31&gt;=I243))*($E$22:$E$31="Monthly")*$D$22:$D$31)+SUMPRODUCT(($B$22:$B$31&lt;&gt;"")*($B$22:$B$31&lt;=I243)*(($C$22:$C$31="")+($C$22:$C$31&lt;&gt;"")*($C$22:$C$31&gt;=I243))*($E$22:$E$31="Annual")*(MONTH($B$22:$B$31)=MONTH(I243))*$D$22:$D$31)+SUMPRODUCT(($B$35:$B$49&lt;&gt;"")*(YEAR($B$35:$B$49)=YEAR(I243))*(MONTH($B$35:$B$49)=MONTH(I243))*$C$35:$C$49)),"")</f>
        <v/>
      </c>
      <c r="L243" s="9">
        <f>IF(H243&lt;&gt;"",ROUND(L242-K243,2),"")</f>
        <v/>
      </c>
      <c r="M243" s="10">
        <f>IF(H243&lt;&gt;"",MIN(MonthlyPmt,L242+J243),"")</f>
        <v/>
      </c>
      <c r="N243" s="10">
        <f>IF(H243&lt;&gt;"",N242+K243,"")</f>
        <v/>
      </c>
      <c r="O243" s="10">
        <f>IF(H243&lt;&gt;"",O242+J243,"")</f>
        <v/>
      </c>
    </row>
    <row r="244">
      <c r="H244" s="12">
        <f>IF(AND(L243&gt;0.005,H243&lt;&gt;""),242,"")</f>
        <v/>
      </c>
      <c r="I244" s="13">
        <f>IF(H244&lt;&gt;"",EDATE(StartDate,241),"")</f>
        <v/>
      </c>
      <c r="J244" s="14">
        <f>IF(H244&lt;&gt;"",ROUND(L243*AnnualRate/12,2),"")</f>
        <v/>
      </c>
      <c r="K244" s="14">
        <f>IF(H244&lt;&gt;"",MIN(L243,(M244-J244)+SUMPRODUCT(($B$22:$B$31&lt;&gt;"")*($B$22:$B$31&lt;=I244)*(($C$22:$C$31="")+($C$22:$C$31&lt;&gt;"")*($C$22:$C$31&gt;=I244))*($E$22:$E$31="Monthly")*$D$22:$D$31)+SUMPRODUCT(($B$22:$B$31&lt;&gt;"")*($B$22:$B$31&lt;=I244)*(($C$22:$C$31="")+($C$22:$C$31&lt;&gt;"")*($C$22:$C$31&gt;=I244))*($E$22:$E$31="Annual")*(MONTH($B$22:$B$31)=MONTH(I244))*$D$22:$D$31)+SUMPRODUCT(($B$35:$B$49&lt;&gt;"")*(YEAR($B$35:$B$49)=YEAR(I244))*(MONTH($B$35:$B$49)=MONTH(I244))*$C$35:$C$49)),"")</f>
        <v/>
      </c>
      <c r="L244" s="14">
        <f>IF(H244&lt;&gt;"",ROUND(L243-K244,2),"")</f>
        <v/>
      </c>
      <c r="M244" s="10">
        <f>IF(H244&lt;&gt;"",MIN(MonthlyPmt,L243+J244),"")</f>
        <v/>
      </c>
      <c r="N244" s="10">
        <f>IF(H244&lt;&gt;"",N243+K244,"")</f>
        <v/>
      </c>
      <c r="O244" s="10">
        <f>IF(H244&lt;&gt;"",O243+J244,"")</f>
        <v/>
      </c>
    </row>
    <row r="245">
      <c r="H245" s="7">
        <f>IF(AND(L244&gt;0.005,H244&lt;&gt;""),243,"")</f>
        <v/>
      </c>
      <c r="I245" s="8">
        <f>IF(H245&lt;&gt;"",EDATE(StartDate,242),"")</f>
        <v/>
      </c>
      <c r="J245" s="9">
        <f>IF(H245&lt;&gt;"",ROUND(L244*AnnualRate/12,2),"")</f>
        <v/>
      </c>
      <c r="K245" s="9">
        <f>IF(H245&lt;&gt;"",MIN(L244,(M245-J245)+SUMPRODUCT(($B$22:$B$31&lt;&gt;"")*($B$22:$B$31&lt;=I245)*(($C$22:$C$31="")+($C$22:$C$31&lt;&gt;"")*($C$22:$C$31&gt;=I245))*($E$22:$E$31="Monthly")*$D$22:$D$31)+SUMPRODUCT(($B$22:$B$31&lt;&gt;"")*($B$22:$B$31&lt;=I245)*(($C$22:$C$31="")+($C$22:$C$31&lt;&gt;"")*($C$22:$C$31&gt;=I245))*($E$22:$E$31="Annual")*(MONTH($B$22:$B$31)=MONTH(I245))*$D$22:$D$31)+SUMPRODUCT(($B$35:$B$49&lt;&gt;"")*(YEAR($B$35:$B$49)=YEAR(I245))*(MONTH($B$35:$B$49)=MONTH(I245))*$C$35:$C$49)),"")</f>
        <v/>
      </c>
      <c r="L245" s="9">
        <f>IF(H245&lt;&gt;"",ROUND(L244-K245,2),"")</f>
        <v/>
      </c>
      <c r="M245" s="10">
        <f>IF(H245&lt;&gt;"",MIN(MonthlyPmt,L244+J245),"")</f>
        <v/>
      </c>
      <c r="N245" s="10">
        <f>IF(H245&lt;&gt;"",N244+K245,"")</f>
        <v/>
      </c>
      <c r="O245" s="10">
        <f>IF(H245&lt;&gt;"",O244+J245,"")</f>
        <v/>
      </c>
    </row>
    <row r="246">
      <c r="H246" s="12">
        <f>IF(AND(L245&gt;0.005,H245&lt;&gt;""),244,"")</f>
        <v/>
      </c>
      <c r="I246" s="13">
        <f>IF(H246&lt;&gt;"",EDATE(StartDate,243),"")</f>
        <v/>
      </c>
      <c r="J246" s="14">
        <f>IF(H246&lt;&gt;"",ROUND(L245*AnnualRate/12,2),"")</f>
        <v/>
      </c>
      <c r="K246" s="14">
        <f>IF(H246&lt;&gt;"",MIN(L245,(M246-J246)+SUMPRODUCT(($B$22:$B$31&lt;&gt;"")*($B$22:$B$31&lt;=I246)*(($C$22:$C$31="")+($C$22:$C$31&lt;&gt;"")*($C$22:$C$31&gt;=I246))*($E$22:$E$31="Monthly")*$D$22:$D$31)+SUMPRODUCT(($B$22:$B$31&lt;&gt;"")*($B$22:$B$31&lt;=I246)*(($C$22:$C$31="")+($C$22:$C$31&lt;&gt;"")*($C$22:$C$31&gt;=I246))*($E$22:$E$31="Annual")*(MONTH($B$22:$B$31)=MONTH(I246))*$D$22:$D$31)+SUMPRODUCT(($B$35:$B$49&lt;&gt;"")*(YEAR($B$35:$B$49)=YEAR(I246))*(MONTH($B$35:$B$49)=MONTH(I246))*$C$35:$C$49)),"")</f>
        <v/>
      </c>
      <c r="L246" s="14">
        <f>IF(H246&lt;&gt;"",ROUND(L245-K246,2),"")</f>
        <v/>
      </c>
      <c r="M246" s="10">
        <f>IF(H246&lt;&gt;"",MIN(MonthlyPmt,L245+J246),"")</f>
        <v/>
      </c>
      <c r="N246" s="10">
        <f>IF(H246&lt;&gt;"",N245+K246,"")</f>
        <v/>
      </c>
      <c r="O246" s="10">
        <f>IF(H246&lt;&gt;"",O245+J246,"")</f>
        <v/>
      </c>
    </row>
    <row r="247">
      <c r="H247" s="7">
        <f>IF(AND(L246&gt;0.005,H246&lt;&gt;""),245,"")</f>
        <v/>
      </c>
      <c r="I247" s="8">
        <f>IF(H247&lt;&gt;"",EDATE(StartDate,244),"")</f>
        <v/>
      </c>
      <c r="J247" s="9">
        <f>IF(H247&lt;&gt;"",ROUND(L246*AnnualRate/12,2),"")</f>
        <v/>
      </c>
      <c r="K247" s="9">
        <f>IF(H247&lt;&gt;"",MIN(L246,(M247-J247)+SUMPRODUCT(($B$22:$B$31&lt;&gt;"")*($B$22:$B$31&lt;=I247)*(($C$22:$C$31="")+($C$22:$C$31&lt;&gt;"")*($C$22:$C$31&gt;=I247))*($E$22:$E$31="Monthly")*$D$22:$D$31)+SUMPRODUCT(($B$22:$B$31&lt;&gt;"")*($B$22:$B$31&lt;=I247)*(($C$22:$C$31="")+($C$22:$C$31&lt;&gt;"")*($C$22:$C$31&gt;=I247))*($E$22:$E$31="Annual")*(MONTH($B$22:$B$31)=MONTH(I247))*$D$22:$D$31)+SUMPRODUCT(($B$35:$B$49&lt;&gt;"")*(YEAR($B$35:$B$49)=YEAR(I247))*(MONTH($B$35:$B$49)=MONTH(I247))*$C$35:$C$49)),"")</f>
        <v/>
      </c>
      <c r="L247" s="9">
        <f>IF(H247&lt;&gt;"",ROUND(L246-K247,2),"")</f>
        <v/>
      </c>
      <c r="M247" s="10">
        <f>IF(H247&lt;&gt;"",MIN(MonthlyPmt,L246+J247),"")</f>
        <v/>
      </c>
      <c r="N247" s="10">
        <f>IF(H247&lt;&gt;"",N246+K247,"")</f>
        <v/>
      </c>
      <c r="O247" s="10">
        <f>IF(H247&lt;&gt;"",O246+J247,"")</f>
        <v/>
      </c>
    </row>
    <row r="248">
      <c r="H248" s="12">
        <f>IF(AND(L247&gt;0.005,H247&lt;&gt;""),246,"")</f>
        <v/>
      </c>
      <c r="I248" s="13">
        <f>IF(H248&lt;&gt;"",EDATE(StartDate,245),"")</f>
        <v/>
      </c>
      <c r="J248" s="14">
        <f>IF(H248&lt;&gt;"",ROUND(L247*AnnualRate/12,2),"")</f>
        <v/>
      </c>
      <c r="K248" s="14">
        <f>IF(H248&lt;&gt;"",MIN(L247,(M248-J248)+SUMPRODUCT(($B$22:$B$31&lt;&gt;"")*($B$22:$B$31&lt;=I248)*(($C$22:$C$31="")+($C$22:$C$31&lt;&gt;"")*($C$22:$C$31&gt;=I248))*($E$22:$E$31="Monthly")*$D$22:$D$31)+SUMPRODUCT(($B$22:$B$31&lt;&gt;"")*($B$22:$B$31&lt;=I248)*(($C$22:$C$31="")+($C$22:$C$31&lt;&gt;"")*($C$22:$C$31&gt;=I248))*($E$22:$E$31="Annual")*(MONTH($B$22:$B$31)=MONTH(I248))*$D$22:$D$31)+SUMPRODUCT(($B$35:$B$49&lt;&gt;"")*(YEAR($B$35:$B$49)=YEAR(I248))*(MONTH($B$35:$B$49)=MONTH(I248))*$C$35:$C$49)),"")</f>
        <v/>
      </c>
      <c r="L248" s="14">
        <f>IF(H248&lt;&gt;"",ROUND(L247-K248,2),"")</f>
        <v/>
      </c>
      <c r="M248" s="10">
        <f>IF(H248&lt;&gt;"",MIN(MonthlyPmt,L247+J248),"")</f>
        <v/>
      </c>
      <c r="N248" s="10">
        <f>IF(H248&lt;&gt;"",N247+K248,"")</f>
        <v/>
      </c>
      <c r="O248" s="10">
        <f>IF(H248&lt;&gt;"",O247+J248,"")</f>
        <v/>
      </c>
    </row>
    <row r="249">
      <c r="H249" s="7">
        <f>IF(AND(L248&gt;0.005,H248&lt;&gt;""),247,"")</f>
        <v/>
      </c>
      <c r="I249" s="8">
        <f>IF(H249&lt;&gt;"",EDATE(StartDate,246),"")</f>
        <v/>
      </c>
      <c r="J249" s="9">
        <f>IF(H249&lt;&gt;"",ROUND(L248*AnnualRate/12,2),"")</f>
        <v/>
      </c>
      <c r="K249" s="9">
        <f>IF(H249&lt;&gt;"",MIN(L248,(M249-J249)+SUMPRODUCT(($B$22:$B$31&lt;&gt;"")*($B$22:$B$31&lt;=I249)*(($C$22:$C$31="")+($C$22:$C$31&lt;&gt;"")*($C$22:$C$31&gt;=I249))*($E$22:$E$31="Monthly")*$D$22:$D$31)+SUMPRODUCT(($B$22:$B$31&lt;&gt;"")*($B$22:$B$31&lt;=I249)*(($C$22:$C$31="")+($C$22:$C$31&lt;&gt;"")*($C$22:$C$31&gt;=I249))*($E$22:$E$31="Annual")*(MONTH($B$22:$B$31)=MONTH(I249))*$D$22:$D$31)+SUMPRODUCT(($B$35:$B$49&lt;&gt;"")*(YEAR($B$35:$B$49)=YEAR(I249))*(MONTH($B$35:$B$49)=MONTH(I249))*$C$35:$C$49)),"")</f>
        <v/>
      </c>
      <c r="L249" s="9">
        <f>IF(H249&lt;&gt;"",ROUND(L248-K249,2),"")</f>
        <v/>
      </c>
      <c r="M249" s="10">
        <f>IF(H249&lt;&gt;"",MIN(MonthlyPmt,L248+J249),"")</f>
        <v/>
      </c>
      <c r="N249" s="10">
        <f>IF(H249&lt;&gt;"",N248+K249,"")</f>
        <v/>
      </c>
      <c r="O249" s="10">
        <f>IF(H249&lt;&gt;"",O248+J249,"")</f>
        <v/>
      </c>
    </row>
    <row r="250">
      <c r="H250" s="12">
        <f>IF(AND(L249&gt;0.005,H249&lt;&gt;""),248,"")</f>
        <v/>
      </c>
      <c r="I250" s="13">
        <f>IF(H250&lt;&gt;"",EDATE(StartDate,247),"")</f>
        <v/>
      </c>
      <c r="J250" s="14">
        <f>IF(H250&lt;&gt;"",ROUND(L249*AnnualRate/12,2),"")</f>
        <v/>
      </c>
      <c r="K250" s="14">
        <f>IF(H250&lt;&gt;"",MIN(L249,(M250-J250)+SUMPRODUCT(($B$22:$B$31&lt;&gt;"")*($B$22:$B$31&lt;=I250)*(($C$22:$C$31="")+($C$22:$C$31&lt;&gt;"")*($C$22:$C$31&gt;=I250))*($E$22:$E$31="Monthly")*$D$22:$D$31)+SUMPRODUCT(($B$22:$B$31&lt;&gt;"")*($B$22:$B$31&lt;=I250)*(($C$22:$C$31="")+($C$22:$C$31&lt;&gt;"")*($C$22:$C$31&gt;=I250))*($E$22:$E$31="Annual")*(MONTH($B$22:$B$31)=MONTH(I250))*$D$22:$D$31)+SUMPRODUCT(($B$35:$B$49&lt;&gt;"")*(YEAR($B$35:$B$49)=YEAR(I250))*(MONTH($B$35:$B$49)=MONTH(I250))*$C$35:$C$49)),"")</f>
        <v/>
      </c>
      <c r="L250" s="14">
        <f>IF(H250&lt;&gt;"",ROUND(L249-K250,2),"")</f>
        <v/>
      </c>
      <c r="M250" s="10">
        <f>IF(H250&lt;&gt;"",MIN(MonthlyPmt,L249+J250),"")</f>
        <v/>
      </c>
      <c r="N250" s="10">
        <f>IF(H250&lt;&gt;"",N249+K250,"")</f>
        <v/>
      </c>
      <c r="O250" s="10">
        <f>IF(H250&lt;&gt;"",O249+J250,"")</f>
        <v/>
      </c>
    </row>
    <row r="251">
      <c r="H251" s="7">
        <f>IF(AND(L250&gt;0.005,H250&lt;&gt;""),249,"")</f>
        <v/>
      </c>
      <c r="I251" s="8">
        <f>IF(H251&lt;&gt;"",EDATE(StartDate,248),"")</f>
        <v/>
      </c>
      <c r="J251" s="9">
        <f>IF(H251&lt;&gt;"",ROUND(L250*AnnualRate/12,2),"")</f>
        <v/>
      </c>
      <c r="K251" s="9">
        <f>IF(H251&lt;&gt;"",MIN(L250,(M251-J251)+SUMPRODUCT(($B$22:$B$31&lt;&gt;"")*($B$22:$B$31&lt;=I251)*(($C$22:$C$31="")+($C$22:$C$31&lt;&gt;"")*($C$22:$C$31&gt;=I251))*($E$22:$E$31="Monthly")*$D$22:$D$31)+SUMPRODUCT(($B$22:$B$31&lt;&gt;"")*($B$22:$B$31&lt;=I251)*(($C$22:$C$31="")+($C$22:$C$31&lt;&gt;"")*($C$22:$C$31&gt;=I251))*($E$22:$E$31="Annual")*(MONTH($B$22:$B$31)=MONTH(I251))*$D$22:$D$31)+SUMPRODUCT(($B$35:$B$49&lt;&gt;"")*(YEAR($B$35:$B$49)=YEAR(I251))*(MONTH($B$35:$B$49)=MONTH(I251))*$C$35:$C$49)),"")</f>
        <v/>
      </c>
      <c r="L251" s="9">
        <f>IF(H251&lt;&gt;"",ROUND(L250-K251,2),"")</f>
        <v/>
      </c>
      <c r="M251" s="10">
        <f>IF(H251&lt;&gt;"",MIN(MonthlyPmt,L250+J251),"")</f>
        <v/>
      </c>
      <c r="N251" s="10">
        <f>IF(H251&lt;&gt;"",N250+K251,"")</f>
        <v/>
      </c>
      <c r="O251" s="10">
        <f>IF(H251&lt;&gt;"",O250+J251,"")</f>
        <v/>
      </c>
    </row>
    <row r="252">
      <c r="H252" s="12">
        <f>IF(AND(L251&gt;0.005,H251&lt;&gt;""),250,"")</f>
        <v/>
      </c>
      <c r="I252" s="13">
        <f>IF(H252&lt;&gt;"",EDATE(StartDate,249),"")</f>
        <v/>
      </c>
      <c r="J252" s="14">
        <f>IF(H252&lt;&gt;"",ROUND(L251*AnnualRate/12,2),"")</f>
        <v/>
      </c>
      <c r="K252" s="14">
        <f>IF(H252&lt;&gt;"",MIN(L251,(M252-J252)+SUMPRODUCT(($B$22:$B$31&lt;&gt;"")*($B$22:$B$31&lt;=I252)*(($C$22:$C$31="")+($C$22:$C$31&lt;&gt;"")*($C$22:$C$31&gt;=I252))*($E$22:$E$31="Monthly")*$D$22:$D$31)+SUMPRODUCT(($B$22:$B$31&lt;&gt;"")*($B$22:$B$31&lt;=I252)*(($C$22:$C$31="")+($C$22:$C$31&lt;&gt;"")*($C$22:$C$31&gt;=I252))*($E$22:$E$31="Annual")*(MONTH($B$22:$B$31)=MONTH(I252))*$D$22:$D$31)+SUMPRODUCT(($B$35:$B$49&lt;&gt;"")*(YEAR($B$35:$B$49)=YEAR(I252))*(MONTH($B$35:$B$49)=MONTH(I252))*$C$35:$C$49)),"")</f>
        <v/>
      </c>
      <c r="L252" s="14">
        <f>IF(H252&lt;&gt;"",ROUND(L251-K252,2),"")</f>
        <v/>
      </c>
      <c r="M252" s="10">
        <f>IF(H252&lt;&gt;"",MIN(MonthlyPmt,L251+J252),"")</f>
        <v/>
      </c>
      <c r="N252" s="10">
        <f>IF(H252&lt;&gt;"",N251+K252,"")</f>
        <v/>
      </c>
      <c r="O252" s="10">
        <f>IF(H252&lt;&gt;"",O251+J252,"")</f>
        <v/>
      </c>
    </row>
    <row r="253">
      <c r="H253" s="7">
        <f>IF(AND(L252&gt;0.005,H252&lt;&gt;""),251,"")</f>
        <v/>
      </c>
      <c r="I253" s="8">
        <f>IF(H253&lt;&gt;"",EDATE(StartDate,250),"")</f>
        <v/>
      </c>
      <c r="J253" s="9">
        <f>IF(H253&lt;&gt;"",ROUND(L252*AnnualRate/12,2),"")</f>
        <v/>
      </c>
      <c r="K253" s="9">
        <f>IF(H253&lt;&gt;"",MIN(L252,(M253-J253)+SUMPRODUCT(($B$22:$B$31&lt;&gt;"")*($B$22:$B$31&lt;=I253)*(($C$22:$C$31="")+($C$22:$C$31&lt;&gt;"")*($C$22:$C$31&gt;=I253))*($E$22:$E$31="Monthly")*$D$22:$D$31)+SUMPRODUCT(($B$22:$B$31&lt;&gt;"")*($B$22:$B$31&lt;=I253)*(($C$22:$C$31="")+($C$22:$C$31&lt;&gt;"")*($C$22:$C$31&gt;=I253))*($E$22:$E$31="Annual")*(MONTH($B$22:$B$31)=MONTH(I253))*$D$22:$D$31)+SUMPRODUCT(($B$35:$B$49&lt;&gt;"")*(YEAR($B$35:$B$49)=YEAR(I253))*(MONTH($B$35:$B$49)=MONTH(I253))*$C$35:$C$49)),"")</f>
        <v/>
      </c>
      <c r="L253" s="9">
        <f>IF(H253&lt;&gt;"",ROUND(L252-K253,2),"")</f>
        <v/>
      </c>
      <c r="M253" s="10">
        <f>IF(H253&lt;&gt;"",MIN(MonthlyPmt,L252+J253),"")</f>
        <v/>
      </c>
      <c r="N253" s="10">
        <f>IF(H253&lt;&gt;"",N252+K253,"")</f>
        <v/>
      </c>
      <c r="O253" s="10">
        <f>IF(H253&lt;&gt;"",O252+J253,"")</f>
        <v/>
      </c>
    </row>
    <row r="254">
      <c r="H254" s="12">
        <f>IF(AND(L253&gt;0.005,H253&lt;&gt;""),252,"")</f>
        <v/>
      </c>
      <c r="I254" s="13">
        <f>IF(H254&lt;&gt;"",EDATE(StartDate,251),"")</f>
        <v/>
      </c>
      <c r="J254" s="14">
        <f>IF(H254&lt;&gt;"",ROUND(L253*AnnualRate/12,2),"")</f>
        <v/>
      </c>
      <c r="K254" s="14">
        <f>IF(H254&lt;&gt;"",MIN(L253,(M254-J254)+SUMPRODUCT(($B$22:$B$31&lt;&gt;"")*($B$22:$B$31&lt;=I254)*(($C$22:$C$31="")+($C$22:$C$31&lt;&gt;"")*($C$22:$C$31&gt;=I254))*($E$22:$E$31="Monthly")*$D$22:$D$31)+SUMPRODUCT(($B$22:$B$31&lt;&gt;"")*($B$22:$B$31&lt;=I254)*(($C$22:$C$31="")+($C$22:$C$31&lt;&gt;"")*($C$22:$C$31&gt;=I254))*($E$22:$E$31="Annual")*(MONTH($B$22:$B$31)=MONTH(I254))*$D$22:$D$31)+SUMPRODUCT(($B$35:$B$49&lt;&gt;"")*(YEAR($B$35:$B$49)=YEAR(I254))*(MONTH($B$35:$B$49)=MONTH(I254))*$C$35:$C$49)),"")</f>
        <v/>
      </c>
      <c r="L254" s="14">
        <f>IF(H254&lt;&gt;"",ROUND(L253-K254,2),"")</f>
        <v/>
      </c>
      <c r="M254" s="10">
        <f>IF(H254&lt;&gt;"",MIN(MonthlyPmt,L253+J254),"")</f>
        <v/>
      </c>
      <c r="N254" s="10">
        <f>IF(H254&lt;&gt;"",N253+K254,"")</f>
        <v/>
      </c>
      <c r="O254" s="10">
        <f>IF(H254&lt;&gt;"",O253+J254,"")</f>
        <v/>
      </c>
    </row>
    <row r="255">
      <c r="H255" s="7">
        <f>IF(AND(L254&gt;0.005,H254&lt;&gt;""),253,"")</f>
        <v/>
      </c>
      <c r="I255" s="8">
        <f>IF(H255&lt;&gt;"",EDATE(StartDate,252),"")</f>
        <v/>
      </c>
      <c r="J255" s="9">
        <f>IF(H255&lt;&gt;"",ROUND(L254*AnnualRate/12,2),"")</f>
        <v/>
      </c>
      <c r="K255" s="9">
        <f>IF(H255&lt;&gt;"",MIN(L254,(M255-J255)+SUMPRODUCT(($B$22:$B$31&lt;&gt;"")*($B$22:$B$31&lt;=I255)*(($C$22:$C$31="")+($C$22:$C$31&lt;&gt;"")*($C$22:$C$31&gt;=I255))*($E$22:$E$31="Monthly")*$D$22:$D$31)+SUMPRODUCT(($B$22:$B$31&lt;&gt;"")*($B$22:$B$31&lt;=I255)*(($C$22:$C$31="")+($C$22:$C$31&lt;&gt;"")*($C$22:$C$31&gt;=I255))*($E$22:$E$31="Annual")*(MONTH($B$22:$B$31)=MONTH(I255))*$D$22:$D$31)+SUMPRODUCT(($B$35:$B$49&lt;&gt;"")*(YEAR($B$35:$B$49)=YEAR(I255))*(MONTH($B$35:$B$49)=MONTH(I255))*$C$35:$C$49)),"")</f>
        <v/>
      </c>
      <c r="L255" s="9">
        <f>IF(H255&lt;&gt;"",ROUND(L254-K255,2),"")</f>
        <v/>
      </c>
      <c r="M255" s="10">
        <f>IF(H255&lt;&gt;"",MIN(MonthlyPmt,L254+J255),"")</f>
        <v/>
      </c>
      <c r="N255" s="10">
        <f>IF(H255&lt;&gt;"",N254+K255,"")</f>
        <v/>
      </c>
      <c r="O255" s="10">
        <f>IF(H255&lt;&gt;"",O254+J255,"")</f>
        <v/>
      </c>
    </row>
    <row r="256">
      <c r="H256" s="12">
        <f>IF(AND(L255&gt;0.005,H255&lt;&gt;""),254,"")</f>
        <v/>
      </c>
      <c r="I256" s="13">
        <f>IF(H256&lt;&gt;"",EDATE(StartDate,253),"")</f>
        <v/>
      </c>
      <c r="J256" s="14">
        <f>IF(H256&lt;&gt;"",ROUND(L255*AnnualRate/12,2),"")</f>
        <v/>
      </c>
      <c r="K256" s="14">
        <f>IF(H256&lt;&gt;"",MIN(L255,(M256-J256)+SUMPRODUCT(($B$22:$B$31&lt;&gt;"")*($B$22:$B$31&lt;=I256)*(($C$22:$C$31="")+($C$22:$C$31&lt;&gt;"")*($C$22:$C$31&gt;=I256))*($E$22:$E$31="Monthly")*$D$22:$D$31)+SUMPRODUCT(($B$22:$B$31&lt;&gt;"")*($B$22:$B$31&lt;=I256)*(($C$22:$C$31="")+($C$22:$C$31&lt;&gt;"")*($C$22:$C$31&gt;=I256))*($E$22:$E$31="Annual")*(MONTH($B$22:$B$31)=MONTH(I256))*$D$22:$D$31)+SUMPRODUCT(($B$35:$B$49&lt;&gt;"")*(YEAR($B$35:$B$49)=YEAR(I256))*(MONTH($B$35:$B$49)=MONTH(I256))*$C$35:$C$49)),"")</f>
        <v/>
      </c>
      <c r="L256" s="14">
        <f>IF(H256&lt;&gt;"",ROUND(L255-K256,2),"")</f>
        <v/>
      </c>
      <c r="M256" s="10">
        <f>IF(H256&lt;&gt;"",MIN(MonthlyPmt,L255+J256),"")</f>
        <v/>
      </c>
      <c r="N256" s="10">
        <f>IF(H256&lt;&gt;"",N255+K256,"")</f>
        <v/>
      </c>
      <c r="O256" s="10">
        <f>IF(H256&lt;&gt;"",O255+J256,"")</f>
        <v/>
      </c>
    </row>
    <row r="257">
      <c r="H257" s="7">
        <f>IF(AND(L256&gt;0.005,H256&lt;&gt;""),255,"")</f>
        <v/>
      </c>
      <c r="I257" s="8">
        <f>IF(H257&lt;&gt;"",EDATE(StartDate,254),"")</f>
        <v/>
      </c>
      <c r="J257" s="9">
        <f>IF(H257&lt;&gt;"",ROUND(L256*AnnualRate/12,2),"")</f>
        <v/>
      </c>
      <c r="K257" s="9">
        <f>IF(H257&lt;&gt;"",MIN(L256,(M257-J257)+SUMPRODUCT(($B$22:$B$31&lt;&gt;"")*($B$22:$B$31&lt;=I257)*(($C$22:$C$31="")+($C$22:$C$31&lt;&gt;"")*($C$22:$C$31&gt;=I257))*($E$22:$E$31="Monthly")*$D$22:$D$31)+SUMPRODUCT(($B$22:$B$31&lt;&gt;"")*($B$22:$B$31&lt;=I257)*(($C$22:$C$31="")+($C$22:$C$31&lt;&gt;"")*($C$22:$C$31&gt;=I257))*($E$22:$E$31="Annual")*(MONTH($B$22:$B$31)=MONTH(I257))*$D$22:$D$31)+SUMPRODUCT(($B$35:$B$49&lt;&gt;"")*(YEAR($B$35:$B$49)=YEAR(I257))*(MONTH($B$35:$B$49)=MONTH(I257))*$C$35:$C$49)),"")</f>
        <v/>
      </c>
      <c r="L257" s="9">
        <f>IF(H257&lt;&gt;"",ROUND(L256-K257,2),"")</f>
        <v/>
      </c>
      <c r="M257" s="10">
        <f>IF(H257&lt;&gt;"",MIN(MonthlyPmt,L256+J257),"")</f>
        <v/>
      </c>
      <c r="N257" s="10">
        <f>IF(H257&lt;&gt;"",N256+K257,"")</f>
        <v/>
      </c>
      <c r="O257" s="10">
        <f>IF(H257&lt;&gt;"",O256+J257,"")</f>
        <v/>
      </c>
    </row>
    <row r="258">
      <c r="H258" s="12">
        <f>IF(AND(L257&gt;0.005,H257&lt;&gt;""),256,"")</f>
        <v/>
      </c>
      <c r="I258" s="13">
        <f>IF(H258&lt;&gt;"",EDATE(StartDate,255),"")</f>
        <v/>
      </c>
      <c r="J258" s="14">
        <f>IF(H258&lt;&gt;"",ROUND(L257*AnnualRate/12,2),"")</f>
        <v/>
      </c>
      <c r="K258" s="14">
        <f>IF(H258&lt;&gt;"",MIN(L257,(M258-J258)+SUMPRODUCT(($B$22:$B$31&lt;&gt;"")*($B$22:$B$31&lt;=I258)*(($C$22:$C$31="")+($C$22:$C$31&lt;&gt;"")*($C$22:$C$31&gt;=I258))*($E$22:$E$31="Monthly")*$D$22:$D$31)+SUMPRODUCT(($B$22:$B$31&lt;&gt;"")*($B$22:$B$31&lt;=I258)*(($C$22:$C$31="")+($C$22:$C$31&lt;&gt;"")*($C$22:$C$31&gt;=I258))*($E$22:$E$31="Annual")*(MONTH($B$22:$B$31)=MONTH(I258))*$D$22:$D$31)+SUMPRODUCT(($B$35:$B$49&lt;&gt;"")*(YEAR($B$35:$B$49)=YEAR(I258))*(MONTH($B$35:$B$49)=MONTH(I258))*$C$35:$C$49)),"")</f>
        <v/>
      </c>
      <c r="L258" s="14">
        <f>IF(H258&lt;&gt;"",ROUND(L257-K258,2),"")</f>
        <v/>
      </c>
      <c r="M258" s="10">
        <f>IF(H258&lt;&gt;"",MIN(MonthlyPmt,L257+J258),"")</f>
        <v/>
      </c>
      <c r="N258" s="10">
        <f>IF(H258&lt;&gt;"",N257+K258,"")</f>
        <v/>
      </c>
      <c r="O258" s="10">
        <f>IF(H258&lt;&gt;"",O257+J258,"")</f>
        <v/>
      </c>
    </row>
    <row r="259">
      <c r="H259" s="7">
        <f>IF(AND(L258&gt;0.005,H258&lt;&gt;""),257,"")</f>
        <v/>
      </c>
      <c r="I259" s="8">
        <f>IF(H259&lt;&gt;"",EDATE(StartDate,256),"")</f>
        <v/>
      </c>
      <c r="J259" s="9">
        <f>IF(H259&lt;&gt;"",ROUND(L258*AnnualRate/12,2),"")</f>
        <v/>
      </c>
      <c r="K259" s="9">
        <f>IF(H259&lt;&gt;"",MIN(L258,(M259-J259)+SUMPRODUCT(($B$22:$B$31&lt;&gt;"")*($B$22:$B$31&lt;=I259)*(($C$22:$C$31="")+($C$22:$C$31&lt;&gt;"")*($C$22:$C$31&gt;=I259))*($E$22:$E$31="Monthly")*$D$22:$D$31)+SUMPRODUCT(($B$22:$B$31&lt;&gt;"")*($B$22:$B$31&lt;=I259)*(($C$22:$C$31="")+($C$22:$C$31&lt;&gt;"")*($C$22:$C$31&gt;=I259))*($E$22:$E$31="Annual")*(MONTH($B$22:$B$31)=MONTH(I259))*$D$22:$D$31)+SUMPRODUCT(($B$35:$B$49&lt;&gt;"")*(YEAR($B$35:$B$49)=YEAR(I259))*(MONTH($B$35:$B$49)=MONTH(I259))*$C$35:$C$49)),"")</f>
        <v/>
      </c>
      <c r="L259" s="9">
        <f>IF(H259&lt;&gt;"",ROUND(L258-K259,2),"")</f>
        <v/>
      </c>
      <c r="M259" s="10">
        <f>IF(H259&lt;&gt;"",MIN(MonthlyPmt,L258+J259),"")</f>
        <v/>
      </c>
      <c r="N259" s="10">
        <f>IF(H259&lt;&gt;"",N258+K259,"")</f>
        <v/>
      </c>
      <c r="O259" s="10">
        <f>IF(H259&lt;&gt;"",O258+J259,"")</f>
        <v/>
      </c>
    </row>
    <row r="260">
      <c r="H260" s="12">
        <f>IF(AND(L259&gt;0.005,H259&lt;&gt;""),258,"")</f>
        <v/>
      </c>
      <c r="I260" s="13">
        <f>IF(H260&lt;&gt;"",EDATE(StartDate,257),"")</f>
        <v/>
      </c>
      <c r="J260" s="14">
        <f>IF(H260&lt;&gt;"",ROUND(L259*AnnualRate/12,2),"")</f>
        <v/>
      </c>
      <c r="K260" s="14">
        <f>IF(H260&lt;&gt;"",MIN(L259,(M260-J260)+SUMPRODUCT(($B$22:$B$31&lt;&gt;"")*($B$22:$B$31&lt;=I260)*(($C$22:$C$31="")+($C$22:$C$31&lt;&gt;"")*($C$22:$C$31&gt;=I260))*($E$22:$E$31="Monthly")*$D$22:$D$31)+SUMPRODUCT(($B$22:$B$31&lt;&gt;"")*($B$22:$B$31&lt;=I260)*(($C$22:$C$31="")+($C$22:$C$31&lt;&gt;"")*($C$22:$C$31&gt;=I260))*($E$22:$E$31="Annual")*(MONTH($B$22:$B$31)=MONTH(I260))*$D$22:$D$31)+SUMPRODUCT(($B$35:$B$49&lt;&gt;"")*(YEAR($B$35:$B$49)=YEAR(I260))*(MONTH($B$35:$B$49)=MONTH(I260))*$C$35:$C$49)),"")</f>
        <v/>
      </c>
      <c r="L260" s="14">
        <f>IF(H260&lt;&gt;"",ROUND(L259-K260,2),"")</f>
        <v/>
      </c>
      <c r="M260" s="10">
        <f>IF(H260&lt;&gt;"",MIN(MonthlyPmt,L259+J260),"")</f>
        <v/>
      </c>
      <c r="N260" s="10">
        <f>IF(H260&lt;&gt;"",N259+K260,"")</f>
        <v/>
      </c>
      <c r="O260" s="10">
        <f>IF(H260&lt;&gt;"",O259+J260,"")</f>
        <v/>
      </c>
    </row>
    <row r="261">
      <c r="H261" s="7">
        <f>IF(AND(L260&gt;0.005,H260&lt;&gt;""),259,"")</f>
        <v/>
      </c>
      <c r="I261" s="8">
        <f>IF(H261&lt;&gt;"",EDATE(StartDate,258),"")</f>
        <v/>
      </c>
      <c r="J261" s="9">
        <f>IF(H261&lt;&gt;"",ROUND(L260*AnnualRate/12,2),"")</f>
        <v/>
      </c>
      <c r="K261" s="9">
        <f>IF(H261&lt;&gt;"",MIN(L260,(M261-J261)+SUMPRODUCT(($B$22:$B$31&lt;&gt;"")*($B$22:$B$31&lt;=I261)*(($C$22:$C$31="")+($C$22:$C$31&lt;&gt;"")*($C$22:$C$31&gt;=I261))*($E$22:$E$31="Monthly")*$D$22:$D$31)+SUMPRODUCT(($B$22:$B$31&lt;&gt;"")*($B$22:$B$31&lt;=I261)*(($C$22:$C$31="")+($C$22:$C$31&lt;&gt;"")*($C$22:$C$31&gt;=I261))*($E$22:$E$31="Annual")*(MONTH($B$22:$B$31)=MONTH(I261))*$D$22:$D$31)+SUMPRODUCT(($B$35:$B$49&lt;&gt;"")*(YEAR($B$35:$B$49)=YEAR(I261))*(MONTH($B$35:$B$49)=MONTH(I261))*$C$35:$C$49)),"")</f>
        <v/>
      </c>
      <c r="L261" s="9">
        <f>IF(H261&lt;&gt;"",ROUND(L260-K261,2),"")</f>
        <v/>
      </c>
      <c r="M261" s="10">
        <f>IF(H261&lt;&gt;"",MIN(MonthlyPmt,L260+J261),"")</f>
        <v/>
      </c>
      <c r="N261" s="10">
        <f>IF(H261&lt;&gt;"",N260+K261,"")</f>
        <v/>
      </c>
      <c r="O261" s="10">
        <f>IF(H261&lt;&gt;"",O260+J261,"")</f>
        <v/>
      </c>
    </row>
    <row r="262">
      <c r="H262" s="12">
        <f>IF(AND(L261&gt;0.005,H261&lt;&gt;""),260,"")</f>
        <v/>
      </c>
      <c r="I262" s="13">
        <f>IF(H262&lt;&gt;"",EDATE(StartDate,259),"")</f>
        <v/>
      </c>
      <c r="J262" s="14">
        <f>IF(H262&lt;&gt;"",ROUND(L261*AnnualRate/12,2),"")</f>
        <v/>
      </c>
      <c r="K262" s="14">
        <f>IF(H262&lt;&gt;"",MIN(L261,(M262-J262)+SUMPRODUCT(($B$22:$B$31&lt;&gt;"")*($B$22:$B$31&lt;=I262)*(($C$22:$C$31="")+($C$22:$C$31&lt;&gt;"")*($C$22:$C$31&gt;=I262))*($E$22:$E$31="Monthly")*$D$22:$D$31)+SUMPRODUCT(($B$22:$B$31&lt;&gt;"")*($B$22:$B$31&lt;=I262)*(($C$22:$C$31="")+($C$22:$C$31&lt;&gt;"")*($C$22:$C$31&gt;=I262))*($E$22:$E$31="Annual")*(MONTH($B$22:$B$31)=MONTH(I262))*$D$22:$D$31)+SUMPRODUCT(($B$35:$B$49&lt;&gt;"")*(YEAR($B$35:$B$49)=YEAR(I262))*(MONTH($B$35:$B$49)=MONTH(I262))*$C$35:$C$49)),"")</f>
        <v/>
      </c>
      <c r="L262" s="14">
        <f>IF(H262&lt;&gt;"",ROUND(L261-K262,2),"")</f>
        <v/>
      </c>
      <c r="M262" s="10">
        <f>IF(H262&lt;&gt;"",MIN(MonthlyPmt,L261+J262),"")</f>
        <v/>
      </c>
      <c r="N262" s="10">
        <f>IF(H262&lt;&gt;"",N261+K262,"")</f>
        <v/>
      </c>
      <c r="O262" s="10">
        <f>IF(H262&lt;&gt;"",O261+J262,"")</f>
        <v/>
      </c>
    </row>
    <row r="263">
      <c r="H263" s="7">
        <f>IF(AND(L262&gt;0.005,H262&lt;&gt;""),261,"")</f>
        <v/>
      </c>
      <c r="I263" s="8">
        <f>IF(H263&lt;&gt;"",EDATE(StartDate,260),"")</f>
        <v/>
      </c>
      <c r="J263" s="9">
        <f>IF(H263&lt;&gt;"",ROUND(L262*AnnualRate/12,2),"")</f>
        <v/>
      </c>
      <c r="K263" s="9">
        <f>IF(H263&lt;&gt;"",MIN(L262,(M263-J263)+SUMPRODUCT(($B$22:$B$31&lt;&gt;"")*($B$22:$B$31&lt;=I263)*(($C$22:$C$31="")+($C$22:$C$31&lt;&gt;"")*($C$22:$C$31&gt;=I263))*($E$22:$E$31="Monthly")*$D$22:$D$31)+SUMPRODUCT(($B$22:$B$31&lt;&gt;"")*($B$22:$B$31&lt;=I263)*(($C$22:$C$31="")+($C$22:$C$31&lt;&gt;"")*($C$22:$C$31&gt;=I263))*($E$22:$E$31="Annual")*(MONTH($B$22:$B$31)=MONTH(I263))*$D$22:$D$31)+SUMPRODUCT(($B$35:$B$49&lt;&gt;"")*(YEAR($B$35:$B$49)=YEAR(I263))*(MONTH($B$35:$B$49)=MONTH(I263))*$C$35:$C$49)),"")</f>
        <v/>
      </c>
      <c r="L263" s="9">
        <f>IF(H263&lt;&gt;"",ROUND(L262-K263,2),"")</f>
        <v/>
      </c>
      <c r="M263" s="10">
        <f>IF(H263&lt;&gt;"",MIN(MonthlyPmt,L262+J263),"")</f>
        <v/>
      </c>
      <c r="N263" s="10">
        <f>IF(H263&lt;&gt;"",N262+K263,"")</f>
        <v/>
      </c>
      <c r="O263" s="10">
        <f>IF(H263&lt;&gt;"",O262+J263,"")</f>
        <v/>
      </c>
    </row>
    <row r="264">
      <c r="H264" s="12">
        <f>IF(AND(L263&gt;0.005,H263&lt;&gt;""),262,"")</f>
        <v/>
      </c>
      <c r="I264" s="13">
        <f>IF(H264&lt;&gt;"",EDATE(StartDate,261),"")</f>
        <v/>
      </c>
      <c r="J264" s="14">
        <f>IF(H264&lt;&gt;"",ROUND(L263*AnnualRate/12,2),"")</f>
        <v/>
      </c>
      <c r="K264" s="14">
        <f>IF(H264&lt;&gt;"",MIN(L263,(M264-J264)+SUMPRODUCT(($B$22:$B$31&lt;&gt;"")*($B$22:$B$31&lt;=I264)*(($C$22:$C$31="")+($C$22:$C$31&lt;&gt;"")*($C$22:$C$31&gt;=I264))*($E$22:$E$31="Monthly")*$D$22:$D$31)+SUMPRODUCT(($B$22:$B$31&lt;&gt;"")*($B$22:$B$31&lt;=I264)*(($C$22:$C$31="")+($C$22:$C$31&lt;&gt;"")*($C$22:$C$31&gt;=I264))*($E$22:$E$31="Annual")*(MONTH($B$22:$B$31)=MONTH(I264))*$D$22:$D$31)+SUMPRODUCT(($B$35:$B$49&lt;&gt;"")*(YEAR($B$35:$B$49)=YEAR(I264))*(MONTH($B$35:$B$49)=MONTH(I264))*$C$35:$C$49)),"")</f>
        <v/>
      </c>
      <c r="L264" s="14">
        <f>IF(H264&lt;&gt;"",ROUND(L263-K264,2),"")</f>
        <v/>
      </c>
      <c r="M264" s="10">
        <f>IF(H264&lt;&gt;"",MIN(MonthlyPmt,L263+J264),"")</f>
        <v/>
      </c>
      <c r="N264" s="10">
        <f>IF(H264&lt;&gt;"",N263+K264,"")</f>
        <v/>
      </c>
      <c r="O264" s="10">
        <f>IF(H264&lt;&gt;"",O263+J264,"")</f>
        <v/>
      </c>
    </row>
    <row r="265">
      <c r="H265" s="7">
        <f>IF(AND(L264&gt;0.005,H264&lt;&gt;""),263,"")</f>
        <v/>
      </c>
      <c r="I265" s="8">
        <f>IF(H265&lt;&gt;"",EDATE(StartDate,262),"")</f>
        <v/>
      </c>
      <c r="J265" s="9">
        <f>IF(H265&lt;&gt;"",ROUND(L264*AnnualRate/12,2),"")</f>
        <v/>
      </c>
      <c r="K265" s="9">
        <f>IF(H265&lt;&gt;"",MIN(L264,(M265-J265)+SUMPRODUCT(($B$22:$B$31&lt;&gt;"")*($B$22:$B$31&lt;=I265)*(($C$22:$C$31="")+($C$22:$C$31&lt;&gt;"")*($C$22:$C$31&gt;=I265))*($E$22:$E$31="Monthly")*$D$22:$D$31)+SUMPRODUCT(($B$22:$B$31&lt;&gt;"")*($B$22:$B$31&lt;=I265)*(($C$22:$C$31="")+($C$22:$C$31&lt;&gt;"")*($C$22:$C$31&gt;=I265))*($E$22:$E$31="Annual")*(MONTH($B$22:$B$31)=MONTH(I265))*$D$22:$D$31)+SUMPRODUCT(($B$35:$B$49&lt;&gt;"")*(YEAR($B$35:$B$49)=YEAR(I265))*(MONTH($B$35:$B$49)=MONTH(I265))*$C$35:$C$49)),"")</f>
        <v/>
      </c>
      <c r="L265" s="9">
        <f>IF(H265&lt;&gt;"",ROUND(L264-K265,2),"")</f>
        <v/>
      </c>
      <c r="M265" s="10">
        <f>IF(H265&lt;&gt;"",MIN(MonthlyPmt,L264+J265),"")</f>
        <v/>
      </c>
      <c r="N265" s="10">
        <f>IF(H265&lt;&gt;"",N264+K265,"")</f>
        <v/>
      </c>
      <c r="O265" s="10">
        <f>IF(H265&lt;&gt;"",O264+J265,"")</f>
        <v/>
      </c>
    </row>
    <row r="266">
      <c r="H266" s="12">
        <f>IF(AND(L265&gt;0.005,H265&lt;&gt;""),264,"")</f>
        <v/>
      </c>
      <c r="I266" s="13">
        <f>IF(H266&lt;&gt;"",EDATE(StartDate,263),"")</f>
        <v/>
      </c>
      <c r="J266" s="14">
        <f>IF(H266&lt;&gt;"",ROUND(L265*AnnualRate/12,2),"")</f>
        <v/>
      </c>
      <c r="K266" s="14">
        <f>IF(H266&lt;&gt;"",MIN(L265,(M266-J266)+SUMPRODUCT(($B$22:$B$31&lt;&gt;"")*($B$22:$B$31&lt;=I266)*(($C$22:$C$31="")+($C$22:$C$31&lt;&gt;"")*($C$22:$C$31&gt;=I266))*($E$22:$E$31="Monthly")*$D$22:$D$31)+SUMPRODUCT(($B$22:$B$31&lt;&gt;"")*($B$22:$B$31&lt;=I266)*(($C$22:$C$31="")+($C$22:$C$31&lt;&gt;"")*($C$22:$C$31&gt;=I266))*($E$22:$E$31="Annual")*(MONTH($B$22:$B$31)=MONTH(I266))*$D$22:$D$31)+SUMPRODUCT(($B$35:$B$49&lt;&gt;"")*(YEAR($B$35:$B$49)=YEAR(I266))*(MONTH($B$35:$B$49)=MONTH(I266))*$C$35:$C$49)),"")</f>
        <v/>
      </c>
      <c r="L266" s="14">
        <f>IF(H266&lt;&gt;"",ROUND(L265-K266,2),"")</f>
        <v/>
      </c>
      <c r="M266" s="10">
        <f>IF(H266&lt;&gt;"",MIN(MonthlyPmt,L265+J266),"")</f>
        <v/>
      </c>
      <c r="N266" s="10">
        <f>IF(H266&lt;&gt;"",N265+K266,"")</f>
        <v/>
      </c>
      <c r="O266" s="10">
        <f>IF(H266&lt;&gt;"",O265+J266,"")</f>
        <v/>
      </c>
    </row>
    <row r="267">
      <c r="H267" s="7">
        <f>IF(AND(L266&gt;0.005,H266&lt;&gt;""),265,"")</f>
        <v/>
      </c>
      <c r="I267" s="8">
        <f>IF(H267&lt;&gt;"",EDATE(StartDate,264),"")</f>
        <v/>
      </c>
      <c r="J267" s="9">
        <f>IF(H267&lt;&gt;"",ROUND(L266*AnnualRate/12,2),"")</f>
        <v/>
      </c>
      <c r="K267" s="9">
        <f>IF(H267&lt;&gt;"",MIN(L266,(M267-J267)+SUMPRODUCT(($B$22:$B$31&lt;&gt;"")*($B$22:$B$31&lt;=I267)*(($C$22:$C$31="")+($C$22:$C$31&lt;&gt;"")*($C$22:$C$31&gt;=I267))*($E$22:$E$31="Monthly")*$D$22:$D$31)+SUMPRODUCT(($B$22:$B$31&lt;&gt;"")*($B$22:$B$31&lt;=I267)*(($C$22:$C$31="")+($C$22:$C$31&lt;&gt;"")*($C$22:$C$31&gt;=I267))*($E$22:$E$31="Annual")*(MONTH($B$22:$B$31)=MONTH(I267))*$D$22:$D$31)+SUMPRODUCT(($B$35:$B$49&lt;&gt;"")*(YEAR($B$35:$B$49)=YEAR(I267))*(MONTH($B$35:$B$49)=MONTH(I267))*$C$35:$C$49)),"")</f>
        <v/>
      </c>
      <c r="L267" s="9">
        <f>IF(H267&lt;&gt;"",ROUND(L266-K267,2),"")</f>
        <v/>
      </c>
      <c r="M267" s="10">
        <f>IF(H267&lt;&gt;"",MIN(MonthlyPmt,L266+J267),"")</f>
        <v/>
      </c>
      <c r="N267" s="10">
        <f>IF(H267&lt;&gt;"",N266+K267,"")</f>
        <v/>
      </c>
      <c r="O267" s="10">
        <f>IF(H267&lt;&gt;"",O266+J267,"")</f>
        <v/>
      </c>
    </row>
    <row r="268">
      <c r="H268" s="12">
        <f>IF(AND(L267&gt;0.005,H267&lt;&gt;""),266,"")</f>
        <v/>
      </c>
      <c r="I268" s="13">
        <f>IF(H268&lt;&gt;"",EDATE(StartDate,265),"")</f>
        <v/>
      </c>
      <c r="J268" s="14">
        <f>IF(H268&lt;&gt;"",ROUND(L267*AnnualRate/12,2),"")</f>
        <v/>
      </c>
      <c r="K268" s="14">
        <f>IF(H268&lt;&gt;"",MIN(L267,(M268-J268)+SUMPRODUCT(($B$22:$B$31&lt;&gt;"")*($B$22:$B$31&lt;=I268)*(($C$22:$C$31="")+($C$22:$C$31&lt;&gt;"")*($C$22:$C$31&gt;=I268))*($E$22:$E$31="Monthly")*$D$22:$D$31)+SUMPRODUCT(($B$22:$B$31&lt;&gt;"")*($B$22:$B$31&lt;=I268)*(($C$22:$C$31="")+($C$22:$C$31&lt;&gt;"")*($C$22:$C$31&gt;=I268))*($E$22:$E$31="Annual")*(MONTH($B$22:$B$31)=MONTH(I268))*$D$22:$D$31)+SUMPRODUCT(($B$35:$B$49&lt;&gt;"")*(YEAR($B$35:$B$49)=YEAR(I268))*(MONTH($B$35:$B$49)=MONTH(I268))*$C$35:$C$49)),"")</f>
        <v/>
      </c>
      <c r="L268" s="14">
        <f>IF(H268&lt;&gt;"",ROUND(L267-K268,2),"")</f>
        <v/>
      </c>
      <c r="M268" s="10">
        <f>IF(H268&lt;&gt;"",MIN(MonthlyPmt,L267+J268),"")</f>
        <v/>
      </c>
      <c r="N268" s="10">
        <f>IF(H268&lt;&gt;"",N267+K268,"")</f>
        <v/>
      </c>
      <c r="O268" s="10">
        <f>IF(H268&lt;&gt;"",O267+J268,"")</f>
        <v/>
      </c>
    </row>
    <row r="269">
      <c r="H269" s="7">
        <f>IF(AND(L268&gt;0.005,H268&lt;&gt;""),267,"")</f>
        <v/>
      </c>
      <c r="I269" s="8">
        <f>IF(H269&lt;&gt;"",EDATE(StartDate,266),"")</f>
        <v/>
      </c>
      <c r="J269" s="9">
        <f>IF(H269&lt;&gt;"",ROUND(L268*AnnualRate/12,2),"")</f>
        <v/>
      </c>
      <c r="K269" s="9">
        <f>IF(H269&lt;&gt;"",MIN(L268,(M269-J269)+SUMPRODUCT(($B$22:$B$31&lt;&gt;"")*($B$22:$B$31&lt;=I269)*(($C$22:$C$31="")+($C$22:$C$31&lt;&gt;"")*($C$22:$C$31&gt;=I269))*($E$22:$E$31="Monthly")*$D$22:$D$31)+SUMPRODUCT(($B$22:$B$31&lt;&gt;"")*($B$22:$B$31&lt;=I269)*(($C$22:$C$31="")+($C$22:$C$31&lt;&gt;"")*($C$22:$C$31&gt;=I269))*($E$22:$E$31="Annual")*(MONTH($B$22:$B$31)=MONTH(I269))*$D$22:$D$31)+SUMPRODUCT(($B$35:$B$49&lt;&gt;"")*(YEAR($B$35:$B$49)=YEAR(I269))*(MONTH($B$35:$B$49)=MONTH(I269))*$C$35:$C$49)),"")</f>
        <v/>
      </c>
      <c r="L269" s="9">
        <f>IF(H269&lt;&gt;"",ROUND(L268-K269,2),"")</f>
        <v/>
      </c>
      <c r="M269" s="10">
        <f>IF(H269&lt;&gt;"",MIN(MonthlyPmt,L268+J269),"")</f>
        <v/>
      </c>
      <c r="N269" s="10">
        <f>IF(H269&lt;&gt;"",N268+K269,"")</f>
        <v/>
      </c>
      <c r="O269" s="10">
        <f>IF(H269&lt;&gt;"",O268+J269,"")</f>
        <v/>
      </c>
    </row>
    <row r="270">
      <c r="H270" s="12">
        <f>IF(AND(L269&gt;0.005,H269&lt;&gt;""),268,"")</f>
        <v/>
      </c>
      <c r="I270" s="13">
        <f>IF(H270&lt;&gt;"",EDATE(StartDate,267),"")</f>
        <v/>
      </c>
      <c r="J270" s="14">
        <f>IF(H270&lt;&gt;"",ROUND(L269*AnnualRate/12,2),"")</f>
        <v/>
      </c>
      <c r="K270" s="14">
        <f>IF(H270&lt;&gt;"",MIN(L269,(M270-J270)+SUMPRODUCT(($B$22:$B$31&lt;&gt;"")*($B$22:$B$31&lt;=I270)*(($C$22:$C$31="")+($C$22:$C$31&lt;&gt;"")*($C$22:$C$31&gt;=I270))*($E$22:$E$31="Monthly")*$D$22:$D$31)+SUMPRODUCT(($B$22:$B$31&lt;&gt;"")*($B$22:$B$31&lt;=I270)*(($C$22:$C$31="")+($C$22:$C$31&lt;&gt;"")*($C$22:$C$31&gt;=I270))*($E$22:$E$31="Annual")*(MONTH($B$22:$B$31)=MONTH(I270))*$D$22:$D$31)+SUMPRODUCT(($B$35:$B$49&lt;&gt;"")*(YEAR($B$35:$B$49)=YEAR(I270))*(MONTH($B$35:$B$49)=MONTH(I270))*$C$35:$C$49)),"")</f>
        <v/>
      </c>
      <c r="L270" s="14">
        <f>IF(H270&lt;&gt;"",ROUND(L269-K270,2),"")</f>
        <v/>
      </c>
      <c r="M270" s="10">
        <f>IF(H270&lt;&gt;"",MIN(MonthlyPmt,L269+J270),"")</f>
        <v/>
      </c>
      <c r="N270" s="10">
        <f>IF(H270&lt;&gt;"",N269+K270,"")</f>
        <v/>
      </c>
      <c r="O270" s="10">
        <f>IF(H270&lt;&gt;"",O269+J270,"")</f>
        <v/>
      </c>
    </row>
    <row r="271">
      <c r="H271" s="7">
        <f>IF(AND(L270&gt;0.005,H270&lt;&gt;""),269,"")</f>
        <v/>
      </c>
      <c r="I271" s="8">
        <f>IF(H271&lt;&gt;"",EDATE(StartDate,268),"")</f>
        <v/>
      </c>
      <c r="J271" s="9">
        <f>IF(H271&lt;&gt;"",ROUND(L270*AnnualRate/12,2),"")</f>
        <v/>
      </c>
      <c r="K271" s="9">
        <f>IF(H271&lt;&gt;"",MIN(L270,(M271-J271)+SUMPRODUCT(($B$22:$B$31&lt;&gt;"")*($B$22:$B$31&lt;=I271)*(($C$22:$C$31="")+($C$22:$C$31&lt;&gt;"")*($C$22:$C$31&gt;=I271))*($E$22:$E$31="Monthly")*$D$22:$D$31)+SUMPRODUCT(($B$22:$B$31&lt;&gt;"")*($B$22:$B$31&lt;=I271)*(($C$22:$C$31="")+($C$22:$C$31&lt;&gt;"")*($C$22:$C$31&gt;=I271))*($E$22:$E$31="Annual")*(MONTH($B$22:$B$31)=MONTH(I271))*$D$22:$D$31)+SUMPRODUCT(($B$35:$B$49&lt;&gt;"")*(YEAR($B$35:$B$49)=YEAR(I271))*(MONTH($B$35:$B$49)=MONTH(I271))*$C$35:$C$49)),"")</f>
        <v/>
      </c>
      <c r="L271" s="9">
        <f>IF(H271&lt;&gt;"",ROUND(L270-K271,2),"")</f>
        <v/>
      </c>
      <c r="M271" s="10">
        <f>IF(H271&lt;&gt;"",MIN(MonthlyPmt,L270+J271),"")</f>
        <v/>
      </c>
      <c r="N271" s="10">
        <f>IF(H271&lt;&gt;"",N270+K271,"")</f>
        <v/>
      </c>
      <c r="O271" s="10">
        <f>IF(H271&lt;&gt;"",O270+J271,"")</f>
        <v/>
      </c>
    </row>
    <row r="272">
      <c r="H272" s="12">
        <f>IF(AND(L271&gt;0.005,H271&lt;&gt;""),270,"")</f>
        <v/>
      </c>
      <c r="I272" s="13">
        <f>IF(H272&lt;&gt;"",EDATE(StartDate,269),"")</f>
        <v/>
      </c>
      <c r="J272" s="14">
        <f>IF(H272&lt;&gt;"",ROUND(L271*AnnualRate/12,2),"")</f>
        <v/>
      </c>
      <c r="K272" s="14">
        <f>IF(H272&lt;&gt;"",MIN(L271,(M272-J272)+SUMPRODUCT(($B$22:$B$31&lt;&gt;"")*($B$22:$B$31&lt;=I272)*(($C$22:$C$31="")+($C$22:$C$31&lt;&gt;"")*($C$22:$C$31&gt;=I272))*($E$22:$E$31="Monthly")*$D$22:$D$31)+SUMPRODUCT(($B$22:$B$31&lt;&gt;"")*($B$22:$B$31&lt;=I272)*(($C$22:$C$31="")+($C$22:$C$31&lt;&gt;"")*($C$22:$C$31&gt;=I272))*($E$22:$E$31="Annual")*(MONTH($B$22:$B$31)=MONTH(I272))*$D$22:$D$31)+SUMPRODUCT(($B$35:$B$49&lt;&gt;"")*(YEAR($B$35:$B$49)=YEAR(I272))*(MONTH($B$35:$B$49)=MONTH(I272))*$C$35:$C$49)),"")</f>
        <v/>
      </c>
      <c r="L272" s="14">
        <f>IF(H272&lt;&gt;"",ROUND(L271-K272,2),"")</f>
        <v/>
      </c>
      <c r="M272" s="10">
        <f>IF(H272&lt;&gt;"",MIN(MonthlyPmt,L271+J272),"")</f>
        <v/>
      </c>
      <c r="N272" s="10">
        <f>IF(H272&lt;&gt;"",N271+K272,"")</f>
        <v/>
      </c>
      <c r="O272" s="10">
        <f>IF(H272&lt;&gt;"",O271+J272,"")</f>
        <v/>
      </c>
    </row>
    <row r="273">
      <c r="H273" s="7">
        <f>IF(AND(L272&gt;0.005,H272&lt;&gt;""),271,"")</f>
        <v/>
      </c>
      <c r="I273" s="8">
        <f>IF(H273&lt;&gt;"",EDATE(StartDate,270),"")</f>
        <v/>
      </c>
      <c r="J273" s="9">
        <f>IF(H273&lt;&gt;"",ROUND(L272*AnnualRate/12,2),"")</f>
        <v/>
      </c>
      <c r="K273" s="9">
        <f>IF(H273&lt;&gt;"",MIN(L272,(M273-J273)+SUMPRODUCT(($B$22:$B$31&lt;&gt;"")*($B$22:$B$31&lt;=I273)*(($C$22:$C$31="")+($C$22:$C$31&lt;&gt;"")*($C$22:$C$31&gt;=I273))*($E$22:$E$31="Monthly")*$D$22:$D$31)+SUMPRODUCT(($B$22:$B$31&lt;&gt;"")*($B$22:$B$31&lt;=I273)*(($C$22:$C$31="")+($C$22:$C$31&lt;&gt;"")*($C$22:$C$31&gt;=I273))*($E$22:$E$31="Annual")*(MONTH($B$22:$B$31)=MONTH(I273))*$D$22:$D$31)+SUMPRODUCT(($B$35:$B$49&lt;&gt;"")*(YEAR($B$35:$B$49)=YEAR(I273))*(MONTH($B$35:$B$49)=MONTH(I273))*$C$35:$C$49)),"")</f>
        <v/>
      </c>
      <c r="L273" s="9">
        <f>IF(H273&lt;&gt;"",ROUND(L272-K273,2),"")</f>
        <v/>
      </c>
      <c r="M273" s="10">
        <f>IF(H273&lt;&gt;"",MIN(MonthlyPmt,L272+J273),"")</f>
        <v/>
      </c>
      <c r="N273" s="10">
        <f>IF(H273&lt;&gt;"",N272+K273,"")</f>
        <v/>
      </c>
      <c r="O273" s="10">
        <f>IF(H273&lt;&gt;"",O272+J273,"")</f>
        <v/>
      </c>
    </row>
    <row r="274">
      <c r="H274" s="12">
        <f>IF(AND(L273&gt;0.005,H273&lt;&gt;""),272,"")</f>
        <v/>
      </c>
      <c r="I274" s="13">
        <f>IF(H274&lt;&gt;"",EDATE(StartDate,271),"")</f>
        <v/>
      </c>
      <c r="J274" s="14">
        <f>IF(H274&lt;&gt;"",ROUND(L273*AnnualRate/12,2),"")</f>
        <v/>
      </c>
      <c r="K274" s="14">
        <f>IF(H274&lt;&gt;"",MIN(L273,(M274-J274)+SUMPRODUCT(($B$22:$B$31&lt;&gt;"")*($B$22:$B$31&lt;=I274)*(($C$22:$C$31="")+($C$22:$C$31&lt;&gt;"")*($C$22:$C$31&gt;=I274))*($E$22:$E$31="Monthly")*$D$22:$D$31)+SUMPRODUCT(($B$22:$B$31&lt;&gt;"")*($B$22:$B$31&lt;=I274)*(($C$22:$C$31="")+($C$22:$C$31&lt;&gt;"")*($C$22:$C$31&gt;=I274))*($E$22:$E$31="Annual")*(MONTH($B$22:$B$31)=MONTH(I274))*$D$22:$D$31)+SUMPRODUCT(($B$35:$B$49&lt;&gt;"")*(YEAR($B$35:$B$49)=YEAR(I274))*(MONTH($B$35:$B$49)=MONTH(I274))*$C$35:$C$49)),"")</f>
        <v/>
      </c>
      <c r="L274" s="14">
        <f>IF(H274&lt;&gt;"",ROUND(L273-K274,2),"")</f>
        <v/>
      </c>
      <c r="M274" s="10">
        <f>IF(H274&lt;&gt;"",MIN(MonthlyPmt,L273+J274),"")</f>
        <v/>
      </c>
      <c r="N274" s="10">
        <f>IF(H274&lt;&gt;"",N273+K274,"")</f>
        <v/>
      </c>
      <c r="O274" s="10">
        <f>IF(H274&lt;&gt;"",O273+J274,"")</f>
        <v/>
      </c>
    </row>
    <row r="275">
      <c r="H275" s="7">
        <f>IF(AND(L274&gt;0.005,H274&lt;&gt;""),273,"")</f>
        <v/>
      </c>
      <c r="I275" s="8">
        <f>IF(H275&lt;&gt;"",EDATE(StartDate,272),"")</f>
        <v/>
      </c>
      <c r="J275" s="9">
        <f>IF(H275&lt;&gt;"",ROUND(L274*AnnualRate/12,2),"")</f>
        <v/>
      </c>
      <c r="K275" s="9">
        <f>IF(H275&lt;&gt;"",MIN(L274,(M275-J275)+SUMPRODUCT(($B$22:$B$31&lt;&gt;"")*($B$22:$B$31&lt;=I275)*(($C$22:$C$31="")+($C$22:$C$31&lt;&gt;"")*($C$22:$C$31&gt;=I275))*($E$22:$E$31="Monthly")*$D$22:$D$31)+SUMPRODUCT(($B$22:$B$31&lt;&gt;"")*($B$22:$B$31&lt;=I275)*(($C$22:$C$31="")+($C$22:$C$31&lt;&gt;"")*($C$22:$C$31&gt;=I275))*($E$22:$E$31="Annual")*(MONTH($B$22:$B$31)=MONTH(I275))*$D$22:$D$31)+SUMPRODUCT(($B$35:$B$49&lt;&gt;"")*(YEAR($B$35:$B$49)=YEAR(I275))*(MONTH($B$35:$B$49)=MONTH(I275))*$C$35:$C$49)),"")</f>
        <v/>
      </c>
      <c r="L275" s="9">
        <f>IF(H275&lt;&gt;"",ROUND(L274-K275,2),"")</f>
        <v/>
      </c>
      <c r="M275" s="10">
        <f>IF(H275&lt;&gt;"",MIN(MonthlyPmt,L274+J275),"")</f>
        <v/>
      </c>
      <c r="N275" s="10">
        <f>IF(H275&lt;&gt;"",N274+K275,"")</f>
        <v/>
      </c>
      <c r="O275" s="10">
        <f>IF(H275&lt;&gt;"",O274+J275,"")</f>
        <v/>
      </c>
    </row>
    <row r="276">
      <c r="H276" s="12">
        <f>IF(AND(L275&gt;0.005,H275&lt;&gt;""),274,"")</f>
        <v/>
      </c>
      <c r="I276" s="13">
        <f>IF(H276&lt;&gt;"",EDATE(StartDate,273),"")</f>
        <v/>
      </c>
      <c r="J276" s="14">
        <f>IF(H276&lt;&gt;"",ROUND(L275*AnnualRate/12,2),"")</f>
        <v/>
      </c>
      <c r="K276" s="14">
        <f>IF(H276&lt;&gt;"",MIN(L275,(M276-J276)+SUMPRODUCT(($B$22:$B$31&lt;&gt;"")*($B$22:$B$31&lt;=I276)*(($C$22:$C$31="")+($C$22:$C$31&lt;&gt;"")*($C$22:$C$31&gt;=I276))*($E$22:$E$31="Monthly")*$D$22:$D$31)+SUMPRODUCT(($B$22:$B$31&lt;&gt;"")*($B$22:$B$31&lt;=I276)*(($C$22:$C$31="")+($C$22:$C$31&lt;&gt;"")*($C$22:$C$31&gt;=I276))*($E$22:$E$31="Annual")*(MONTH($B$22:$B$31)=MONTH(I276))*$D$22:$D$31)+SUMPRODUCT(($B$35:$B$49&lt;&gt;"")*(YEAR($B$35:$B$49)=YEAR(I276))*(MONTH($B$35:$B$49)=MONTH(I276))*$C$35:$C$49)),"")</f>
        <v/>
      </c>
      <c r="L276" s="14">
        <f>IF(H276&lt;&gt;"",ROUND(L275-K276,2),"")</f>
        <v/>
      </c>
      <c r="M276" s="10">
        <f>IF(H276&lt;&gt;"",MIN(MonthlyPmt,L275+J276),"")</f>
        <v/>
      </c>
      <c r="N276" s="10">
        <f>IF(H276&lt;&gt;"",N275+K276,"")</f>
        <v/>
      </c>
      <c r="O276" s="10">
        <f>IF(H276&lt;&gt;"",O275+J276,"")</f>
        <v/>
      </c>
    </row>
    <row r="277">
      <c r="H277" s="7">
        <f>IF(AND(L276&gt;0.005,H276&lt;&gt;""),275,"")</f>
        <v/>
      </c>
      <c r="I277" s="8">
        <f>IF(H277&lt;&gt;"",EDATE(StartDate,274),"")</f>
        <v/>
      </c>
      <c r="J277" s="9">
        <f>IF(H277&lt;&gt;"",ROUND(L276*AnnualRate/12,2),"")</f>
        <v/>
      </c>
      <c r="K277" s="9">
        <f>IF(H277&lt;&gt;"",MIN(L276,(M277-J277)+SUMPRODUCT(($B$22:$B$31&lt;&gt;"")*($B$22:$B$31&lt;=I277)*(($C$22:$C$31="")+($C$22:$C$31&lt;&gt;"")*($C$22:$C$31&gt;=I277))*($E$22:$E$31="Monthly")*$D$22:$D$31)+SUMPRODUCT(($B$22:$B$31&lt;&gt;"")*($B$22:$B$31&lt;=I277)*(($C$22:$C$31="")+($C$22:$C$31&lt;&gt;"")*($C$22:$C$31&gt;=I277))*($E$22:$E$31="Annual")*(MONTH($B$22:$B$31)=MONTH(I277))*$D$22:$D$31)+SUMPRODUCT(($B$35:$B$49&lt;&gt;"")*(YEAR($B$35:$B$49)=YEAR(I277))*(MONTH($B$35:$B$49)=MONTH(I277))*$C$35:$C$49)),"")</f>
        <v/>
      </c>
      <c r="L277" s="9">
        <f>IF(H277&lt;&gt;"",ROUND(L276-K277,2),"")</f>
        <v/>
      </c>
      <c r="M277" s="10">
        <f>IF(H277&lt;&gt;"",MIN(MonthlyPmt,L276+J277),"")</f>
        <v/>
      </c>
      <c r="N277" s="10">
        <f>IF(H277&lt;&gt;"",N276+K277,"")</f>
        <v/>
      </c>
      <c r="O277" s="10">
        <f>IF(H277&lt;&gt;"",O276+J277,"")</f>
        <v/>
      </c>
    </row>
    <row r="278">
      <c r="H278" s="12">
        <f>IF(AND(L277&gt;0.005,H277&lt;&gt;""),276,"")</f>
        <v/>
      </c>
      <c r="I278" s="13">
        <f>IF(H278&lt;&gt;"",EDATE(StartDate,275),"")</f>
        <v/>
      </c>
      <c r="J278" s="14">
        <f>IF(H278&lt;&gt;"",ROUND(L277*AnnualRate/12,2),"")</f>
        <v/>
      </c>
      <c r="K278" s="14">
        <f>IF(H278&lt;&gt;"",MIN(L277,(M278-J278)+SUMPRODUCT(($B$22:$B$31&lt;&gt;"")*($B$22:$B$31&lt;=I278)*(($C$22:$C$31="")+($C$22:$C$31&lt;&gt;"")*($C$22:$C$31&gt;=I278))*($E$22:$E$31="Monthly")*$D$22:$D$31)+SUMPRODUCT(($B$22:$B$31&lt;&gt;"")*($B$22:$B$31&lt;=I278)*(($C$22:$C$31="")+($C$22:$C$31&lt;&gt;"")*($C$22:$C$31&gt;=I278))*($E$22:$E$31="Annual")*(MONTH($B$22:$B$31)=MONTH(I278))*$D$22:$D$31)+SUMPRODUCT(($B$35:$B$49&lt;&gt;"")*(YEAR($B$35:$B$49)=YEAR(I278))*(MONTH($B$35:$B$49)=MONTH(I278))*$C$35:$C$49)),"")</f>
        <v/>
      </c>
      <c r="L278" s="14">
        <f>IF(H278&lt;&gt;"",ROUND(L277-K278,2),"")</f>
        <v/>
      </c>
      <c r="M278" s="10">
        <f>IF(H278&lt;&gt;"",MIN(MonthlyPmt,L277+J278),"")</f>
        <v/>
      </c>
      <c r="N278" s="10">
        <f>IF(H278&lt;&gt;"",N277+K278,"")</f>
        <v/>
      </c>
      <c r="O278" s="10">
        <f>IF(H278&lt;&gt;"",O277+J278,"")</f>
        <v/>
      </c>
    </row>
    <row r="279">
      <c r="H279" s="7">
        <f>IF(AND(L278&gt;0.005,H278&lt;&gt;""),277,"")</f>
        <v/>
      </c>
      <c r="I279" s="8">
        <f>IF(H279&lt;&gt;"",EDATE(StartDate,276),"")</f>
        <v/>
      </c>
      <c r="J279" s="9">
        <f>IF(H279&lt;&gt;"",ROUND(L278*AnnualRate/12,2),"")</f>
        <v/>
      </c>
      <c r="K279" s="9">
        <f>IF(H279&lt;&gt;"",MIN(L278,(M279-J279)+SUMPRODUCT(($B$22:$B$31&lt;&gt;"")*($B$22:$B$31&lt;=I279)*(($C$22:$C$31="")+($C$22:$C$31&lt;&gt;"")*($C$22:$C$31&gt;=I279))*($E$22:$E$31="Monthly")*$D$22:$D$31)+SUMPRODUCT(($B$22:$B$31&lt;&gt;"")*($B$22:$B$31&lt;=I279)*(($C$22:$C$31="")+($C$22:$C$31&lt;&gt;"")*($C$22:$C$31&gt;=I279))*($E$22:$E$31="Annual")*(MONTH($B$22:$B$31)=MONTH(I279))*$D$22:$D$31)+SUMPRODUCT(($B$35:$B$49&lt;&gt;"")*(YEAR($B$35:$B$49)=YEAR(I279))*(MONTH($B$35:$B$49)=MONTH(I279))*$C$35:$C$49)),"")</f>
        <v/>
      </c>
      <c r="L279" s="9">
        <f>IF(H279&lt;&gt;"",ROUND(L278-K279,2),"")</f>
        <v/>
      </c>
      <c r="M279" s="10">
        <f>IF(H279&lt;&gt;"",MIN(MonthlyPmt,L278+J279),"")</f>
        <v/>
      </c>
      <c r="N279" s="10">
        <f>IF(H279&lt;&gt;"",N278+K279,"")</f>
        <v/>
      </c>
      <c r="O279" s="10">
        <f>IF(H279&lt;&gt;"",O278+J279,"")</f>
        <v/>
      </c>
    </row>
    <row r="280">
      <c r="H280" s="12">
        <f>IF(AND(L279&gt;0.005,H279&lt;&gt;""),278,"")</f>
        <v/>
      </c>
      <c r="I280" s="13">
        <f>IF(H280&lt;&gt;"",EDATE(StartDate,277),"")</f>
        <v/>
      </c>
      <c r="J280" s="14">
        <f>IF(H280&lt;&gt;"",ROUND(L279*AnnualRate/12,2),"")</f>
        <v/>
      </c>
      <c r="K280" s="14">
        <f>IF(H280&lt;&gt;"",MIN(L279,(M280-J280)+SUMPRODUCT(($B$22:$B$31&lt;&gt;"")*($B$22:$B$31&lt;=I280)*(($C$22:$C$31="")+($C$22:$C$31&lt;&gt;"")*($C$22:$C$31&gt;=I280))*($E$22:$E$31="Monthly")*$D$22:$D$31)+SUMPRODUCT(($B$22:$B$31&lt;&gt;"")*($B$22:$B$31&lt;=I280)*(($C$22:$C$31="")+($C$22:$C$31&lt;&gt;"")*($C$22:$C$31&gt;=I280))*($E$22:$E$31="Annual")*(MONTH($B$22:$B$31)=MONTH(I280))*$D$22:$D$31)+SUMPRODUCT(($B$35:$B$49&lt;&gt;"")*(YEAR($B$35:$B$49)=YEAR(I280))*(MONTH($B$35:$B$49)=MONTH(I280))*$C$35:$C$49)),"")</f>
        <v/>
      </c>
      <c r="L280" s="14">
        <f>IF(H280&lt;&gt;"",ROUND(L279-K280,2),"")</f>
        <v/>
      </c>
      <c r="M280" s="10">
        <f>IF(H280&lt;&gt;"",MIN(MonthlyPmt,L279+J280),"")</f>
        <v/>
      </c>
      <c r="N280" s="10">
        <f>IF(H280&lt;&gt;"",N279+K280,"")</f>
        <v/>
      </c>
      <c r="O280" s="10">
        <f>IF(H280&lt;&gt;"",O279+J280,"")</f>
        <v/>
      </c>
    </row>
    <row r="281">
      <c r="H281" s="7">
        <f>IF(AND(L280&gt;0.005,H280&lt;&gt;""),279,"")</f>
        <v/>
      </c>
      <c r="I281" s="8">
        <f>IF(H281&lt;&gt;"",EDATE(StartDate,278),"")</f>
        <v/>
      </c>
      <c r="J281" s="9">
        <f>IF(H281&lt;&gt;"",ROUND(L280*AnnualRate/12,2),"")</f>
        <v/>
      </c>
      <c r="K281" s="9">
        <f>IF(H281&lt;&gt;"",MIN(L280,(M281-J281)+SUMPRODUCT(($B$22:$B$31&lt;&gt;"")*($B$22:$B$31&lt;=I281)*(($C$22:$C$31="")+($C$22:$C$31&lt;&gt;"")*($C$22:$C$31&gt;=I281))*($E$22:$E$31="Monthly")*$D$22:$D$31)+SUMPRODUCT(($B$22:$B$31&lt;&gt;"")*($B$22:$B$31&lt;=I281)*(($C$22:$C$31="")+($C$22:$C$31&lt;&gt;"")*($C$22:$C$31&gt;=I281))*($E$22:$E$31="Annual")*(MONTH($B$22:$B$31)=MONTH(I281))*$D$22:$D$31)+SUMPRODUCT(($B$35:$B$49&lt;&gt;"")*(YEAR($B$35:$B$49)=YEAR(I281))*(MONTH($B$35:$B$49)=MONTH(I281))*$C$35:$C$49)),"")</f>
        <v/>
      </c>
      <c r="L281" s="9">
        <f>IF(H281&lt;&gt;"",ROUND(L280-K281,2),"")</f>
        <v/>
      </c>
      <c r="M281" s="10">
        <f>IF(H281&lt;&gt;"",MIN(MonthlyPmt,L280+J281),"")</f>
        <v/>
      </c>
      <c r="N281" s="10">
        <f>IF(H281&lt;&gt;"",N280+K281,"")</f>
        <v/>
      </c>
      <c r="O281" s="10">
        <f>IF(H281&lt;&gt;"",O280+J281,"")</f>
        <v/>
      </c>
    </row>
    <row r="282">
      <c r="H282" s="12">
        <f>IF(AND(L281&gt;0.005,H281&lt;&gt;""),280,"")</f>
        <v/>
      </c>
      <c r="I282" s="13">
        <f>IF(H282&lt;&gt;"",EDATE(StartDate,279),"")</f>
        <v/>
      </c>
      <c r="J282" s="14">
        <f>IF(H282&lt;&gt;"",ROUND(L281*AnnualRate/12,2),"")</f>
        <v/>
      </c>
      <c r="K282" s="14">
        <f>IF(H282&lt;&gt;"",MIN(L281,(M282-J282)+SUMPRODUCT(($B$22:$B$31&lt;&gt;"")*($B$22:$B$31&lt;=I282)*(($C$22:$C$31="")+($C$22:$C$31&lt;&gt;"")*($C$22:$C$31&gt;=I282))*($E$22:$E$31="Monthly")*$D$22:$D$31)+SUMPRODUCT(($B$22:$B$31&lt;&gt;"")*($B$22:$B$31&lt;=I282)*(($C$22:$C$31="")+($C$22:$C$31&lt;&gt;"")*($C$22:$C$31&gt;=I282))*($E$22:$E$31="Annual")*(MONTH($B$22:$B$31)=MONTH(I282))*$D$22:$D$31)+SUMPRODUCT(($B$35:$B$49&lt;&gt;"")*(YEAR($B$35:$B$49)=YEAR(I282))*(MONTH($B$35:$B$49)=MONTH(I282))*$C$35:$C$49)),"")</f>
        <v/>
      </c>
      <c r="L282" s="14">
        <f>IF(H282&lt;&gt;"",ROUND(L281-K282,2),"")</f>
        <v/>
      </c>
      <c r="M282" s="10">
        <f>IF(H282&lt;&gt;"",MIN(MonthlyPmt,L281+J282),"")</f>
        <v/>
      </c>
      <c r="N282" s="10">
        <f>IF(H282&lt;&gt;"",N281+K282,"")</f>
        <v/>
      </c>
      <c r="O282" s="10">
        <f>IF(H282&lt;&gt;"",O281+J282,"")</f>
        <v/>
      </c>
    </row>
    <row r="283">
      <c r="H283" s="7">
        <f>IF(AND(L282&gt;0.005,H282&lt;&gt;""),281,"")</f>
        <v/>
      </c>
      <c r="I283" s="8">
        <f>IF(H283&lt;&gt;"",EDATE(StartDate,280),"")</f>
        <v/>
      </c>
      <c r="J283" s="9">
        <f>IF(H283&lt;&gt;"",ROUND(L282*AnnualRate/12,2),"")</f>
        <v/>
      </c>
      <c r="K283" s="9">
        <f>IF(H283&lt;&gt;"",MIN(L282,(M283-J283)+SUMPRODUCT(($B$22:$B$31&lt;&gt;"")*($B$22:$B$31&lt;=I283)*(($C$22:$C$31="")+($C$22:$C$31&lt;&gt;"")*($C$22:$C$31&gt;=I283))*($E$22:$E$31="Monthly")*$D$22:$D$31)+SUMPRODUCT(($B$22:$B$31&lt;&gt;"")*($B$22:$B$31&lt;=I283)*(($C$22:$C$31="")+($C$22:$C$31&lt;&gt;"")*($C$22:$C$31&gt;=I283))*($E$22:$E$31="Annual")*(MONTH($B$22:$B$31)=MONTH(I283))*$D$22:$D$31)+SUMPRODUCT(($B$35:$B$49&lt;&gt;"")*(YEAR($B$35:$B$49)=YEAR(I283))*(MONTH($B$35:$B$49)=MONTH(I283))*$C$35:$C$49)),"")</f>
        <v/>
      </c>
      <c r="L283" s="9">
        <f>IF(H283&lt;&gt;"",ROUND(L282-K283,2),"")</f>
        <v/>
      </c>
      <c r="M283" s="10">
        <f>IF(H283&lt;&gt;"",MIN(MonthlyPmt,L282+J283),"")</f>
        <v/>
      </c>
      <c r="N283" s="10">
        <f>IF(H283&lt;&gt;"",N282+K283,"")</f>
        <v/>
      </c>
      <c r="O283" s="10">
        <f>IF(H283&lt;&gt;"",O282+J283,"")</f>
        <v/>
      </c>
    </row>
    <row r="284">
      <c r="H284" s="12">
        <f>IF(AND(L283&gt;0.005,H283&lt;&gt;""),282,"")</f>
        <v/>
      </c>
      <c r="I284" s="13">
        <f>IF(H284&lt;&gt;"",EDATE(StartDate,281),"")</f>
        <v/>
      </c>
      <c r="J284" s="14">
        <f>IF(H284&lt;&gt;"",ROUND(L283*AnnualRate/12,2),"")</f>
        <v/>
      </c>
      <c r="K284" s="14">
        <f>IF(H284&lt;&gt;"",MIN(L283,(M284-J284)+SUMPRODUCT(($B$22:$B$31&lt;&gt;"")*($B$22:$B$31&lt;=I284)*(($C$22:$C$31="")+($C$22:$C$31&lt;&gt;"")*($C$22:$C$31&gt;=I284))*($E$22:$E$31="Monthly")*$D$22:$D$31)+SUMPRODUCT(($B$22:$B$31&lt;&gt;"")*($B$22:$B$31&lt;=I284)*(($C$22:$C$31="")+($C$22:$C$31&lt;&gt;"")*($C$22:$C$31&gt;=I284))*($E$22:$E$31="Annual")*(MONTH($B$22:$B$31)=MONTH(I284))*$D$22:$D$31)+SUMPRODUCT(($B$35:$B$49&lt;&gt;"")*(YEAR($B$35:$B$49)=YEAR(I284))*(MONTH($B$35:$B$49)=MONTH(I284))*$C$35:$C$49)),"")</f>
        <v/>
      </c>
      <c r="L284" s="14">
        <f>IF(H284&lt;&gt;"",ROUND(L283-K284,2),"")</f>
        <v/>
      </c>
      <c r="M284" s="10">
        <f>IF(H284&lt;&gt;"",MIN(MonthlyPmt,L283+J284),"")</f>
        <v/>
      </c>
      <c r="N284" s="10">
        <f>IF(H284&lt;&gt;"",N283+K284,"")</f>
        <v/>
      </c>
      <c r="O284" s="10">
        <f>IF(H284&lt;&gt;"",O283+J284,"")</f>
        <v/>
      </c>
    </row>
    <row r="285">
      <c r="H285" s="7">
        <f>IF(AND(L284&gt;0.005,H284&lt;&gt;""),283,"")</f>
        <v/>
      </c>
      <c r="I285" s="8">
        <f>IF(H285&lt;&gt;"",EDATE(StartDate,282),"")</f>
        <v/>
      </c>
      <c r="J285" s="9">
        <f>IF(H285&lt;&gt;"",ROUND(L284*AnnualRate/12,2),"")</f>
        <v/>
      </c>
      <c r="K285" s="9">
        <f>IF(H285&lt;&gt;"",MIN(L284,(M285-J285)+SUMPRODUCT(($B$22:$B$31&lt;&gt;"")*($B$22:$B$31&lt;=I285)*(($C$22:$C$31="")+($C$22:$C$31&lt;&gt;"")*($C$22:$C$31&gt;=I285))*($E$22:$E$31="Monthly")*$D$22:$D$31)+SUMPRODUCT(($B$22:$B$31&lt;&gt;"")*($B$22:$B$31&lt;=I285)*(($C$22:$C$31="")+($C$22:$C$31&lt;&gt;"")*($C$22:$C$31&gt;=I285))*($E$22:$E$31="Annual")*(MONTH($B$22:$B$31)=MONTH(I285))*$D$22:$D$31)+SUMPRODUCT(($B$35:$B$49&lt;&gt;"")*(YEAR($B$35:$B$49)=YEAR(I285))*(MONTH($B$35:$B$49)=MONTH(I285))*$C$35:$C$49)),"")</f>
        <v/>
      </c>
      <c r="L285" s="9">
        <f>IF(H285&lt;&gt;"",ROUND(L284-K285,2),"")</f>
        <v/>
      </c>
      <c r="M285" s="10">
        <f>IF(H285&lt;&gt;"",MIN(MonthlyPmt,L284+J285),"")</f>
        <v/>
      </c>
      <c r="N285" s="10">
        <f>IF(H285&lt;&gt;"",N284+K285,"")</f>
        <v/>
      </c>
      <c r="O285" s="10">
        <f>IF(H285&lt;&gt;"",O284+J285,"")</f>
        <v/>
      </c>
    </row>
    <row r="286">
      <c r="H286" s="12">
        <f>IF(AND(L285&gt;0.005,H285&lt;&gt;""),284,"")</f>
        <v/>
      </c>
      <c r="I286" s="13">
        <f>IF(H286&lt;&gt;"",EDATE(StartDate,283),"")</f>
        <v/>
      </c>
      <c r="J286" s="14">
        <f>IF(H286&lt;&gt;"",ROUND(L285*AnnualRate/12,2),"")</f>
        <v/>
      </c>
      <c r="K286" s="14">
        <f>IF(H286&lt;&gt;"",MIN(L285,(M286-J286)+SUMPRODUCT(($B$22:$B$31&lt;&gt;"")*($B$22:$B$31&lt;=I286)*(($C$22:$C$31="")+($C$22:$C$31&lt;&gt;"")*($C$22:$C$31&gt;=I286))*($E$22:$E$31="Monthly")*$D$22:$D$31)+SUMPRODUCT(($B$22:$B$31&lt;&gt;"")*($B$22:$B$31&lt;=I286)*(($C$22:$C$31="")+($C$22:$C$31&lt;&gt;"")*($C$22:$C$31&gt;=I286))*($E$22:$E$31="Annual")*(MONTH($B$22:$B$31)=MONTH(I286))*$D$22:$D$31)+SUMPRODUCT(($B$35:$B$49&lt;&gt;"")*(YEAR($B$35:$B$49)=YEAR(I286))*(MONTH($B$35:$B$49)=MONTH(I286))*$C$35:$C$49)),"")</f>
        <v/>
      </c>
      <c r="L286" s="14">
        <f>IF(H286&lt;&gt;"",ROUND(L285-K286,2),"")</f>
        <v/>
      </c>
      <c r="M286" s="10">
        <f>IF(H286&lt;&gt;"",MIN(MonthlyPmt,L285+J286),"")</f>
        <v/>
      </c>
      <c r="N286" s="10">
        <f>IF(H286&lt;&gt;"",N285+K286,"")</f>
        <v/>
      </c>
      <c r="O286" s="10">
        <f>IF(H286&lt;&gt;"",O285+J286,"")</f>
        <v/>
      </c>
    </row>
    <row r="287">
      <c r="H287" s="7">
        <f>IF(AND(L286&gt;0.005,H286&lt;&gt;""),285,"")</f>
        <v/>
      </c>
      <c r="I287" s="8">
        <f>IF(H287&lt;&gt;"",EDATE(StartDate,284),"")</f>
        <v/>
      </c>
      <c r="J287" s="9">
        <f>IF(H287&lt;&gt;"",ROUND(L286*AnnualRate/12,2),"")</f>
        <v/>
      </c>
      <c r="K287" s="9">
        <f>IF(H287&lt;&gt;"",MIN(L286,(M287-J287)+SUMPRODUCT(($B$22:$B$31&lt;&gt;"")*($B$22:$B$31&lt;=I287)*(($C$22:$C$31="")+($C$22:$C$31&lt;&gt;"")*($C$22:$C$31&gt;=I287))*($E$22:$E$31="Monthly")*$D$22:$D$31)+SUMPRODUCT(($B$22:$B$31&lt;&gt;"")*($B$22:$B$31&lt;=I287)*(($C$22:$C$31="")+($C$22:$C$31&lt;&gt;"")*($C$22:$C$31&gt;=I287))*($E$22:$E$31="Annual")*(MONTH($B$22:$B$31)=MONTH(I287))*$D$22:$D$31)+SUMPRODUCT(($B$35:$B$49&lt;&gt;"")*(YEAR($B$35:$B$49)=YEAR(I287))*(MONTH($B$35:$B$49)=MONTH(I287))*$C$35:$C$49)),"")</f>
        <v/>
      </c>
      <c r="L287" s="9">
        <f>IF(H287&lt;&gt;"",ROUND(L286-K287,2),"")</f>
        <v/>
      </c>
      <c r="M287" s="10">
        <f>IF(H287&lt;&gt;"",MIN(MonthlyPmt,L286+J287),"")</f>
        <v/>
      </c>
      <c r="N287" s="10">
        <f>IF(H287&lt;&gt;"",N286+K287,"")</f>
        <v/>
      </c>
      <c r="O287" s="10">
        <f>IF(H287&lt;&gt;"",O286+J287,"")</f>
        <v/>
      </c>
    </row>
    <row r="288">
      <c r="H288" s="12">
        <f>IF(AND(L287&gt;0.005,H287&lt;&gt;""),286,"")</f>
        <v/>
      </c>
      <c r="I288" s="13">
        <f>IF(H288&lt;&gt;"",EDATE(StartDate,285),"")</f>
        <v/>
      </c>
      <c r="J288" s="14">
        <f>IF(H288&lt;&gt;"",ROUND(L287*AnnualRate/12,2),"")</f>
        <v/>
      </c>
      <c r="K288" s="14">
        <f>IF(H288&lt;&gt;"",MIN(L287,(M288-J288)+SUMPRODUCT(($B$22:$B$31&lt;&gt;"")*($B$22:$B$31&lt;=I288)*(($C$22:$C$31="")+($C$22:$C$31&lt;&gt;"")*($C$22:$C$31&gt;=I288))*($E$22:$E$31="Monthly")*$D$22:$D$31)+SUMPRODUCT(($B$22:$B$31&lt;&gt;"")*($B$22:$B$31&lt;=I288)*(($C$22:$C$31="")+($C$22:$C$31&lt;&gt;"")*($C$22:$C$31&gt;=I288))*($E$22:$E$31="Annual")*(MONTH($B$22:$B$31)=MONTH(I288))*$D$22:$D$31)+SUMPRODUCT(($B$35:$B$49&lt;&gt;"")*(YEAR($B$35:$B$49)=YEAR(I288))*(MONTH($B$35:$B$49)=MONTH(I288))*$C$35:$C$49)),"")</f>
        <v/>
      </c>
      <c r="L288" s="14">
        <f>IF(H288&lt;&gt;"",ROUND(L287-K288,2),"")</f>
        <v/>
      </c>
      <c r="M288" s="10">
        <f>IF(H288&lt;&gt;"",MIN(MonthlyPmt,L287+J288),"")</f>
        <v/>
      </c>
      <c r="N288" s="10">
        <f>IF(H288&lt;&gt;"",N287+K288,"")</f>
        <v/>
      </c>
      <c r="O288" s="10">
        <f>IF(H288&lt;&gt;"",O287+J288,"")</f>
        <v/>
      </c>
    </row>
    <row r="289">
      <c r="H289" s="7">
        <f>IF(AND(L288&gt;0.005,H288&lt;&gt;""),287,"")</f>
        <v/>
      </c>
      <c r="I289" s="8">
        <f>IF(H289&lt;&gt;"",EDATE(StartDate,286),"")</f>
        <v/>
      </c>
      <c r="J289" s="9">
        <f>IF(H289&lt;&gt;"",ROUND(L288*AnnualRate/12,2),"")</f>
        <v/>
      </c>
      <c r="K289" s="9">
        <f>IF(H289&lt;&gt;"",MIN(L288,(M289-J289)+SUMPRODUCT(($B$22:$B$31&lt;&gt;"")*($B$22:$B$31&lt;=I289)*(($C$22:$C$31="")+($C$22:$C$31&lt;&gt;"")*($C$22:$C$31&gt;=I289))*($E$22:$E$31="Monthly")*$D$22:$D$31)+SUMPRODUCT(($B$22:$B$31&lt;&gt;"")*($B$22:$B$31&lt;=I289)*(($C$22:$C$31="")+($C$22:$C$31&lt;&gt;"")*($C$22:$C$31&gt;=I289))*($E$22:$E$31="Annual")*(MONTH($B$22:$B$31)=MONTH(I289))*$D$22:$D$31)+SUMPRODUCT(($B$35:$B$49&lt;&gt;"")*(YEAR($B$35:$B$49)=YEAR(I289))*(MONTH($B$35:$B$49)=MONTH(I289))*$C$35:$C$49)),"")</f>
        <v/>
      </c>
      <c r="L289" s="9">
        <f>IF(H289&lt;&gt;"",ROUND(L288-K289,2),"")</f>
        <v/>
      </c>
      <c r="M289" s="10">
        <f>IF(H289&lt;&gt;"",MIN(MonthlyPmt,L288+J289),"")</f>
        <v/>
      </c>
      <c r="N289" s="10">
        <f>IF(H289&lt;&gt;"",N288+K289,"")</f>
        <v/>
      </c>
      <c r="O289" s="10">
        <f>IF(H289&lt;&gt;"",O288+J289,"")</f>
        <v/>
      </c>
    </row>
    <row r="290">
      <c r="H290" s="12">
        <f>IF(AND(L289&gt;0.005,H289&lt;&gt;""),288,"")</f>
        <v/>
      </c>
      <c r="I290" s="13">
        <f>IF(H290&lt;&gt;"",EDATE(StartDate,287),"")</f>
        <v/>
      </c>
      <c r="J290" s="14">
        <f>IF(H290&lt;&gt;"",ROUND(L289*AnnualRate/12,2),"")</f>
        <v/>
      </c>
      <c r="K290" s="14">
        <f>IF(H290&lt;&gt;"",MIN(L289,(M290-J290)+SUMPRODUCT(($B$22:$B$31&lt;&gt;"")*($B$22:$B$31&lt;=I290)*(($C$22:$C$31="")+($C$22:$C$31&lt;&gt;"")*($C$22:$C$31&gt;=I290))*($E$22:$E$31="Monthly")*$D$22:$D$31)+SUMPRODUCT(($B$22:$B$31&lt;&gt;"")*($B$22:$B$31&lt;=I290)*(($C$22:$C$31="")+($C$22:$C$31&lt;&gt;"")*($C$22:$C$31&gt;=I290))*($E$22:$E$31="Annual")*(MONTH($B$22:$B$31)=MONTH(I290))*$D$22:$D$31)+SUMPRODUCT(($B$35:$B$49&lt;&gt;"")*(YEAR($B$35:$B$49)=YEAR(I290))*(MONTH($B$35:$B$49)=MONTH(I290))*$C$35:$C$49)),"")</f>
        <v/>
      </c>
      <c r="L290" s="14">
        <f>IF(H290&lt;&gt;"",ROUND(L289-K290,2),"")</f>
        <v/>
      </c>
      <c r="M290" s="10">
        <f>IF(H290&lt;&gt;"",MIN(MonthlyPmt,L289+J290),"")</f>
        <v/>
      </c>
      <c r="N290" s="10">
        <f>IF(H290&lt;&gt;"",N289+K290,"")</f>
        <v/>
      </c>
      <c r="O290" s="10">
        <f>IF(H290&lt;&gt;"",O289+J290,"")</f>
        <v/>
      </c>
    </row>
    <row r="291">
      <c r="H291" s="7">
        <f>IF(AND(L290&gt;0.005,H290&lt;&gt;""),289,"")</f>
        <v/>
      </c>
      <c r="I291" s="8">
        <f>IF(H291&lt;&gt;"",EDATE(StartDate,288),"")</f>
        <v/>
      </c>
      <c r="J291" s="9">
        <f>IF(H291&lt;&gt;"",ROUND(L290*AnnualRate/12,2),"")</f>
        <v/>
      </c>
      <c r="K291" s="9">
        <f>IF(H291&lt;&gt;"",MIN(L290,(M291-J291)+SUMPRODUCT(($B$22:$B$31&lt;&gt;"")*($B$22:$B$31&lt;=I291)*(($C$22:$C$31="")+($C$22:$C$31&lt;&gt;"")*($C$22:$C$31&gt;=I291))*($E$22:$E$31="Monthly")*$D$22:$D$31)+SUMPRODUCT(($B$22:$B$31&lt;&gt;"")*($B$22:$B$31&lt;=I291)*(($C$22:$C$31="")+($C$22:$C$31&lt;&gt;"")*($C$22:$C$31&gt;=I291))*($E$22:$E$31="Annual")*(MONTH($B$22:$B$31)=MONTH(I291))*$D$22:$D$31)+SUMPRODUCT(($B$35:$B$49&lt;&gt;"")*(YEAR($B$35:$B$49)=YEAR(I291))*(MONTH($B$35:$B$49)=MONTH(I291))*$C$35:$C$49)),"")</f>
        <v/>
      </c>
      <c r="L291" s="9">
        <f>IF(H291&lt;&gt;"",ROUND(L290-K291,2),"")</f>
        <v/>
      </c>
      <c r="M291" s="10">
        <f>IF(H291&lt;&gt;"",MIN(MonthlyPmt,L290+J291),"")</f>
        <v/>
      </c>
      <c r="N291" s="10">
        <f>IF(H291&lt;&gt;"",N290+K291,"")</f>
        <v/>
      </c>
      <c r="O291" s="10">
        <f>IF(H291&lt;&gt;"",O290+J291,"")</f>
        <v/>
      </c>
    </row>
    <row r="292">
      <c r="H292" s="12">
        <f>IF(AND(L291&gt;0.005,H291&lt;&gt;""),290,"")</f>
        <v/>
      </c>
      <c r="I292" s="13">
        <f>IF(H292&lt;&gt;"",EDATE(StartDate,289),"")</f>
        <v/>
      </c>
      <c r="J292" s="14">
        <f>IF(H292&lt;&gt;"",ROUND(L291*AnnualRate/12,2),"")</f>
        <v/>
      </c>
      <c r="K292" s="14">
        <f>IF(H292&lt;&gt;"",MIN(L291,(M292-J292)+SUMPRODUCT(($B$22:$B$31&lt;&gt;"")*($B$22:$B$31&lt;=I292)*(($C$22:$C$31="")+($C$22:$C$31&lt;&gt;"")*($C$22:$C$31&gt;=I292))*($E$22:$E$31="Monthly")*$D$22:$D$31)+SUMPRODUCT(($B$22:$B$31&lt;&gt;"")*($B$22:$B$31&lt;=I292)*(($C$22:$C$31="")+($C$22:$C$31&lt;&gt;"")*($C$22:$C$31&gt;=I292))*($E$22:$E$31="Annual")*(MONTH($B$22:$B$31)=MONTH(I292))*$D$22:$D$31)+SUMPRODUCT(($B$35:$B$49&lt;&gt;"")*(YEAR($B$35:$B$49)=YEAR(I292))*(MONTH($B$35:$B$49)=MONTH(I292))*$C$35:$C$49)),"")</f>
        <v/>
      </c>
      <c r="L292" s="14">
        <f>IF(H292&lt;&gt;"",ROUND(L291-K292,2),"")</f>
        <v/>
      </c>
      <c r="M292" s="10">
        <f>IF(H292&lt;&gt;"",MIN(MonthlyPmt,L291+J292),"")</f>
        <v/>
      </c>
      <c r="N292" s="10">
        <f>IF(H292&lt;&gt;"",N291+K292,"")</f>
        <v/>
      </c>
      <c r="O292" s="10">
        <f>IF(H292&lt;&gt;"",O291+J292,"")</f>
        <v/>
      </c>
    </row>
    <row r="293">
      <c r="H293" s="7">
        <f>IF(AND(L292&gt;0.005,H292&lt;&gt;""),291,"")</f>
        <v/>
      </c>
      <c r="I293" s="8">
        <f>IF(H293&lt;&gt;"",EDATE(StartDate,290),"")</f>
        <v/>
      </c>
      <c r="J293" s="9">
        <f>IF(H293&lt;&gt;"",ROUND(L292*AnnualRate/12,2),"")</f>
        <v/>
      </c>
      <c r="K293" s="9">
        <f>IF(H293&lt;&gt;"",MIN(L292,(M293-J293)+SUMPRODUCT(($B$22:$B$31&lt;&gt;"")*($B$22:$B$31&lt;=I293)*(($C$22:$C$31="")+($C$22:$C$31&lt;&gt;"")*($C$22:$C$31&gt;=I293))*($E$22:$E$31="Monthly")*$D$22:$D$31)+SUMPRODUCT(($B$22:$B$31&lt;&gt;"")*($B$22:$B$31&lt;=I293)*(($C$22:$C$31="")+($C$22:$C$31&lt;&gt;"")*($C$22:$C$31&gt;=I293))*($E$22:$E$31="Annual")*(MONTH($B$22:$B$31)=MONTH(I293))*$D$22:$D$31)+SUMPRODUCT(($B$35:$B$49&lt;&gt;"")*(YEAR($B$35:$B$49)=YEAR(I293))*(MONTH($B$35:$B$49)=MONTH(I293))*$C$35:$C$49)),"")</f>
        <v/>
      </c>
      <c r="L293" s="9">
        <f>IF(H293&lt;&gt;"",ROUND(L292-K293,2),"")</f>
        <v/>
      </c>
      <c r="M293" s="10">
        <f>IF(H293&lt;&gt;"",MIN(MonthlyPmt,L292+J293),"")</f>
        <v/>
      </c>
      <c r="N293" s="10">
        <f>IF(H293&lt;&gt;"",N292+K293,"")</f>
        <v/>
      </c>
      <c r="O293" s="10">
        <f>IF(H293&lt;&gt;"",O292+J293,"")</f>
        <v/>
      </c>
    </row>
    <row r="294">
      <c r="H294" s="12">
        <f>IF(AND(L293&gt;0.005,H293&lt;&gt;""),292,"")</f>
        <v/>
      </c>
      <c r="I294" s="13">
        <f>IF(H294&lt;&gt;"",EDATE(StartDate,291),"")</f>
        <v/>
      </c>
      <c r="J294" s="14">
        <f>IF(H294&lt;&gt;"",ROUND(L293*AnnualRate/12,2),"")</f>
        <v/>
      </c>
      <c r="K294" s="14">
        <f>IF(H294&lt;&gt;"",MIN(L293,(M294-J294)+SUMPRODUCT(($B$22:$B$31&lt;&gt;"")*($B$22:$B$31&lt;=I294)*(($C$22:$C$31="")+($C$22:$C$31&lt;&gt;"")*($C$22:$C$31&gt;=I294))*($E$22:$E$31="Monthly")*$D$22:$D$31)+SUMPRODUCT(($B$22:$B$31&lt;&gt;"")*($B$22:$B$31&lt;=I294)*(($C$22:$C$31="")+($C$22:$C$31&lt;&gt;"")*($C$22:$C$31&gt;=I294))*($E$22:$E$31="Annual")*(MONTH($B$22:$B$31)=MONTH(I294))*$D$22:$D$31)+SUMPRODUCT(($B$35:$B$49&lt;&gt;"")*(YEAR($B$35:$B$49)=YEAR(I294))*(MONTH($B$35:$B$49)=MONTH(I294))*$C$35:$C$49)),"")</f>
        <v/>
      </c>
      <c r="L294" s="14">
        <f>IF(H294&lt;&gt;"",ROUND(L293-K294,2),"")</f>
        <v/>
      </c>
      <c r="M294" s="10">
        <f>IF(H294&lt;&gt;"",MIN(MonthlyPmt,L293+J294),"")</f>
        <v/>
      </c>
      <c r="N294" s="10">
        <f>IF(H294&lt;&gt;"",N293+K294,"")</f>
        <v/>
      </c>
      <c r="O294" s="10">
        <f>IF(H294&lt;&gt;"",O293+J294,"")</f>
        <v/>
      </c>
    </row>
    <row r="295">
      <c r="H295" s="7">
        <f>IF(AND(L294&gt;0.005,H294&lt;&gt;""),293,"")</f>
        <v/>
      </c>
      <c r="I295" s="8">
        <f>IF(H295&lt;&gt;"",EDATE(StartDate,292),"")</f>
        <v/>
      </c>
      <c r="J295" s="9">
        <f>IF(H295&lt;&gt;"",ROUND(L294*AnnualRate/12,2),"")</f>
        <v/>
      </c>
      <c r="K295" s="9">
        <f>IF(H295&lt;&gt;"",MIN(L294,(M295-J295)+SUMPRODUCT(($B$22:$B$31&lt;&gt;"")*($B$22:$B$31&lt;=I295)*(($C$22:$C$31="")+($C$22:$C$31&lt;&gt;"")*($C$22:$C$31&gt;=I295))*($E$22:$E$31="Monthly")*$D$22:$D$31)+SUMPRODUCT(($B$22:$B$31&lt;&gt;"")*($B$22:$B$31&lt;=I295)*(($C$22:$C$31="")+($C$22:$C$31&lt;&gt;"")*($C$22:$C$31&gt;=I295))*($E$22:$E$31="Annual")*(MONTH($B$22:$B$31)=MONTH(I295))*$D$22:$D$31)+SUMPRODUCT(($B$35:$B$49&lt;&gt;"")*(YEAR($B$35:$B$49)=YEAR(I295))*(MONTH($B$35:$B$49)=MONTH(I295))*$C$35:$C$49)),"")</f>
        <v/>
      </c>
      <c r="L295" s="9">
        <f>IF(H295&lt;&gt;"",ROUND(L294-K295,2),"")</f>
        <v/>
      </c>
      <c r="M295" s="10">
        <f>IF(H295&lt;&gt;"",MIN(MonthlyPmt,L294+J295),"")</f>
        <v/>
      </c>
      <c r="N295" s="10">
        <f>IF(H295&lt;&gt;"",N294+K295,"")</f>
        <v/>
      </c>
      <c r="O295" s="10">
        <f>IF(H295&lt;&gt;"",O294+J295,"")</f>
        <v/>
      </c>
    </row>
    <row r="296">
      <c r="H296" s="12">
        <f>IF(AND(L295&gt;0.005,H295&lt;&gt;""),294,"")</f>
        <v/>
      </c>
      <c r="I296" s="13">
        <f>IF(H296&lt;&gt;"",EDATE(StartDate,293),"")</f>
        <v/>
      </c>
      <c r="J296" s="14">
        <f>IF(H296&lt;&gt;"",ROUND(L295*AnnualRate/12,2),"")</f>
        <v/>
      </c>
      <c r="K296" s="14">
        <f>IF(H296&lt;&gt;"",MIN(L295,(M296-J296)+SUMPRODUCT(($B$22:$B$31&lt;&gt;"")*($B$22:$B$31&lt;=I296)*(($C$22:$C$31="")+($C$22:$C$31&lt;&gt;"")*($C$22:$C$31&gt;=I296))*($E$22:$E$31="Monthly")*$D$22:$D$31)+SUMPRODUCT(($B$22:$B$31&lt;&gt;"")*($B$22:$B$31&lt;=I296)*(($C$22:$C$31="")+($C$22:$C$31&lt;&gt;"")*($C$22:$C$31&gt;=I296))*($E$22:$E$31="Annual")*(MONTH($B$22:$B$31)=MONTH(I296))*$D$22:$D$31)+SUMPRODUCT(($B$35:$B$49&lt;&gt;"")*(YEAR($B$35:$B$49)=YEAR(I296))*(MONTH($B$35:$B$49)=MONTH(I296))*$C$35:$C$49)),"")</f>
        <v/>
      </c>
      <c r="L296" s="14">
        <f>IF(H296&lt;&gt;"",ROUND(L295-K296,2),"")</f>
        <v/>
      </c>
      <c r="M296" s="10">
        <f>IF(H296&lt;&gt;"",MIN(MonthlyPmt,L295+J296),"")</f>
        <v/>
      </c>
      <c r="N296" s="10">
        <f>IF(H296&lt;&gt;"",N295+K296,"")</f>
        <v/>
      </c>
      <c r="O296" s="10">
        <f>IF(H296&lt;&gt;"",O295+J296,"")</f>
        <v/>
      </c>
    </row>
    <row r="297">
      <c r="H297" s="7">
        <f>IF(AND(L296&gt;0.005,H296&lt;&gt;""),295,"")</f>
        <v/>
      </c>
      <c r="I297" s="8">
        <f>IF(H297&lt;&gt;"",EDATE(StartDate,294),"")</f>
        <v/>
      </c>
      <c r="J297" s="9">
        <f>IF(H297&lt;&gt;"",ROUND(L296*AnnualRate/12,2),"")</f>
        <v/>
      </c>
      <c r="K297" s="9">
        <f>IF(H297&lt;&gt;"",MIN(L296,(M297-J297)+SUMPRODUCT(($B$22:$B$31&lt;&gt;"")*($B$22:$B$31&lt;=I297)*(($C$22:$C$31="")+($C$22:$C$31&lt;&gt;"")*($C$22:$C$31&gt;=I297))*($E$22:$E$31="Monthly")*$D$22:$D$31)+SUMPRODUCT(($B$22:$B$31&lt;&gt;"")*($B$22:$B$31&lt;=I297)*(($C$22:$C$31="")+($C$22:$C$31&lt;&gt;"")*($C$22:$C$31&gt;=I297))*($E$22:$E$31="Annual")*(MONTH($B$22:$B$31)=MONTH(I297))*$D$22:$D$31)+SUMPRODUCT(($B$35:$B$49&lt;&gt;"")*(YEAR($B$35:$B$49)=YEAR(I297))*(MONTH($B$35:$B$49)=MONTH(I297))*$C$35:$C$49)),"")</f>
        <v/>
      </c>
      <c r="L297" s="9">
        <f>IF(H297&lt;&gt;"",ROUND(L296-K297,2),"")</f>
        <v/>
      </c>
      <c r="M297" s="10">
        <f>IF(H297&lt;&gt;"",MIN(MonthlyPmt,L296+J297),"")</f>
        <v/>
      </c>
      <c r="N297" s="10">
        <f>IF(H297&lt;&gt;"",N296+K297,"")</f>
        <v/>
      </c>
      <c r="O297" s="10">
        <f>IF(H297&lt;&gt;"",O296+J297,"")</f>
        <v/>
      </c>
    </row>
    <row r="298">
      <c r="H298" s="12">
        <f>IF(AND(L297&gt;0.005,H297&lt;&gt;""),296,"")</f>
        <v/>
      </c>
      <c r="I298" s="13">
        <f>IF(H298&lt;&gt;"",EDATE(StartDate,295),"")</f>
        <v/>
      </c>
      <c r="J298" s="14">
        <f>IF(H298&lt;&gt;"",ROUND(L297*AnnualRate/12,2),"")</f>
        <v/>
      </c>
      <c r="K298" s="14">
        <f>IF(H298&lt;&gt;"",MIN(L297,(M298-J298)+SUMPRODUCT(($B$22:$B$31&lt;&gt;"")*($B$22:$B$31&lt;=I298)*(($C$22:$C$31="")+($C$22:$C$31&lt;&gt;"")*($C$22:$C$31&gt;=I298))*($E$22:$E$31="Monthly")*$D$22:$D$31)+SUMPRODUCT(($B$22:$B$31&lt;&gt;"")*($B$22:$B$31&lt;=I298)*(($C$22:$C$31="")+($C$22:$C$31&lt;&gt;"")*($C$22:$C$31&gt;=I298))*($E$22:$E$31="Annual")*(MONTH($B$22:$B$31)=MONTH(I298))*$D$22:$D$31)+SUMPRODUCT(($B$35:$B$49&lt;&gt;"")*(YEAR($B$35:$B$49)=YEAR(I298))*(MONTH($B$35:$B$49)=MONTH(I298))*$C$35:$C$49)),"")</f>
        <v/>
      </c>
      <c r="L298" s="14">
        <f>IF(H298&lt;&gt;"",ROUND(L297-K298,2),"")</f>
        <v/>
      </c>
      <c r="M298" s="10">
        <f>IF(H298&lt;&gt;"",MIN(MonthlyPmt,L297+J298),"")</f>
        <v/>
      </c>
      <c r="N298" s="10">
        <f>IF(H298&lt;&gt;"",N297+K298,"")</f>
        <v/>
      </c>
      <c r="O298" s="10">
        <f>IF(H298&lt;&gt;"",O297+J298,"")</f>
        <v/>
      </c>
    </row>
    <row r="299">
      <c r="H299" s="7">
        <f>IF(AND(L298&gt;0.005,H298&lt;&gt;""),297,"")</f>
        <v/>
      </c>
      <c r="I299" s="8">
        <f>IF(H299&lt;&gt;"",EDATE(StartDate,296),"")</f>
        <v/>
      </c>
      <c r="J299" s="9">
        <f>IF(H299&lt;&gt;"",ROUND(L298*AnnualRate/12,2),"")</f>
        <v/>
      </c>
      <c r="K299" s="9">
        <f>IF(H299&lt;&gt;"",MIN(L298,(M299-J299)+SUMPRODUCT(($B$22:$B$31&lt;&gt;"")*($B$22:$B$31&lt;=I299)*(($C$22:$C$31="")+($C$22:$C$31&lt;&gt;"")*($C$22:$C$31&gt;=I299))*($E$22:$E$31="Monthly")*$D$22:$D$31)+SUMPRODUCT(($B$22:$B$31&lt;&gt;"")*($B$22:$B$31&lt;=I299)*(($C$22:$C$31="")+($C$22:$C$31&lt;&gt;"")*($C$22:$C$31&gt;=I299))*($E$22:$E$31="Annual")*(MONTH($B$22:$B$31)=MONTH(I299))*$D$22:$D$31)+SUMPRODUCT(($B$35:$B$49&lt;&gt;"")*(YEAR($B$35:$B$49)=YEAR(I299))*(MONTH($B$35:$B$49)=MONTH(I299))*$C$35:$C$49)),"")</f>
        <v/>
      </c>
      <c r="L299" s="9">
        <f>IF(H299&lt;&gt;"",ROUND(L298-K299,2),"")</f>
        <v/>
      </c>
      <c r="M299" s="10">
        <f>IF(H299&lt;&gt;"",MIN(MonthlyPmt,L298+J299),"")</f>
        <v/>
      </c>
      <c r="N299" s="10">
        <f>IF(H299&lt;&gt;"",N298+K299,"")</f>
        <v/>
      </c>
      <c r="O299" s="10">
        <f>IF(H299&lt;&gt;"",O298+J299,"")</f>
        <v/>
      </c>
    </row>
    <row r="300">
      <c r="H300" s="12">
        <f>IF(AND(L299&gt;0.005,H299&lt;&gt;""),298,"")</f>
        <v/>
      </c>
      <c r="I300" s="13">
        <f>IF(H300&lt;&gt;"",EDATE(StartDate,297),"")</f>
        <v/>
      </c>
      <c r="J300" s="14">
        <f>IF(H300&lt;&gt;"",ROUND(L299*AnnualRate/12,2),"")</f>
        <v/>
      </c>
      <c r="K300" s="14">
        <f>IF(H300&lt;&gt;"",MIN(L299,(M300-J300)+SUMPRODUCT(($B$22:$B$31&lt;&gt;"")*($B$22:$B$31&lt;=I300)*(($C$22:$C$31="")+($C$22:$C$31&lt;&gt;"")*($C$22:$C$31&gt;=I300))*($E$22:$E$31="Monthly")*$D$22:$D$31)+SUMPRODUCT(($B$22:$B$31&lt;&gt;"")*($B$22:$B$31&lt;=I300)*(($C$22:$C$31="")+($C$22:$C$31&lt;&gt;"")*($C$22:$C$31&gt;=I300))*($E$22:$E$31="Annual")*(MONTH($B$22:$B$31)=MONTH(I300))*$D$22:$D$31)+SUMPRODUCT(($B$35:$B$49&lt;&gt;"")*(YEAR($B$35:$B$49)=YEAR(I300))*(MONTH($B$35:$B$49)=MONTH(I300))*$C$35:$C$49)),"")</f>
        <v/>
      </c>
      <c r="L300" s="14">
        <f>IF(H300&lt;&gt;"",ROUND(L299-K300,2),"")</f>
        <v/>
      </c>
      <c r="M300" s="10">
        <f>IF(H300&lt;&gt;"",MIN(MonthlyPmt,L299+J300),"")</f>
        <v/>
      </c>
      <c r="N300" s="10">
        <f>IF(H300&lt;&gt;"",N299+K300,"")</f>
        <v/>
      </c>
      <c r="O300" s="10">
        <f>IF(H300&lt;&gt;"",O299+J300,"")</f>
        <v/>
      </c>
    </row>
    <row r="301">
      <c r="H301" s="7">
        <f>IF(AND(L300&gt;0.005,H300&lt;&gt;""),299,"")</f>
        <v/>
      </c>
      <c r="I301" s="8">
        <f>IF(H301&lt;&gt;"",EDATE(StartDate,298),"")</f>
        <v/>
      </c>
      <c r="J301" s="9">
        <f>IF(H301&lt;&gt;"",ROUND(L300*AnnualRate/12,2),"")</f>
        <v/>
      </c>
      <c r="K301" s="9">
        <f>IF(H301&lt;&gt;"",MIN(L300,(M301-J301)+SUMPRODUCT(($B$22:$B$31&lt;&gt;"")*($B$22:$B$31&lt;=I301)*(($C$22:$C$31="")+($C$22:$C$31&lt;&gt;"")*($C$22:$C$31&gt;=I301))*($E$22:$E$31="Monthly")*$D$22:$D$31)+SUMPRODUCT(($B$22:$B$31&lt;&gt;"")*($B$22:$B$31&lt;=I301)*(($C$22:$C$31="")+($C$22:$C$31&lt;&gt;"")*($C$22:$C$31&gt;=I301))*($E$22:$E$31="Annual")*(MONTH($B$22:$B$31)=MONTH(I301))*$D$22:$D$31)+SUMPRODUCT(($B$35:$B$49&lt;&gt;"")*(YEAR($B$35:$B$49)=YEAR(I301))*(MONTH($B$35:$B$49)=MONTH(I301))*$C$35:$C$49)),"")</f>
        <v/>
      </c>
      <c r="L301" s="9">
        <f>IF(H301&lt;&gt;"",ROUND(L300-K301,2),"")</f>
        <v/>
      </c>
      <c r="M301" s="10">
        <f>IF(H301&lt;&gt;"",MIN(MonthlyPmt,L300+J301),"")</f>
        <v/>
      </c>
      <c r="N301" s="10">
        <f>IF(H301&lt;&gt;"",N300+K301,"")</f>
        <v/>
      </c>
      <c r="O301" s="10">
        <f>IF(H301&lt;&gt;"",O300+J301,"")</f>
        <v/>
      </c>
    </row>
    <row r="302">
      <c r="H302" s="12">
        <f>IF(AND(L301&gt;0.005,H301&lt;&gt;""),300,"")</f>
        <v/>
      </c>
      <c r="I302" s="13">
        <f>IF(H302&lt;&gt;"",EDATE(StartDate,299),"")</f>
        <v/>
      </c>
      <c r="J302" s="14">
        <f>IF(H302&lt;&gt;"",ROUND(L301*AnnualRate/12,2),"")</f>
        <v/>
      </c>
      <c r="K302" s="14">
        <f>IF(H302&lt;&gt;"",MIN(L301,(M302-J302)+SUMPRODUCT(($B$22:$B$31&lt;&gt;"")*($B$22:$B$31&lt;=I302)*(($C$22:$C$31="")+($C$22:$C$31&lt;&gt;"")*($C$22:$C$31&gt;=I302))*($E$22:$E$31="Monthly")*$D$22:$D$31)+SUMPRODUCT(($B$22:$B$31&lt;&gt;"")*($B$22:$B$31&lt;=I302)*(($C$22:$C$31="")+($C$22:$C$31&lt;&gt;"")*($C$22:$C$31&gt;=I302))*($E$22:$E$31="Annual")*(MONTH($B$22:$B$31)=MONTH(I302))*$D$22:$D$31)+SUMPRODUCT(($B$35:$B$49&lt;&gt;"")*(YEAR($B$35:$B$49)=YEAR(I302))*(MONTH($B$35:$B$49)=MONTH(I302))*$C$35:$C$49)),"")</f>
        <v/>
      </c>
      <c r="L302" s="14">
        <f>IF(H302&lt;&gt;"",ROUND(L301-K302,2),"")</f>
        <v/>
      </c>
      <c r="M302" s="10">
        <f>IF(H302&lt;&gt;"",MIN(MonthlyPmt,L301+J302),"")</f>
        <v/>
      </c>
      <c r="N302" s="10">
        <f>IF(H302&lt;&gt;"",N301+K302,"")</f>
        <v/>
      </c>
      <c r="O302" s="10">
        <f>IF(H302&lt;&gt;"",O301+J302,"")</f>
        <v/>
      </c>
    </row>
    <row r="303">
      <c r="H303" s="7">
        <f>IF(AND(L302&gt;0.005,H302&lt;&gt;""),301,"")</f>
        <v/>
      </c>
      <c r="I303" s="8">
        <f>IF(H303&lt;&gt;"",EDATE(StartDate,300),"")</f>
        <v/>
      </c>
      <c r="J303" s="9">
        <f>IF(H303&lt;&gt;"",ROUND(L302*AnnualRate/12,2),"")</f>
        <v/>
      </c>
      <c r="K303" s="9">
        <f>IF(H303&lt;&gt;"",MIN(L302,(M303-J303)+SUMPRODUCT(($B$22:$B$31&lt;&gt;"")*($B$22:$B$31&lt;=I303)*(($C$22:$C$31="")+($C$22:$C$31&lt;&gt;"")*($C$22:$C$31&gt;=I303))*($E$22:$E$31="Monthly")*$D$22:$D$31)+SUMPRODUCT(($B$22:$B$31&lt;&gt;"")*($B$22:$B$31&lt;=I303)*(($C$22:$C$31="")+($C$22:$C$31&lt;&gt;"")*($C$22:$C$31&gt;=I303))*($E$22:$E$31="Annual")*(MONTH($B$22:$B$31)=MONTH(I303))*$D$22:$D$31)+SUMPRODUCT(($B$35:$B$49&lt;&gt;"")*(YEAR($B$35:$B$49)=YEAR(I303))*(MONTH($B$35:$B$49)=MONTH(I303))*$C$35:$C$49)),"")</f>
        <v/>
      </c>
      <c r="L303" s="9">
        <f>IF(H303&lt;&gt;"",ROUND(L302-K303,2),"")</f>
        <v/>
      </c>
      <c r="M303" s="10">
        <f>IF(H303&lt;&gt;"",MIN(MonthlyPmt,L302+J303),"")</f>
        <v/>
      </c>
      <c r="N303" s="10">
        <f>IF(H303&lt;&gt;"",N302+K303,"")</f>
        <v/>
      </c>
      <c r="O303" s="10">
        <f>IF(H303&lt;&gt;"",O302+J303,"")</f>
        <v/>
      </c>
    </row>
    <row r="304">
      <c r="H304" s="12">
        <f>IF(AND(L303&gt;0.005,H303&lt;&gt;""),302,"")</f>
        <v/>
      </c>
      <c r="I304" s="13">
        <f>IF(H304&lt;&gt;"",EDATE(StartDate,301),"")</f>
        <v/>
      </c>
      <c r="J304" s="14">
        <f>IF(H304&lt;&gt;"",ROUND(L303*AnnualRate/12,2),"")</f>
        <v/>
      </c>
      <c r="K304" s="14">
        <f>IF(H304&lt;&gt;"",MIN(L303,(M304-J304)+SUMPRODUCT(($B$22:$B$31&lt;&gt;"")*($B$22:$B$31&lt;=I304)*(($C$22:$C$31="")+($C$22:$C$31&lt;&gt;"")*($C$22:$C$31&gt;=I304))*($E$22:$E$31="Monthly")*$D$22:$D$31)+SUMPRODUCT(($B$22:$B$31&lt;&gt;"")*($B$22:$B$31&lt;=I304)*(($C$22:$C$31="")+($C$22:$C$31&lt;&gt;"")*($C$22:$C$31&gt;=I304))*($E$22:$E$31="Annual")*(MONTH($B$22:$B$31)=MONTH(I304))*$D$22:$D$31)+SUMPRODUCT(($B$35:$B$49&lt;&gt;"")*(YEAR($B$35:$B$49)=YEAR(I304))*(MONTH($B$35:$B$49)=MONTH(I304))*$C$35:$C$49)),"")</f>
        <v/>
      </c>
      <c r="L304" s="14">
        <f>IF(H304&lt;&gt;"",ROUND(L303-K304,2),"")</f>
        <v/>
      </c>
      <c r="M304" s="10">
        <f>IF(H304&lt;&gt;"",MIN(MonthlyPmt,L303+J304),"")</f>
        <v/>
      </c>
      <c r="N304" s="10">
        <f>IF(H304&lt;&gt;"",N303+K304,"")</f>
        <v/>
      </c>
      <c r="O304" s="10">
        <f>IF(H304&lt;&gt;"",O303+J304,"")</f>
        <v/>
      </c>
    </row>
    <row r="305">
      <c r="H305" s="7">
        <f>IF(AND(L304&gt;0.005,H304&lt;&gt;""),303,"")</f>
        <v/>
      </c>
      <c r="I305" s="8">
        <f>IF(H305&lt;&gt;"",EDATE(StartDate,302),"")</f>
        <v/>
      </c>
      <c r="J305" s="9">
        <f>IF(H305&lt;&gt;"",ROUND(L304*AnnualRate/12,2),"")</f>
        <v/>
      </c>
      <c r="K305" s="9">
        <f>IF(H305&lt;&gt;"",MIN(L304,(M305-J305)+SUMPRODUCT(($B$22:$B$31&lt;&gt;"")*($B$22:$B$31&lt;=I305)*(($C$22:$C$31="")+($C$22:$C$31&lt;&gt;"")*($C$22:$C$31&gt;=I305))*($E$22:$E$31="Monthly")*$D$22:$D$31)+SUMPRODUCT(($B$22:$B$31&lt;&gt;"")*($B$22:$B$31&lt;=I305)*(($C$22:$C$31="")+($C$22:$C$31&lt;&gt;"")*($C$22:$C$31&gt;=I305))*($E$22:$E$31="Annual")*(MONTH($B$22:$B$31)=MONTH(I305))*$D$22:$D$31)+SUMPRODUCT(($B$35:$B$49&lt;&gt;"")*(YEAR($B$35:$B$49)=YEAR(I305))*(MONTH($B$35:$B$49)=MONTH(I305))*$C$35:$C$49)),"")</f>
        <v/>
      </c>
      <c r="L305" s="9">
        <f>IF(H305&lt;&gt;"",ROUND(L304-K305,2),"")</f>
        <v/>
      </c>
      <c r="M305" s="10">
        <f>IF(H305&lt;&gt;"",MIN(MonthlyPmt,L304+J305),"")</f>
        <v/>
      </c>
      <c r="N305" s="10">
        <f>IF(H305&lt;&gt;"",N304+K305,"")</f>
        <v/>
      </c>
      <c r="O305" s="10">
        <f>IF(H305&lt;&gt;"",O304+J305,"")</f>
        <v/>
      </c>
    </row>
    <row r="306">
      <c r="H306" s="12">
        <f>IF(AND(L305&gt;0.005,H305&lt;&gt;""),304,"")</f>
        <v/>
      </c>
      <c r="I306" s="13">
        <f>IF(H306&lt;&gt;"",EDATE(StartDate,303),"")</f>
        <v/>
      </c>
      <c r="J306" s="14">
        <f>IF(H306&lt;&gt;"",ROUND(L305*AnnualRate/12,2),"")</f>
        <v/>
      </c>
      <c r="K306" s="14">
        <f>IF(H306&lt;&gt;"",MIN(L305,(M306-J306)+SUMPRODUCT(($B$22:$B$31&lt;&gt;"")*($B$22:$B$31&lt;=I306)*(($C$22:$C$31="")+($C$22:$C$31&lt;&gt;"")*($C$22:$C$31&gt;=I306))*($E$22:$E$31="Monthly")*$D$22:$D$31)+SUMPRODUCT(($B$22:$B$31&lt;&gt;"")*($B$22:$B$31&lt;=I306)*(($C$22:$C$31="")+($C$22:$C$31&lt;&gt;"")*($C$22:$C$31&gt;=I306))*($E$22:$E$31="Annual")*(MONTH($B$22:$B$31)=MONTH(I306))*$D$22:$D$31)+SUMPRODUCT(($B$35:$B$49&lt;&gt;"")*(YEAR($B$35:$B$49)=YEAR(I306))*(MONTH($B$35:$B$49)=MONTH(I306))*$C$35:$C$49)),"")</f>
        <v/>
      </c>
      <c r="L306" s="14">
        <f>IF(H306&lt;&gt;"",ROUND(L305-K306,2),"")</f>
        <v/>
      </c>
      <c r="M306" s="10">
        <f>IF(H306&lt;&gt;"",MIN(MonthlyPmt,L305+J306),"")</f>
        <v/>
      </c>
      <c r="N306" s="10">
        <f>IF(H306&lt;&gt;"",N305+K306,"")</f>
        <v/>
      </c>
      <c r="O306" s="10">
        <f>IF(H306&lt;&gt;"",O305+J306,"")</f>
        <v/>
      </c>
    </row>
    <row r="307">
      <c r="H307" s="7">
        <f>IF(AND(L306&gt;0.005,H306&lt;&gt;""),305,"")</f>
        <v/>
      </c>
      <c r="I307" s="8">
        <f>IF(H307&lt;&gt;"",EDATE(StartDate,304),"")</f>
        <v/>
      </c>
      <c r="J307" s="9">
        <f>IF(H307&lt;&gt;"",ROUND(L306*AnnualRate/12,2),"")</f>
        <v/>
      </c>
      <c r="K307" s="9">
        <f>IF(H307&lt;&gt;"",MIN(L306,(M307-J307)+SUMPRODUCT(($B$22:$B$31&lt;&gt;"")*($B$22:$B$31&lt;=I307)*(($C$22:$C$31="")+($C$22:$C$31&lt;&gt;"")*($C$22:$C$31&gt;=I307))*($E$22:$E$31="Monthly")*$D$22:$D$31)+SUMPRODUCT(($B$22:$B$31&lt;&gt;"")*($B$22:$B$31&lt;=I307)*(($C$22:$C$31="")+($C$22:$C$31&lt;&gt;"")*($C$22:$C$31&gt;=I307))*($E$22:$E$31="Annual")*(MONTH($B$22:$B$31)=MONTH(I307))*$D$22:$D$31)+SUMPRODUCT(($B$35:$B$49&lt;&gt;"")*(YEAR($B$35:$B$49)=YEAR(I307))*(MONTH($B$35:$B$49)=MONTH(I307))*$C$35:$C$49)),"")</f>
        <v/>
      </c>
      <c r="L307" s="9">
        <f>IF(H307&lt;&gt;"",ROUND(L306-K307,2),"")</f>
        <v/>
      </c>
      <c r="M307" s="10">
        <f>IF(H307&lt;&gt;"",MIN(MonthlyPmt,L306+J307),"")</f>
        <v/>
      </c>
      <c r="N307" s="10">
        <f>IF(H307&lt;&gt;"",N306+K307,"")</f>
        <v/>
      </c>
      <c r="O307" s="10">
        <f>IF(H307&lt;&gt;"",O306+J307,"")</f>
        <v/>
      </c>
    </row>
    <row r="308">
      <c r="H308" s="12">
        <f>IF(AND(L307&gt;0.005,H307&lt;&gt;""),306,"")</f>
        <v/>
      </c>
      <c r="I308" s="13">
        <f>IF(H308&lt;&gt;"",EDATE(StartDate,305),"")</f>
        <v/>
      </c>
      <c r="J308" s="14">
        <f>IF(H308&lt;&gt;"",ROUND(L307*AnnualRate/12,2),"")</f>
        <v/>
      </c>
      <c r="K308" s="14">
        <f>IF(H308&lt;&gt;"",MIN(L307,(M308-J308)+SUMPRODUCT(($B$22:$B$31&lt;&gt;"")*($B$22:$B$31&lt;=I308)*(($C$22:$C$31="")+($C$22:$C$31&lt;&gt;"")*($C$22:$C$31&gt;=I308))*($E$22:$E$31="Monthly")*$D$22:$D$31)+SUMPRODUCT(($B$22:$B$31&lt;&gt;"")*($B$22:$B$31&lt;=I308)*(($C$22:$C$31="")+($C$22:$C$31&lt;&gt;"")*($C$22:$C$31&gt;=I308))*($E$22:$E$31="Annual")*(MONTH($B$22:$B$31)=MONTH(I308))*$D$22:$D$31)+SUMPRODUCT(($B$35:$B$49&lt;&gt;"")*(YEAR($B$35:$B$49)=YEAR(I308))*(MONTH($B$35:$B$49)=MONTH(I308))*$C$35:$C$49)),"")</f>
        <v/>
      </c>
      <c r="L308" s="14">
        <f>IF(H308&lt;&gt;"",ROUND(L307-K308,2),"")</f>
        <v/>
      </c>
      <c r="M308" s="10">
        <f>IF(H308&lt;&gt;"",MIN(MonthlyPmt,L307+J308),"")</f>
        <v/>
      </c>
      <c r="N308" s="10">
        <f>IF(H308&lt;&gt;"",N307+K308,"")</f>
        <v/>
      </c>
      <c r="O308" s="10">
        <f>IF(H308&lt;&gt;"",O307+J308,"")</f>
        <v/>
      </c>
    </row>
    <row r="309">
      <c r="H309" s="7">
        <f>IF(AND(L308&gt;0.005,H308&lt;&gt;""),307,"")</f>
        <v/>
      </c>
      <c r="I309" s="8">
        <f>IF(H309&lt;&gt;"",EDATE(StartDate,306),"")</f>
        <v/>
      </c>
      <c r="J309" s="9">
        <f>IF(H309&lt;&gt;"",ROUND(L308*AnnualRate/12,2),"")</f>
        <v/>
      </c>
      <c r="K309" s="9">
        <f>IF(H309&lt;&gt;"",MIN(L308,(M309-J309)+SUMPRODUCT(($B$22:$B$31&lt;&gt;"")*($B$22:$B$31&lt;=I309)*(($C$22:$C$31="")+($C$22:$C$31&lt;&gt;"")*($C$22:$C$31&gt;=I309))*($E$22:$E$31="Monthly")*$D$22:$D$31)+SUMPRODUCT(($B$22:$B$31&lt;&gt;"")*($B$22:$B$31&lt;=I309)*(($C$22:$C$31="")+($C$22:$C$31&lt;&gt;"")*($C$22:$C$31&gt;=I309))*($E$22:$E$31="Annual")*(MONTH($B$22:$B$31)=MONTH(I309))*$D$22:$D$31)+SUMPRODUCT(($B$35:$B$49&lt;&gt;"")*(YEAR($B$35:$B$49)=YEAR(I309))*(MONTH($B$35:$B$49)=MONTH(I309))*$C$35:$C$49)),"")</f>
        <v/>
      </c>
      <c r="L309" s="9">
        <f>IF(H309&lt;&gt;"",ROUND(L308-K309,2),"")</f>
        <v/>
      </c>
      <c r="M309" s="10">
        <f>IF(H309&lt;&gt;"",MIN(MonthlyPmt,L308+J309),"")</f>
        <v/>
      </c>
      <c r="N309" s="10">
        <f>IF(H309&lt;&gt;"",N308+K309,"")</f>
        <v/>
      </c>
      <c r="O309" s="10">
        <f>IF(H309&lt;&gt;"",O308+J309,"")</f>
        <v/>
      </c>
    </row>
    <row r="310">
      <c r="H310" s="12">
        <f>IF(AND(L309&gt;0.005,H309&lt;&gt;""),308,"")</f>
        <v/>
      </c>
      <c r="I310" s="13">
        <f>IF(H310&lt;&gt;"",EDATE(StartDate,307),"")</f>
        <v/>
      </c>
      <c r="J310" s="14">
        <f>IF(H310&lt;&gt;"",ROUND(L309*AnnualRate/12,2),"")</f>
        <v/>
      </c>
      <c r="K310" s="14">
        <f>IF(H310&lt;&gt;"",MIN(L309,(M310-J310)+SUMPRODUCT(($B$22:$B$31&lt;&gt;"")*($B$22:$B$31&lt;=I310)*(($C$22:$C$31="")+($C$22:$C$31&lt;&gt;"")*($C$22:$C$31&gt;=I310))*($E$22:$E$31="Monthly")*$D$22:$D$31)+SUMPRODUCT(($B$22:$B$31&lt;&gt;"")*($B$22:$B$31&lt;=I310)*(($C$22:$C$31="")+($C$22:$C$31&lt;&gt;"")*($C$22:$C$31&gt;=I310))*($E$22:$E$31="Annual")*(MONTH($B$22:$B$31)=MONTH(I310))*$D$22:$D$31)+SUMPRODUCT(($B$35:$B$49&lt;&gt;"")*(YEAR($B$35:$B$49)=YEAR(I310))*(MONTH($B$35:$B$49)=MONTH(I310))*$C$35:$C$49)),"")</f>
        <v/>
      </c>
      <c r="L310" s="14">
        <f>IF(H310&lt;&gt;"",ROUND(L309-K310,2),"")</f>
        <v/>
      </c>
      <c r="M310" s="10">
        <f>IF(H310&lt;&gt;"",MIN(MonthlyPmt,L309+J310),"")</f>
        <v/>
      </c>
      <c r="N310" s="10">
        <f>IF(H310&lt;&gt;"",N309+K310,"")</f>
        <v/>
      </c>
      <c r="O310" s="10">
        <f>IF(H310&lt;&gt;"",O309+J310,"")</f>
        <v/>
      </c>
    </row>
    <row r="311">
      <c r="H311" s="7">
        <f>IF(AND(L310&gt;0.005,H310&lt;&gt;""),309,"")</f>
        <v/>
      </c>
      <c r="I311" s="8">
        <f>IF(H311&lt;&gt;"",EDATE(StartDate,308),"")</f>
        <v/>
      </c>
      <c r="J311" s="9">
        <f>IF(H311&lt;&gt;"",ROUND(L310*AnnualRate/12,2),"")</f>
        <v/>
      </c>
      <c r="K311" s="9">
        <f>IF(H311&lt;&gt;"",MIN(L310,(M311-J311)+SUMPRODUCT(($B$22:$B$31&lt;&gt;"")*($B$22:$B$31&lt;=I311)*(($C$22:$C$31="")+($C$22:$C$31&lt;&gt;"")*($C$22:$C$31&gt;=I311))*($E$22:$E$31="Monthly")*$D$22:$D$31)+SUMPRODUCT(($B$22:$B$31&lt;&gt;"")*($B$22:$B$31&lt;=I311)*(($C$22:$C$31="")+($C$22:$C$31&lt;&gt;"")*($C$22:$C$31&gt;=I311))*($E$22:$E$31="Annual")*(MONTH($B$22:$B$31)=MONTH(I311))*$D$22:$D$31)+SUMPRODUCT(($B$35:$B$49&lt;&gt;"")*(YEAR($B$35:$B$49)=YEAR(I311))*(MONTH($B$35:$B$49)=MONTH(I311))*$C$35:$C$49)),"")</f>
        <v/>
      </c>
      <c r="L311" s="9">
        <f>IF(H311&lt;&gt;"",ROUND(L310-K311,2),"")</f>
        <v/>
      </c>
      <c r="M311" s="10">
        <f>IF(H311&lt;&gt;"",MIN(MonthlyPmt,L310+J311),"")</f>
        <v/>
      </c>
      <c r="N311" s="10">
        <f>IF(H311&lt;&gt;"",N310+K311,"")</f>
        <v/>
      </c>
      <c r="O311" s="10">
        <f>IF(H311&lt;&gt;"",O310+J311,"")</f>
        <v/>
      </c>
    </row>
    <row r="312">
      <c r="H312" s="12">
        <f>IF(AND(L311&gt;0.005,H311&lt;&gt;""),310,"")</f>
        <v/>
      </c>
      <c r="I312" s="13">
        <f>IF(H312&lt;&gt;"",EDATE(StartDate,309),"")</f>
        <v/>
      </c>
      <c r="J312" s="14">
        <f>IF(H312&lt;&gt;"",ROUND(L311*AnnualRate/12,2),"")</f>
        <v/>
      </c>
      <c r="K312" s="14">
        <f>IF(H312&lt;&gt;"",MIN(L311,(M312-J312)+SUMPRODUCT(($B$22:$B$31&lt;&gt;"")*($B$22:$B$31&lt;=I312)*(($C$22:$C$31="")+($C$22:$C$31&lt;&gt;"")*($C$22:$C$31&gt;=I312))*($E$22:$E$31="Monthly")*$D$22:$D$31)+SUMPRODUCT(($B$22:$B$31&lt;&gt;"")*($B$22:$B$31&lt;=I312)*(($C$22:$C$31="")+($C$22:$C$31&lt;&gt;"")*($C$22:$C$31&gt;=I312))*($E$22:$E$31="Annual")*(MONTH($B$22:$B$31)=MONTH(I312))*$D$22:$D$31)+SUMPRODUCT(($B$35:$B$49&lt;&gt;"")*(YEAR($B$35:$B$49)=YEAR(I312))*(MONTH($B$35:$B$49)=MONTH(I312))*$C$35:$C$49)),"")</f>
        <v/>
      </c>
      <c r="L312" s="14">
        <f>IF(H312&lt;&gt;"",ROUND(L311-K312,2),"")</f>
        <v/>
      </c>
      <c r="M312" s="10">
        <f>IF(H312&lt;&gt;"",MIN(MonthlyPmt,L311+J312),"")</f>
        <v/>
      </c>
      <c r="N312" s="10">
        <f>IF(H312&lt;&gt;"",N311+K312,"")</f>
        <v/>
      </c>
      <c r="O312" s="10">
        <f>IF(H312&lt;&gt;"",O311+J312,"")</f>
        <v/>
      </c>
    </row>
    <row r="313">
      <c r="H313" s="7">
        <f>IF(AND(L312&gt;0.005,H312&lt;&gt;""),311,"")</f>
        <v/>
      </c>
      <c r="I313" s="8">
        <f>IF(H313&lt;&gt;"",EDATE(StartDate,310),"")</f>
        <v/>
      </c>
      <c r="J313" s="9">
        <f>IF(H313&lt;&gt;"",ROUND(L312*AnnualRate/12,2),"")</f>
        <v/>
      </c>
      <c r="K313" s="9">
        <f>IF(H313&lt;&gt;"",MIN(L312,(M313-J313)+SUMPRODUCT(($B$22:$B$31&lt;&gt;"")*($B$22:$B$31&lt;=I313)*(($C$22:$C$31="")+($C$22:$C$31&lt;&gt;"")*($C$22:$C$31&gt;=I313))*($E$22:$E$31="Monthly")*$D$22:$D$31)+SUMPRODUCT(($B$22:$B$31&lt;&gt;"")*($B$22:$B$31&lt;=I313)*(($C$22:$C$31="")+($C$22:$C$31&lt;&gt;"")*($C$22:$C$31&gt;=I313))*($E$22:$E$31="Annual")*(MONTH($B$22:$B$31)=MONTH(I313))*$D$22:$D$31)+SUMPRODUCT(($B$35:$B$49&lt;&gt;"")*(YEAR($B$35:$B$49)=YEAR(I313))*(MONTH($B$35:$B$49)=MONTH(I313))*$C$35:$C$49)),"")</f>
        <v/>
      </c>
      <c r="L313" s="9">
        <f>IF(H313&lt;&gt;"",ROUND(L312-K313,2),"")</f>
        <v/>
      </c>
      <c r="M313" s="10">
        <f>IF(H313&lt;&gt;"",MIN(MonthlyPmt,L312+J313),"")</f>
        <v/>
      </c>
      <c r="N313" s="10">
        <f>IF(H313&lt;&gt;"",N312+K313,"")</f>
        <v/>
      </c>
      <c r="O313" s="10">
        <f>IF(H313&lt;&gt;"",O312+J313,"")</f>
        <v/>
      </c>
    </row>
    <row r="314">
      <c r="H314" s="12">
        <f>IF(AND(L313&gt;0.005,H313&lt;&gt;""),312,"")</f>
        <v/>
      </c>
      <c r="I314" s="13">
        <f>IF(H314&lt;&gt;"",EDATE(StartDate,311),"")</f>
        <v/>
      </c>
      <c r="J314" s="14">
        <f>IF(H314&lt;&gt;"",ROUND(L313*AnnualRate/12,2),"")</f>
        <v/>
      </c>
      <c r="K314" s="14">
        <f>IF(H314&lt;&gt;"",MIN(L313,(M314-J314)+SUMPRODUCT(($B$22:$B$31&lt;&gt;"")*($B$22:$B$31&lt;=I314)*(($C$22:$C$31="")+($C$22:$C$31&lt;&gt;"")*($C$22:$C$31&gt;=I314))*($E$22:$E$31="Monthly")*$D$22:$D$31)+SUMPRODUCT(($B$22:$B$31&lt;&gt;"")*($B$22:$B$31&lt;=I314)*(($C$22:$C$31="")+($C$22:$C$31&lt;&gt;"")*($C$22:$C$31&gt;=I314))*($E$22:$E$31="Annual")*(MONTH($B$22:$B$31)=MONTH(I314))*$D$22:$D$31)+SUMPRODUCT(($B$35:$B$49&lt;&gt;"")*(YEAR($B$35:$B$49)=YEAR(I314))*(MONTH($B$35:$B$49)=MONTH(I314))*$C$35:$C$49)),"")</f>
        <v/>
      </c>
      <c r="L314" s="14">
        <f>IF(H314&lt;&gt;"",ROUND(L313-K314,2),"")</f>
        <v/>
      </c>
      <c r="M314" s="10">
        <f>IF(H314&lt;&gt;"",MIN(MonthlyPmt,L313+J314),"")</f>
        <v/>
      </c>
      <c r="N314" s="10">
        <f>IF(H314&lt;&gt;"",N313+K314,"")</f>
        <v/>
      </c>
      <c r="O314" s="10">
        <f>IF(H314&lt;&gt;"",O313+J314,"")</f>
        <v/>
      </c>
    </row>
    <row r="315">
      <c r="H315" s="7">
        <f>IF(AND(L314&gt;0.005,H314&lt;&gt;""),313,"")</f>
        <v/>
      </c>
      <c r="I315" s="8">
        <f>IF(H315&lt;&gt;"",EDATE(StartDate,312),"")</f>
        <v/>
      </c>
      <c r="J315" s="9">
        <f>IF(H315&lt;&gt;"",ROUND(L314*AnnualRate/12,2),"")</f>
        <v/>
      </c>
      <c r="K315" s="9">
        <f>IF(H315&lt;&gt;"",MIN(L314,(M315-J315)+SUMPRODUCT(($B$22:$B$31&lt;&gt;"")*($B$22:$B$31&lt;=I315)*(($C$22:$C$31="")+($C$22:$C$31&lt;&gt;"")*($C$22:$C$31&gt;=I315))*($E$22:$E$31="Monthly")*$D$22:$D$31)+SUMPRODUCT(($B$22:$B$31&lt;&gt;"")*($B$22:$B$31&lt;=I315)*(($C$22:$C$31="")+($C$22:$C$31&lt;&gt;"")*($C$22:$C$31&gt;=I315))*($E$22:$E$31="Annual")*(MONTH($B$22:$B$31)=MONTH(I315))*$D$22:$D$31)+SUMPRODUCT(($B$35:$B$49&lt;&gt;"")*(YEAR($B$35:$B$49)=YEAR(I315))*(MONTH($B$35:$B$49)=MONTH(I315))*$C$35:$C$49)),"")</f>
        <v/>
      </c>
      <c r="L315" s="9">
        <f>IF(H315&lt;&gt;"",ROUND(L314-K315,2),"")</f>
        <v/>
      </c>
      <c r="M315" s="10">
        <f>IF(H315&lt;&gt;"",MIN(MonthlyPmt,L314+J315),"")</f>
        <v/>
      </c>
      <c r="N315" s="10">
        <f>IF(H315&lt;&gt;"",N314+K315,"")</f>
        <v/>
      </c>
      <c r="O315" s="10">
        <f>IF(H315&lt;&gt;"",O314+J315,"")</f>
        <v/>
      </c>
    </row>
    <row r="316">
      <c r="H316" s="12">
        <f>IF(AND(L315&gt;0.005,H315&lt;&gt;""),314,"")</f>
        <v/>
      </c>
      <c r="I316" s="13">
        <f>IF(H316&lt;&gt;"",EDATE(StartDate,313),"")</f>
        <v/>
      </c>
      <c r="J316" s="14">
        <f>IF(H316&lt;&gt;"",ROUND(L315*AnnualRate/12,2),"")</f>
        <v/>
      </c>
      <c r="K316" s="14">
        <f>IF(H316&lt;&gt;"",MIN(L315,(M316-J316)+SUMPRODUCT(($B$22:$B$31&lt;&gt;"")*($B$22:$B$31&lt;=I316)*(($C$22:$C$31="")+($C$22:$C$31&lt;&gt;"")*($C$22:$C$31&gt;=I316))*($E$22:$E$31="Monthly")*$D$22:$D$31)+SUMPRODUCT(($B$22:$B$31&lt;&gt;"")*($B$22:$B$31&lt;=I316)*(($C$22:$C$31="")+($C$22:$C$31&lt;&gt;"")*($C$22:$C$31&gt;=I316))*($E$22:$E$31="Annual")*(MONTH($B$22:$B$31)=MONTH(I316))*$D$22:$D$31)+SUMPRODUCT(($B$35:$B$49&lt;&gt;"")*(YEAR($B$35:$B$49)=YEAR(I316))*(MONTH($B$35:$B$49)=MONTH(I316))*$C$35:$C$49)),"")</f>
        <v/>
      </c>
      <c r="L316" s="14">
        <f>IF(H316&lt;&gt;"",ROUND(L315-K316,2),"")</f>
        <v/>
      </c>
      <c r="M316" s="10">
        <f>IF(H316&lt;&gt;"",MIN(MonthlyPmt,L315+J316),"")</f>
        <v/>
      </c>
      <c r="N316" s="10">
        <f>IF(H316&lt;&gt;"",N315+K316,"")</f>
        <v/>
      </c>
      <c r="O316" s="10">
        <f>IF(H316&lt;&gt;"",O315+J316,"")</f>
        <v/>
      </c>
    </row>
    <row r="317">
      <c r="H317" s="7">
        <f>IF(AND(L316&gt;0.005,H316&lt;&gt;""),315,"")</f>
        <v/>
      </c>
      <c r="I317" s="8">
        <f>IF(H317&lt;&gt;"",EDATE(StartDate,314),"")</f>
        <v/>
      </c>
      <c r="J317" s="9">
        <f>IF(H317&lt;&gt;"",ROUND(L316*AnnualRate/12,2),"")</f>
        <v/>
      </c>
      <c r="K317" s="9">
        <f>IF(H317&lt;&gt;"",MIN(L316,(M317-J317)+SUMPRODUCT(($B$22:$B$31&lt;&gt;"")*($B$22:$B$31&lt;=I317)*(($C$22:$C$31="")+($C$22:$C$31&lt;&gt;"")*($C$22:$C$31&gt;=I317))*($E$22:$E$31="Monthly")*$D$22:$D$31)+SUMPRODUCT(($B$22:$B$31&lt;&gt;"")*($B$22:$B$31&lt;=I317)*(($C$22:$C$31="")+($C$22:$C$31&lt;&gt;"")*($C$22:$C$31&gt;=I317))*($E$22:$E$31="Annual")*(MONTH($B$22:$B$31)=MONTH(I317))*$D$22:$D$31)+SUMPRODUCT(($B$35:$B$49&lt;&gt;"")*(YEAR($B$35:$B$49)=YEAR(I317))*(MONTH($B$35:$B$49)=MONTH(I317))*$C$35:$C$49)),"")</f>
        <v/>
      </c>
      <c r="L317" s="9">
        <f>IF(H317&lt;&gt;"",ROUND(L316-K317,2),"")</f>
        <v/>
      </c>
      <c r="M317" s="10">
        <f>IF(H317&lt;&gt;"",MIN(MonthlyPmt,L316+J317),"")</f>
        <v/>
      </c>
      <c r="N317" s="10">
        <f>IF(H317&lt;&gt;"",N316+K317,"")</f>
        <v/>
      </c>
      <c r="O317" s="10">
        <f>IF(H317&lt;&gt;"",O316+J317,"")</f>
        <v/>
      </c>
    </row>
    <row r="318">
      <c r="H318" s="12">
        <f>IF(AND(L317&gt;0.005,H317&lt;&gt;""),316,"")</f>
        <v/>
      </c>
      <c r="I318" s="13">
        <f>IF(H318&lt;&gt;"",EDATE(StartDate,315),"")</f>
        <v/>
      </c>
      <c r="J318" s="14">
        <f>IF(H318&lt;&gt;"",ROUND(L317*AnnualRate/12,2),"")</f>
        <v/>
      </c>
      <c r="K318" s="14">
        <f>IF(H318&lt;&gt;"",MIN(L317,(M318-J318)+SUMPRODUCT(($B$22:$B$31&lt;&gt;"")*($B$22:$B$31&lt;=I318)*(($C$22:$C$31="")+($C$22:$C$31&lt;&gt;"")*($C$22:$C$31&gt;=I318))*($E$22:$E$31="Monthly")*$D$22:$D$31)+SUMPRODUCT(($B$22:$B$31&lt;&gt;"")*($B$22:$B$31&lt;=I318)*(($C$22:$C$31="")+($C$22:$C$31&lt;&gt;"")*($C$22:$C$31&gt;=I318))*($E$22:$E$31="Annual")*(MONTH($B$22:$B$31)=MONTH(I318))*$D$22:$D$31)+SUMPRODUCT(($B$35:$B$49&lt;&gt;"")*(YEAR($B$35:$B$49)=YEAR(I318))*(MONTH($B$35:$B$49)=MONTH(I318))*$C$35:$C$49)),"")</f>
        <v/>
      </c>
      <c r="L318" s="14">
        <f>IF(H318&lt;&gt;"",ROUND(L317-K318,2),"")</f>
        <v/>
      </c>
      <c r="M318" s="10">
        <f>IF(H318&lt;&gt;"",MIN(MonthlyPmt,L317+J318),"")</f>
        <v/>
      </c>
      <c r="N318" s="10">
        <f>IF(H318&lt;&gt;"",N317+K318,"")</f>
        <v/>
      </c>
      <c r="O318" s="10">
        <f>IF(H318&lt;&gt;"",O317+J318,"")</f>
        <v/>
      </c>
    </row>
    <row r="319">
      <c r="H319" s="7">
        <f>IF(AND(L318&gt;0.005,H318&lt;&gt;""),317,"")</f>
        <v/>
      </c>
      <c r="I319" s="8">
        <f>IF(H319&lt;&gt;"",EDATE(StartDate,316),"")</f>
        <v/>
      </c>
      <c r="J319" s="9">
        <f>IF(H319&lt;&gt;"",ROUND(L318*AnnualRate/12,2),"")</f>
        <v/>
      </c>
      <c r="K319" s="9">
        <f>IF(H319&lt;&gt;"",MIN(L318,(M319-J319)+SUMPRODUCT(($B$22:$B$31&lt;&gt;"")*($B$22:$B$31&lt;=I319)*(($C$22:$C$31="")+($C$22:$C$31&lt;&gt;"")*($C$22:$C$31&gt;=I319))*($E$22:$E$31="Monthly")*$D$22:$D$31)+SUMPRODUCT(($B$22:$B$31&lt;&gt;"")*($B$22:$B$31&lt;=I319)*(($C$22:$C$31="")+($C$22:$C$31&lt;&gt;"")*($C$22:$C$31&gt;=I319))*($E$22:$E$31="Annual")*(MONTH($B$22:$B$31)=MONTH(I319))*$D$22:$D$31)+SUMPRODUCT(($B$35:$B$49&lt;&gt;"")*(YEAR($B$35:$B$49)=YEAR(I319))*(MONTH($B$35:$B$49)=MONTH(I319))*$C$35:$C$49)),"")</f>
        <v/>
      </c>
      <c r="L319" s="9">
        <f>IF(H319&lt;&gt;"",ROUND(L318-K319,2),"")</f>
        <v/>
      </c>
      <c r="M319" s="10">
        <f>IF(H319&lt;&gt;"",MIN(MonthlyPmt,L318+J319),"")</f>
        <v/>
      </c>
      <c r="N319" s="10">
        <f>IF(H319&lt;&gt;"",N318+K319,"")</f>
        <v/>
      </c>
      <c r="O319" s="10">
        <f>IF(H319&lt;&gt;"",O318+J319,"")</f>
        <v/>
      </c>
    </row>
    <row r="320">
      <c r="H320" s="12">
        <f>IF(AND(L319&gt;0.005,H319&lt;&gt;""),318,"")</f>
        <v/>
      </c>
      <c r="I320" s="13">
        <f>IF(H320&lt;&gt;"",EDATE(StartDate,317),"")</f>
        <v/>
      </c>
      <c r="J320" s="14">
        <f>IF(H320&lt;&gt;"",ROUND(L319*AnnualRate/12,2),"")</f>
        <v/>
      </c>
      <c r="K320" s="14">
        <f>IF(H320&lt;&gt;"",MIN(L319,(M320-J320)+SUMPRODUCT(($B$22:$B$31&lt;&gt;"")*($B$22:$B$31&lt;=I320)*(($C$22:$C$31="")+($C$22:$C$31&lt;&gt;"")*($C$22:$C$31&gt;=I320))*($E$22:$E$31="Monthly")*$D$22:$D$31)+SUMPRODUCT(($B$22:$B$31&lt;&gt;"")*($B$22:$B$31&lt;=I320)*(($C$22:$C$31="")+($C$22:$C$31&lt;&gt;"")*($C$22:$C$31&gt;=I320))*($E$22:$E$31="Annual")*(MONTH($B$22:$B$31)=MONTH(I320))*$D$22:$D$31)+SUMPRODUCT(($B$35:$B$49&lt;&gt;"")*(YEAR($B$35:$B$49)=YEAR(I320))*(MONTH($B$35:$B$49)=MONTH(I320))*$C$35:$C$49)),"")</f>
        <v/>
      </c>
      <c r="L320" s="14">
        <f>IF(H320&lt;&gt;"",ROUND(L319-K320,2),"")</f>
        <v/>
      </c>
      <c r="M320" s="10">
        <f>IF(H320&lt;&gt;"",MIN(MonthlyPmt,L319+J320),"")</f>
        <v/>
      </c>
      <c r="N320" s="10">
        <f>IF(H320&lt;&gt;"",N319+K320,"")</f>
        <v/>
      </c>
      <c r="O320" s="10">
        <f>IF(H320&lt;&gt;"",O319+J320,"")</f>
        <v/>
      </c>
    </row>
    <row r="321">
      <c r="H321" s="7">
        <f>IF(AND(L320&gt;0.005,H320&lt;&gt;""),319,"")</f>
        <v/>
      </c>
      <c r="I321" s="8">
        <f>IF(H321&lt;&gt;"",EDATE(StartDate,318),"")</f>
        <v/>
      </c>
      <c r="J321" s="9">
        <f>IF(H321&lt;&gt;"",ROUND(L320*AnnualRate/12,2),"")</f>
        <v/>
      </c>
      <c r="K321" s="9">
        <f>IF(H321&lt;&gt;"",MIN(L320,(M321-J321)+SUMPRODUCT(($B$22:$B$31&lt;&gt;"")*($B$22:$B$31&lt;=I321)*(($C$22:$C$31="")+($C$22:$C$31&lt;&gt;"")*($C$22:$C$31&gt;=I321))*($E$22:$E$31="Monthly")*$D$22:$D$31)+SUMPRODUCT(($B$22:$B$31&lt;&gt;"")*($B$22:$B$31&lt;=I321)*(($C$22:$C$31="")+($C$22:$C$31&lt;&gt;"")*($C$22:$C$31&gt;=I321))*($E$22:$E$31="Annual")*(MONTH($B$22:$B$31)=MONTH(I321))*$D$22:$D$31)+SUMPRODUCT(($B$35:$B$49&lt;&gt;"")*(YEAR($B$35:$B$49)=YEAR(I321))*(MONTH($B$35:$B$49)=MONTH(I321))*$C$35:$C$49)),"")</f>
        <v/>
      </c>
      <c r="L321" s="9">
        <f>IF(H321&lt;&gt;"",ROUND(L320-K321,2),"")</f>
        <v/>
      </c>
      <c r="M321" s="10">
        <f>IF(H321&lt;&gt;"",MIN(MonthlyPmt,L320+J321),"")</f>
        <v/>
      </c>
      <c r="N321" s="10">
        <f>IF(H321&lt;&gt;"",N320+K321,"")</f>
        <v/>
      </c>
      <c r="O321" s="10">
        <f>IF(H321&lt;&gt;"",O320+J321,"")</f>
        <v/>
      </c>
    </row>
    <row r="322">
      <c r="H322" s="12">
        <f>IF(AND(L321&gt;0.005,H321&lt;&gt;""),320,"")</f>
        <v/>
      </c>
      <c r="I322" s="13">
        <f>IF(H322&lt;&gt;"",EDATE(StartDate,319),"")</f>
        <v/>
      </c>
      <c r="J322" s="14">
        <f>IF(H322&lt;&gt;"",ROUND(L321*AnnualRate/12,2),"")</f>
        <v/>
      </c>
      <c r="K322" s="14">
        <f>IF(H322&lt;&gt;"",MIN(L321,(M322-J322)+SUMPRODUCT(($B$22:$B$31&lt;&gt;"")*($B$22:$B$31&lt;=I322)*(($C$22:$C$31="")+($C$22:$C$31&lt;&gt;"")*($C$22:$C$31&gt;=I322))*($E$22:$E$31="Monthly")*$D$22:$D$31)+SUMPRODUCT(($B$22:$B$31&lt;&gt;"")*($B$22:$B$31&lt;=I322)*(($C$22:$C$31="")+($C$22:$C$31&lt;&gt;"")*($C$22:$C$31&gt;=I322))*($E$22:$E$31="Annual")*(MONTH($B$22:$B$31)=MONTH(I322))*$D$22:$D$31)+SUMPRODUCT(($B$35:$B$49&lt;&gt;"")*(YEAR($B$35:$B$49)=YEAR(I322))*(MONTH($B$35:$B$49)=MONTH(I322))*$C$35:$C$49)),"")</f>
        <v/>
      </c>
      <c r="L322" s="14">
        <f>IF(H322&lt;&gt;"",ROUND(L321-K322,2),"")</f>
        <v/>
      </c>
      <c r="M322" s="10">
        <f>IF(H322&lt;&gt;"",MIN(MonthlyPmt,L321+J322),"")</f>
        <v/>
      </c>
      <c r="N322" s="10">
        <f>IF(H322&lt;&gt;"",N321+K322,"")</f>
        <v/>
      </c>
      <c r="O322" s="10">
        <f>IF(H322&lt;&gt;"",O321+J322,"")</f>
        <v/>
      </c>
    </row>
    <row r="323">
      <c r="H323" s="7">
        <f>IF(AND(L322&gt;0.005,H322&lt;&gt;""),321,"")</f>
        <v/>
      </c>
      <c r="I323" s="8">
        <f>IF(H323&lt;&gt;"",EDATE(StartDate,320),"")</f>
        <v/>
      </c>
      <c r="J323" s="9">
        <f>IF(H323&lt;&gt;"",ROUND(L322*AnnualRate/12,2),"")</f>
        <v/>
      </c>
      <c r="K323" s="9">
        <f>IF(H323&lt;&gt;"",MIN(L322,(M323-J323)+SUMPRODUCT(($B$22:$B$31&lt;&gt;"")*($B$22:$B$31&lt;=I323)*(($C$22:$C$31="")+($C$22:$C$31&lt;&gt;"")*($C$22:$C$31&gt;=I323))*($E$22:$E$31="Monthly")*$D$22:$D$31)+SUMPRODUCT(($B$22:$B$31&lt;&gt;"")*($B$22:$B$31&lt;=I323)*(($C$22:$C$31="")+($C$22:$C$31&lt;&gt;"")*($C$22:$C$31&gt;=I323))*($E$22:$E$31="Annual")*(MONTH($B$22:$B$31)=MONTH(I323))*$D$22:$D$31)+SUMPRODUCT(($B$35:$B$49&lt;&gt;"")*(YEAR($B$35:$B$49)=YEAR(I323))*(MONTH($B$35:$B$49)=MONTH(I323))*$C$35:$C$49)),"")</f>
        <v/>
      </c>
      <c r="L323" s="9">
        <f>IF(H323&lt;&gt;"",ROUND(L322-K323,2),"")</f>
        <v/>
      </c>
      <c r="M323" s="10">
        <f>IF(H323&lt;&gt;"",MIN(MonthlyPmt,L322+J323),"")</f>
        <v/>
      </c>
      <c r="N323" s="10">
        <f>IF(H323&lt;&gt;"",N322+K323,"")</f>
        <v/>
      </c>
      <c r="O323" s="10">
        <f>IF(H323&lt;&gt;"",O322+J323,"")</f>
        <v/>
      </c>
    </row>
    <row r="324">
      <c r="H324" s="12">
        <f>IF(AND(L323&gt;0.005,H323&lt;&gt;""),322,"")</f>
        <v/>
      </c>
      <c r="I324" s="13">
        <f>IF(H324&lt;&gt;"",EDATE(StartDate,321),"")</f>
        <v/>
      </c>
      <c r="J324" s="14">
        <f>IF(H324&lt;&gt;"",ROUND(L323*AnnualRate/12,2),"")</f>
        <v/>
      </c>
      <c r="K324" s="14">
        <f>IF(H324&lt;&gt;"",MIN(L323,(M324-J324)+SUMPRODUCT(($B$22:$B$31&lt;&gt;"")*($B$22:$B$31&lt;=I324)*(($C$22:$C$31="")+($C$22:$C$31&lt;&gt;"")*($C$22:$C$31&gt;=I324))*($E$22:$E$31="Monthly")*$D$22:$D$31)+SUMPRODUCT(($B$22:$B$31&lt;&gt;"")*($B$22:$B$31&lt;=I324)*(($C$22:$C$31="")+($C$22:$C$31&lt;&gt;"")*($C$22:$C$31&gt;=I324))*($E$22:$E$31="Annual")*(MONTH($B$22:$B$31)=MONTH(I324))*$D$22:$D$31)+SUMPRODUCT(($B$35:$B$49&lt;&gt;"")*(YEAR($B$35:$B$49)=YEAR(I324))*(MONTH($B$35:$B$49)=MONTH(I324))*$C$35:$C$49)),"")</f>
        <v/>
      </c>
      <c r="L324" s="14">
        <f>IF(H324&lt;&gt;"",ROUND(L323-K324,2),"")</f>
        <v/>
      </c>
      <c r="M324" s="10">
        <f>IF(H324&lt;&gt;"",MIN(MonthlyPmt,L323+J324),"")</f>
        <v/>
      </c>
      <c r="N324" s="10">
        <f>IF(H324&lt;&gt;"",N323+K324,"")</f>
        <v/>
      </c>
      <c r="O324" s="10">
        <f>IF(H324&lt;&gt;"",O323+J324,"")</f>
        <v/>
      </c>
    </row>
    <row r="325">
      <c r="H325" s="7">
        <f>IF(AND(L324&gt;0.005,H324&lt;&gt;""),323,"")</f>
        <v/>
      </c>
      <c r="I325" s="8">
        <f>IF(H325&lt;&gt;"",EDATE(StartDate,322),"")</f>
        <v/>
      </c>
      <c r="J325" s="9">
        <f>IF(H325&lt;&gt;"",ROUND(L324*AnnualRate/12,2),"")</f>
        <v/>
      </c>
      <c r="K325" s="9">
        <f>IF(H325&lt;&gt;"",MIN(L324,(M325-J325)+SUMPRODUCT(($B$22:$B$31&lt;&gt;"")*($B$22:$B$31&lt;=I325)*(($C$22:$C$31="")+($C$22:$C$31&lt;&gt;"")*($C$22:$C$31&gt;=I325))*($E$22:$E$31="Monthly")*$D$22:$D$31)+SUMPRODUCT(($B$22:$B$31&lt;&gt;"")*($B$22:$B$31&lt;=I325)*(($C$22:$C$31="")+($C$22:$C$31&lt;&gt;"")*($C$22:$C$31&gt;=I325))*($E$22:$E$31="Annual")*(MONTH($B$22:$B$31)=MONTH(I325))*$D$22:$D$31)+SUMPRODUCT(($B$35:$B$49&lt;&gt;"")*(YEAR($B$35:$B$49)=YEAR(I325))*(MONTH($B$35:$B$49)=MONTH(I325))*$C$35:$C$49)),"")</f>
        <v/>
      </c>
      <c r="L325" s="9">
        <f>IF(H325&lt;&gt;"",ROUND(L324-K325,2),"")</f>
        <v/>
      </c>
      <c r="M325" s="10">
        <f>IF(H325&lt;&gt;"",MIN(MonthlyPmt,L324+J325),"")</f>
        <v/>
      </c>
      <c r="N325" s="10">
        <f>IF(H325&lt;&gt;"",N324+K325,"")</f>
        <v/>
      </c>
      <c r="O325" s="10">
        <f>IF(H325&lt;&gt;"",O324+J325,"")</f>
        <v/>
      </c>
    </row>
    <row r="326">
      <c r="H326" s="12">
        <f>IF(AND(L325&gt;0.005,H325&lt;&gt;""),324,"")</f>
        <v/>
      </c>
      <c r="I326" s="13">
        <f>IF(H326&lt;&gt;"",EDATE(StartDate,323),"")</f>
        <v/>
      </c>
      <c r="J326" s="14">
        <f>IF(H326&lt;&gt;"",ROUND(L325*AnnualRate/12,2),"")</f>
        <v/>
      </c>
      <c r="K326" s="14">
        <f>IF(H326&lt;&gt;"",MIN(L325,(M326-J326)+SUMPRODUCT(($B$22:$B$31&lt;&gt;"")*($B$22:$B$31&lt;=I326)*(($C$22:$C$31="")+($C$22:$C$31&lt;&gt;"")*($C$22:$C$31&gt;=I326))*($E$22:$E$31="Monthly")*$D$22:$D$31)+SUMPRODUCT(($B$22:$B$31&lt;&gt;"")*($B$22:$B$31&lt;=I326)*(($C$22:$C$31="")+($C$22:$C$31&lt;&gt;"")*($C$22:$C$31&gt;=I326))*($E$22:$E$31="Annual")*(MONTH($B$22:$B$31)=MONTH(I326))*$D$22:$D$31)+SUMPRODUCT(($B$35:$B$49&lt;&gt;"")*(YEAR($B$35:$B$49)=YEAR(I326))*(MONTH($B$35:$B$49)=MONTH(I326))*$C$35:$C$49)),"")</f>
        <v/>
      </c>
      <c r="L326" s="14">
        <f>IF(H326&lt;&gt;"",ROUND(L325-K326,2),"")</f>
        <v/>
      </c>
      <c r="M326" s="10">
        <f>IF(H326&lt;&gt;"",MIN(MonthlyPmt,L325+J326),"")</f>
        <v/>
      </c>
      <c r="N326" s="10">
        <f>IF(H326&lt;&gt;"",N325+K326,"")</f>
        <v/>
      </c>
      <c r="O326" s="10">
        <f>IF(H326&lt;&gt;"",O325+J326,"")</f>
        <v/>
      </c>
    </row>
    <row r="327">
      <c r="H327" s="7">
        <f>IF(AND(L326&gt;0.005,H326&lt;&gt;""),325,"")</f>
        <v/>
      </c>
      <c r="I327" s="8">
        <f>IF(H327&lt;&gt;"",EDATE(StartDate,324),"")</f>
        <v/>
      </c>
      <c r="J327" s="9">
        <f>IF(H327&lt;&gt;"",ROUND(L326*AnnualRate/12,2),"")</f>
        <v/>
      </c>
      <c r="K327" s="9">
        <f>IF(H327&lt;&gt;"",MIN(L326,(M327-J327)+SUMPRODUCT(($B$22:$B$31&lt;&gt;"")*($B$22:$B$31&lt;=I327)*(($C$22:$C$31="")+($C$22:$C$31&lt;&gt;"")*($C$22:$C$31&gt;=I327))*($E$22:$E$31="Monthly")*$D$22:$D$31)+SUMPRODUCT(($B$22:$B$31&lt;&gt;"")*($B$22:$B$31&lt;=I327)*(($C$22:$C$31="")+($C$22:$C$31&lt;&gt;"")*($C$22:$C$31&gt;=I327))*($E$22:$E$31="Annual")*(MONTH($B$22:$B$31)=MONTH(I327))*$D$22:$D$31)+SUMPRODUCT(($B$35:$B$49&lt;&gt;"")*(YEAR($B$35:$B$49)=YEAR(I327))*(MONTH($B$35:$B$49)=MONTH(I327))*$C$35:$C$49)),"")</f>
        <v/>
      </c>
      <c r="L327" s="9">
        <f>IF(H327&lt;&gt;"",ROUND(L326-K327,2),"")</f>
        <v/>
      </c>
      <c r="M327" s="10">
        <f>IF(H327&lt;&gt;"",MIN(MonthlyPmt,L326+J327),"")</f>
        <v/>
      </c>
      <c r="N327" s="10">
        <f>IF(H327&lt;&gt;"",N326+K327,"")</f>
        <v/>
      </c>
      <c r="O327" s="10">
        <f>IF(H327&lt;&gt;"",O326+J327,"")</f>
        <v/>
      </c>
    </row>
    <row r="328">
      <c r="H328" s="12">
        <f>IF(AND(L327&gt;0.005,H327&lt;&gt;""),326,"")</f>
        <v/>
      </c>
      <c r="I328" s="13">
        <f>IF(H328&lt;&gt;"",EDATE(StartDate,325),"")</f>
        <v/>
      </c>
      <c r="J328" s="14">
        <f>IF(H328&lt;&gt;"",ROUND(L327*AnnualRate/12,2),"")</f>
        <v/>
      </c>
      <c r="K328" s="14">
        <f>IF(H328&lt;&gt;"",MIN(L327,(M328-J328)+SUMPRODUCT(($B$22:$B$31&lt;&gt;"")*($B$22:$B$31&lt;=I328)*(($C$22:$C$31="")+($C$22:$C$31&lt;&gt;"")*($C$22:$C$31&gt;=I328))*($E$22:$E$31="Monthly")*$D$22:$D$31)+SUMPRODUCT(($B$22:$B$31&lt;&gt;"")*($B$22:$B$31&lt;=I328)*(($C$22:$C$31="")+($C$22:$C$31&lt;&gt;"")*($C$22:$C$31&gt;=I328))*($E$22:$E$31="Annual")*(MONTH($B$22:$B$31)=MONTH(I328))*$D$22:$D$31)+SUMPRODUCT(($B$35:$B$49&lt;&gt;"")*(YEAR($B$35:$B$49)=YEAR(I328))*(MONTH($B$35:$B$49)=MONTH(I328))*$C$35:$C$49)),"")</f>
        <v/>
      </c>
      <c r="L328" s="14">
        <f>IF(H328&lt;&gt;"",ROUND(L327-K328,2),"")</f>
        <v/>
      </c>
      <c r="M328" s="10">
        <f>IF(H328&lt;&gt;"",MIN(MonthlyPmt,L327+J328),"")</f>
        <v/>
      </c>
      <c r="N328" s="10">
        <f>IF(H328&lt;&gt;"",N327+K328,"")</f>
        <v/>
      </c>
      <c r="O328" s="10">
        <f>IF(H328&lt;&gt;"",O327+J328,"")</f>
        <v/>
      </c>
    </row>
    <row r="329">
      <c r="H329" s="7">
        <f>IF(AND(L328&gt;0.005,H328&lt;&gt;""),327,"")</f>
        <v/>
      </c>
      <c r="I329" s="8">
        <f>IF(H329&lt;&gt;"",EDATE(StartDate,326),"")</f>
        <v/>
      </c>
      <c r="J329" s="9">
        <f>IF(H329&lt;&gt;"",ROUND(L328*AnnualRate/12,2),"")</f>
        <v/>
      </c>
      <c r="K329" s="9">
        <f>IF(H329&lt;&gt;"",MIN(L328,(M329-J329)+SUMPRODUCT(($B$22:$B$31&lt;&gt;"")*($B$22:$B$31&lt;=I329)*(($C$22:$C$31="")+($C$22:$C$31&lt;&gt;"")*($C$22:$C$31&gt;=I329))*($E$22:$E$31="Monthly")*$D$22:$D$31)+SUMPRODUCT(($B$22:$B$31&lt;&gt;"")*($B$22:$B$31&lt;=I329)*(($C$22:$C$31="")+($C$22:$C$31&lt;&gt;"")*($C$22:$C$31&gt;=I329))*($E$22:$E$31="Annual")*(MONTH($B$22:$B$31)=MONTH(I329))*$D$22:$D$31)+SUMPRODUCT(($B$35:$B$49&lt;&gt;"")*(YEAR($B$35:$B$49)=YEAR(I329))*(MONTH($B$35:$B$49)=MONTH(I329))*$C$35:$C$49)),"")</f>
        <v/>
      </c>
      <c r="L329" s="9">
        <f>IF(H329&lt;&gt;"",ROUND(L328-K329,2),"")</f>
        <v/>
      </c>
      <c r="M329" s="10">
        <f>IF(H329&lt;&gt;"",MIN(MonthlyPmt,L328+J329),"")</f>
        <v/>
      </c>
      <c r="N329" s="10">
        <f>IF(H329&lt;&gt;"",N328+K329,"")</f>
        <v/>
      </c>
      <c r="O329" s="10">
        <f>IF(H329&lt;&gt;"",O328+J329,"")</f>
        <v/>
      </c>
    </row>
    <row r="330">
      <c r="H330" s="12">
        <f>IF(AND(L329&gt;0.005,H329&lt;&gt;""),328,"")</f>
        <v/>
      </c>
      <c r="I330" s="13">
        <f>IF(H330&lt;&gt;"",EDATE(StartDate,327),"")</f>
        <v/>
      </c>
      <c r="J330" s="14">
        <f>IF(H330&lt;&gt;"",ROUND(L329*AnnualRate/12,2),"")</f>
        <v/>
      </c>
      <c r="K330" s="14">
        <f>IF(H330&lt;&gt;"",MIN(L329,(M330-J330)+SUMPRODUCT(($B$22:$B$31&lt;&gt;"")*($B$22:$B$31&lt;=I330)*(($C$22:$C$31="")+($C$22:$C$31&lt;&gt;"")*($C$22:$C$31&gt;=I330))*($E$22:$E$31="Monthly")*$D$22:$D$31)+SUMPRODUCT(($B$22:$B$31&lt;&gt;"")*($B$22:$B$31&lt;=I330)*(($C$22:$C$31="")+($C$22:$C$31&lt;&gt;"")*($C$22:$C$31&gt;=I330))*($E$22:$E$31="Annual")*(MONTH($B$22:$B$31)=MONTH(I330))*$D$22:$D$31)+SUMPRODUCT(($B$35:$B$49&lt;&gt;"")*(YEAR($B$35:$B$49)=YEAR(I330))*(MONTH($B$35:$B$49)=MONTH(I330))*$C$35:$C$49)),"")</f>
        <v/>
      </c>
      <c r="L330" s="14">
        <f>IF(H330&lt;&gt;"",ROUND(L329-K330,2),"")</f>
        <v/>
      </c>
      <c r="M330" s="10">
        <f>IF(H330&lt;&gt;"",MIN(MonthlyPmt,L329+J330),"")</f>
        <v/>
      </c>
      <c r="N330" s="10">
        <f>IF(H330&lt;&gt;"",N329+K330,"")</f>
        <v/>
      </c>
      <c r="O330" s="10">
        <f>IF(H330&lt;&gt;"",O329+J330,"")</f>
        <v/>
      </c>
    </row>
    <row r="331">
      <c r="H331" s="7">
        <f>IF(AND(L330&gt;0.005,H330&lt;&gt;""),329,"")</f>
        <v/>
      </c>
      <c r="I331" s="8">
        <f>IF(H331&lt;&gt;"",EDATE(StartDate,328),"")</f>
        <v/>
      </c>
      <c r="J331" s="9">
        <f>IF(H331&lt;&gt;"",ROUND(L330*AnnualRate/12,2),"")</f>
        <v/>
      </c>
      <c r="K331" s="9">
        <f>IF(H331&lt;&gt;"",MIN(L330,(M331-J331)+SUMPRODUCT(($B$22:$B$31&lt;&gt;"")*($B$22:$B$31&lt;=I331)*(($C$22:$C$31="")+($C$22:$C$31&lt;&gt;"")*($C$22:$C$31&gt;=I331))*($E$22:$E$31="Monthly")*$D$22:$D$31)+SUMPRODUCT(($B$22:$B$31&lt;&gt;"")*($B$22:$B$31&lt;=I331)*(($C$22:$C$31="")+($C$22:$C$31&lt;&gt;"")*($C$22:$C$31&gt;=I331))*($E$22:$E$31="Annual")*(MONTH($B$22:$B$31)=MONTH(I331))*$D$22:$D$31)+SUMPRODUCT(($B$35:$B$49&lt;&gt;"")*(YEAR($B$35:$B$49)=YEAR(I331))*(MONTH($B$35:$B$49)=MONTH(I331))*$C$35:$C$49)),"")</f>
        <v/>
      </c>
      <c r="L331" s="9">
        <f>IF(H331&lt;&gt;"",ROUND(L330-K331,2),"")</f>
        <v/>
      </c>
      <c r="M331" s="10">
        <f>IF(H331&lt;&gt;"",MIN(MonthlyPmt,L330+J331),"")</f>
        <v/>
      </c>
      <c r="N331" s="10">
        <f>IF(H331&lt;&gt;"",N330+K331,"")</f>
        <v/>
      </c>
      <c r="O331" s="10">
        <f>IF(H331&lt;&gt;"",O330+J331,"")</f>
        <v/>
      </c>
    </row>
    <row r="332">
      <c r="H332" s="12">
        <f>IF(AND(L331&gt;0.005,H331&lt;&gt;""),330,"")</f>
        <v/>
      </c>
      <c r="I332" s="13">
        <f>IF(H332&lt;&gt;"",EDATE(StartDate,329),"")</f>
        <v/>
      </c>
      <c r="J332" s="14">
        <f>IF(H332&lt;&gt;"",ROUND(L331*AnnualRate/12,2),"")</f>
        <v/>
      </c>
      <c r="K332" s="14">
        <f>IF(H332&lt;&gt;"",MIN(L331,(M332-J332)+SUMPRODUCT(($B$22:$B$31&lt;&gt;"")*($B$22:$B$31&lt;=I332)*(($C$22:$C$31="")+($C$22:$C$31&lt;&gt;"")*($C$22:$C$31&gt;=I332))*($E$22:$E$31="Monthly")*$D$22:$D$31)+SUMPRODUCT(($B$22:$B$31&lt;&gt;"")*($B$22:$B$31&lt;=I332)*(($C$22:$C$31="")+($C$22:$C$31&lt;&gt;"")*($C$22:$C$31&gt;=I332))*($E$22:$E$31="Annual")*(MONTH($B$22:$B$31)=MONTH(I332))*$D$22:$D$31)+SUMPRODUCT(($B$35:$B$49&lt;&gt;"")*(YEAR($B$35:$B$49)=YEAR(I332))*(MONTH($B$35:$B$49)=MONTH(I332))*$C$35:$C$49)),"")</f>
        <v/>
      </c>
      <c r="L332" s="14">
        <f>IF(H332&lt;&gt;"",ROUND(L331-K332,2),"")</f>
        <v/>
      </c>
      <c r="M332" s="10">
        <f>IF(H332&lt;&gt;"",MIN(MonthlyPmt,L331+J332),"")</f>
        <v/>
      </c>
      <c r="N332" s="10">
        <f>IF(H332&lt;&gt;"",N331+K332,"")</f>
        <v/>
      </c>
      <c r="O332" s="10">
        <f>IF(H332&lt;&gt;"",O331+J332,"")</f>
        <v/>
      </c>
    </row>
    <row r="333">
      <c r="H333" s="7">
        <f>IF(AND(L332&gt;0.005,H332&lt;&gt;""),331,"")</f>
        <v/>
      </c>
      <c r="I333" s="8">
        <f>IF(H333&lt;&gt;"",EDATE(StartDate,330),"")</f>
        <v/>
      </c>
      <c r="J333" s="9">
        <f>IF(H333&lt;&gt;"",ROUND(L332*AnnualRate/12,2),"")</f>
        <v/>
      </c>
      <c r="K333" s="9">
        <f>IF(H333&lt;&gt;"",MIN(L332,(M333-J333)+SUMPRODUCT(($B$22:$B$31&lt;&gt;"")*($B$22:$B$31&lt;=I333)*(($C$22:$C$31="")+($C$22:$C$31&lt;&gt;"")*($C$22:$C$31&gt;=I333))*($E$22:$E$31="Monthly")*$D$22:$D$31)+SUMPRODUCT(($B$22:$B$31&lt;&gt;"")*($B$22:$B$31&lt;=I333)*(($C$22:$C$31="")+($C$22:$C$31&lt;&gt;"")*($C$22:$C$31&gt;=I333))*($E$22:$E$31="Annual")*(MONTH($B$22:$B$31)=MONTH(I333))*$D$22:$D$31)+SUMPRODUCT(($B$35:$B$49&lt;&gt;"")*(YEAR($B$35:$B$49)=YEAR(I333))*(MONTH($B$35:$B$49)=MONTH(I333))*$C$35:$C$49)),"")</f>
        <v/>
      </c>
      <c r="L333" s="9">
        <f>IF(H333&lt;&gt;"",ROUND(L332-K333,2),"")</f>
        <v/>
      </c>
      <c r="M333" s="10">
        <f>IF(H333&lt;&gt;"",MIN(MonthlyPmt,L332+J333),"")</f>
        <v/>
      </c>
      <c r="N333" s="10">
        <f>IF(H333&lt;&gt;"",N332+K333,"")</f>
        <v/>
      </c>
      <c r="O333" s="10">
        <f>IF(H333&lt;&gt;"",O332+J333,"")</f>
        <v/>
      </c>
    </row>
    <row r="334">
      <c r="H334" s="12">
        <f>IF(AND(L333&gt;0.005,H333&lt;&gt;""),332,"")</f>
        <v/>
      </c>
      <c r="I334" s="13">
        <f>IF(H334&lt;&gt;"",EDATE(StartDate,331),"")</f>
        <v/>
      </c>
      <c r="J334" s="14">
        <f>IF(H334&lt;&gt;"",ROUND(L333*AnnualRate/12,2),"")</f>
        <v/>
      </c>
      <c r="K334" s="14">
        <f>IF(H334&lt;&gt;"",MIN(L333,(M334-J334)+SUMPRODUCT(($B$22:$B$31&lt;&gt;"")*($B$22:$B$31&lt;=I334)*(($C$22:$C$31="")+($C$22:$C$31&lt;&gt;"")*($C$22:$C$31&gt;=I334))*($E$22:$E$31="Monthly")*$D$22:$D$31)+SUMPRODUCT(($B$22:$B$31&lt;&gt;"")*($B$22:$B$31&lt;=I334)*(($C$22:$C$31="")+($C$22:$C$31&lt;&gt;"")*($C$22:$C$31&gt;=I334))*($E$22:$E$31="Annual")*(MONTH($B$22:$B$31)=MONTH(I334))*$D$22:$D$31)+SUMPRODUCT(($B$35:$B$49&lt;&gt;"")*(YEAR($B$35:$B$49)=YEAR(I334))*(MONTH($B$35:$B$49)=MONTH(I334))*$C$35:$C$49)),"")</f>
        <v/>
      </c>
      <c r="L334" s="14">
        <f>IF(H334&lt;&gt;"",ROUND(L333-K334,2),"")</f>
        <v/>
      </c>
      <c r="M334" s="10">
        <f>IF(H334&lt;&gt;"",MIN(MonthlyPmt,L333+J334),"")</f>
        <v/>
      </c>
      <c r="N334" s="10">
        <f>IF(H334&lt;&gt;"",N333+K334,"")</f>
        <v/>
      </c>
      <c r="O334" s="10">
        <f>IF(H334&lt;&gt;"",O333+J334,"")</f>
        <v/>
      </c>
    </row>
    <row r="335">
      <c r="H335" s="7">
        <f>IF(AND(L334&gt;0.005,H334&lt;&gt;""),333,"")</f>
        <v/>
      </c>
      <c r="I335" s="8">
        <f>IF(H335&lt;&gt;"",EDATE(StartDate,332),"")</f>
        <v/>
      </c>
      <c r="J335" s="9">
        <f>IF(H335&lt;&gt;"",ROUND(L334*AnnualRate/12,2),"")</f>
        <v/>
      </c>
      <c r="K335" s="9">
        <f>IF(H335&lt;&gt;"",MIN(L334,(M335-J335)+SUMPRODUCT(($B$22:$B$31&lt;&gt;"")*($B$22:$B$31&lt;=I335)*(($C$22:$C$31="")+($C$22:$C$31&lt;&gt;"")*($C$22:$C$31&gt;=I335))*($E$22:$E$31="Monthly")*$D$22:$D$31)+SUMPRODUCT(($B$22:$B$31&lt;&gt;"")*($B$22:$B$31&lt;=I335)*(($C$22:$C$31="")+($C$22:$C$31&lt;&gt;"")*($C$22:$C$31&gt;=I335))*($E$22:$E$31="Annual")*(MONTH($B$22:$B$31)=MONTH(I335))*$D$22:$D$31)+SUMPRODUCT(($B$35:$B$49&lt;&gt;"")*(YEAR($B$35:$B$49)=YEAR(I335))*(MONTH($B$35:$B$49)=MONTH(I335))*$C$35:$C$49)),"")</f>
        <v/>
      </c>
      <c r="L335" s="9">
        <f>IF(H335&lt;&gt;"",ROUND(L334-K335,2),"")</f>
        <v/>
      </c>
      <c r="M335" s="10">
        <f>IF(H335&lt;&gt;"",MIN(MonthlyPmt,L334+J335),"")</f>
        <v/>
      </c>
      <c r="N335" s="10">
        <f>IF(H335&lt;&gt;"",N334+K335,"")</f>
        <v/>
      </c>
      <c r="O335" s="10">
        <f>IF(H335&lt;&gt;"",O334+J335,"")</f>
        <v/>
      </c>
    </row>
    <row r="336">
      <c r="H336" s="12">
        <f>IF(AND(L335&gt;0.005,H335&lt;&gt;""),334,"")</f>
        <v/>
      </c>
      <c r="I336" s="13">
        <f>IF(H336&lt;&gt;"",EDATE(StartDate,333),"")</f>
        <v/>
      </c>
      <c r="J336" s="14">
        <f>IF(H336&lt;&gt;"",ROUND(L335*AnnualRate/12,2),"")</f>
        <v/>
      </c>
      <c r="K336" s="14">
        <f>IF(H336&lt;&gt;"",MIN(L335,(M336-J336)+SUMPRODUCT(($B$22:$B$31&lt;&gt;"")*($B$22:$B$31&lt;=I336)*(($C$22:$C$31="")+($C$22:$C$31&lt;&gt;"")*($C$22:$C$31&gt;=I336))*($E$22:$E$31="Monthly")*$D$22:$D$31)+SUMPRODUCT(($B$22:$B$31&lt;&gt;"")*($B$22:$B$31&lt;=I336)*(($C$22:$C$31="")+($C$22:$C$31&lt;&gt;"")*($C$22:$C$31&gt;=I336))*($E$22:$E$31="Annual")*(MONTH($B$22:$B$31)=MONTH(I336))*$D$22:$D$31)+SUMPRODUCT(($B$35:$B$49&lt;&gt;"")*(YEAR($B$35:$B$49)=YEAR(I336))*(MONTH($B$35:$B$49)=MONTH(I336))*$C$35:$C$49)),"")</f>
        <v/>
      </c>
      <c r="L336" s="14">
        <f>IF(H336&lt;&gt;"",ROUND(L335-K336,2),"")</f>
        <v/>
      </c>
      <c r="M336" s="10">
        <f>IF(H336&lt;&gt;"",MIN(MonthlyPmt,L335+J336),"")</f>
        <v/>
      </c>
      <c r="N336" s="10">
        <f>IF(H336&lt;&gt;"",N335+K336,"")</f>
        <v/>
      </c>
      <c r="O336" s="10">
        <f>IF(H336&lt;&gt;"",O335+J336,"")</f>
        <v/>
      </c>
    </row>
    <row r="337">
      <c r="H337" s="7">
        <f>IF(AND(L336&gt;0.005,H336&lt;&gt;""),335,"")</f>
        <v/>
      </c>
      <c r="I337" s="8">
        <f>IF(H337&lt;&gt;"",EDATE(StartDate,334),"")</f>
        <v/>
      </c>
      <c r="J337" s="9">
        <f>IF(H337&lt;&gt;"",ROUND(L336*AnnualRate/12,2),"")</f>
        <v/>
      </c>
      <c r="K337" s="9">
        <f>IF(H337&lt;&gt;"",MIN(L336,(M337-J337)+SUMPRODUCT(($B$22:$B$31&lt;&gt;"")*($B$22:$B$31&lt;=I337)*(($C$22:$C$31="")+($C$22:$C$31&lt;&gt;"")*($C$22:$C$31&gt;=I337))*($E$22:$E$31="Monthly")*$D$22:$D$31)+SUMPRODUCT(($B$22:$B$31&lt;&gt;"")*($B$22:$B$31&lt;=I337)*(($C$22:$C$31="")+($C$22:$C$31&lt;&gt;"")*($C$22:$C$31&gt;=I337))*($E$22:$E$31="Annual")*(MONTH($B$22:$B$31)=MONTH(I337))*$D$22:$D$31)+SUMPRODUCT(($B$35:$B$49&lt;&gt;"")*(YEAR($B$35:$B$49)=YEAR(I337))*(MONTH($B$35:$B$49)=MONTH(I337))*$C$35:$C$49)),"")</f>
        <v/>
      </c>
      <c r="L337" s="9">
        <f>IF(H337&lt;&gt;"",ROUND(L336-K337,2),"")</f>
        <v/>
      </c>
      <c r="M337" s="10">
        <f>IF(H337&lt;&gt;"",MIN(MonthlyPmt,L336+J337),"")</f>
        <v/>
      </c>
      <c r="N337" s="10">
        <f>IF(H337&lt;&gt;"",N336+K337,"")</f>
        <v/>
      </c>
      <c r="O337" s="10">
        <f>IF(H337&lt;&gt;"",O336+J337,"")</f>
        <v/>
      </c>
    </row>
    <row r="338">
      <c r="H338" s="12">
        <f>IF(AND(L337&gt;0.005,H337&lt;&gt;""),336,"")</f>
        <v/>
      </c>
      <c r="I338" s="13">
        <f>IF(H338&lt;&gt;"",EDATE(StartDate,335),"")</f>
        <v/>
      </c>
      <c r="J338" s="14">
        <f>IF(H338&lt;&gt;"",ROUND(L337*AnnualRate/12,2),"")</f>
        <v/>
      </c>
      <c r="K338" s="14">
        <f>IF(H338&lt;&gt;"",MIN(L337,(M338-J338)+SUMPRODUCT(($B$22:$B$31&lt;&gt;"")*($B$22:$B$31&lt;=I338)*(($C$22:$C$31="")+($C$22:$C$31&lt;&gt;"")*($C$22:$C$31&gt;=I338))*($E$22:$E$31="Monthly")*$D$22:$D$31)+SUMPRODUCT(($B$22:$B$31&lt;&gt;"")*($B$22:$B$31&lt;=I338)*(($C$22:$C$31="")+($C$22:$C$31&lt;&gt;"")*($C$22:$C$31&gt;=I338))*($E$22:$E$31="Annual")*(MONTH($B$22:$B$31)=MONTH(I338))*$D$22:$D$31)+SUMPRODUCT(($B$35:$B$49&lt;&gt;"")*(YEAR($B$35:$B$49)=YEAR(I338))*(MONTH($B$35:$B$49)=MONTH(I338))*$C$35:$C$49)),"")</f>
        <v/>
      </c>
      <c r="L338" s="14">
        <f>IF(H338&lt;&gt;"",ROUND(L337-K338,2),"")</f>
        <v/>
      </c>
      <c r="M338" s="10">
        <f>IF(H338&lt;&gt;"",MIN(MonthlyPmt,L337+J338),"")</f>
        <v/>
      </c>
      <c r="N338" s="10">
        <f>IF(H338&lt;&gt;"",N337+K338,"")</f>
        <v/>
      </c>
      <c r="O338" s="10">
        <f>IF(H338&lt;&gt;"",O337+J338,"")</f>
        <v/>
      </c>
    </row>
    <row r="339">
      <c r="H339" s="7">
        <f>IF(AND(L338&gt;0.005,H338&lt;&gt;""),337,"")</f>
        <v/>
      </c>
      <c r="I339" s="8">
        <f>IF(H339&lt;&gt;"",EDATE(StartDate,336),"")</f>
        <v/>
      </c>
      <c r="J339" s="9">
        <f>IF(H339&lt;&gt;"",ROUND(L338*AnnualRate/12,2),"")</f>
        <v/>
      </c>
      <c r="K339" s="9">
        <f>IF(H339&lt;&gt;"",MIN(L338,(M339-J339)+SUMPRODUCT(($B$22:$B$31&lt;&gt;"")*($B$22:$B$31&lt;=I339)*(($C$22:$C$31="")+($C$22:$C$31&lt;&gt;"")*($C$22:$C$31&gt;=I339))*($E$22:$E$31="Monthly")*$D$22:$D$31)+SUMPRODUCT(($B$22:$B$31&lt;&gt;"")*($B$22:$B$31&lt;=I339)*(($C$22:$C$31="")+($C$22:$C$31&lt;&gt;"")*($C$22:$C$31&gt;=I339))*($E$22:$E$31="Annual")*(MONTH($B$22:$B$31)=MONTH(I339))*$D$22:$D$31)+SUMPRODUCT(($B$35:$B$49&lt;&gt;"")*(YEAR($B$35:$B$49)=YEAR(I339))*(MONTH($B$35:$B$49)=MONTH(I339))*$C$35:$C$49)),"")</f>
        <v/>
      </c>
      <c r="L339" s="9">
        <f>IF(H339&lt;&gt;"",ROUND(L338-K339,2),"")</f>
        <v/>
      </c>
      <c r="M339" s="10">
        <f>IF(H339&lt;&gt;"",MIN(MonthlyPmt,L338+J339),"")</f>
        <v/>
      </c>
      <c r="N339" s="10">
        <f>IF(H339&lt;&gt;"",N338+K339,"")</f>
        <v/>
      </c>
      <c r="O339" s="10">
        <f>IF(H339&lt;&gt;"",O338+J339,"")</f>
        <v/>
      </c>
    </row>
    <row r="340">
      <c r="H340" s="12">
        <f>IF(AND(L339&gt;0.005,H339&lt;&gt;""),338,"")</f>
        <v/>
      </c>
      <c r="I340" s="13">
        <f>IF(H340&lt;&gt;"",EDATE(StartDate,337),"")</f>
        <v/>
      </c>
      <c r="J340" s="14">
        <f>IF(H340&lt;&gt;"",ROUND(L339*AnnualRate/12,2),"")</f>
        <v/>
      </c>
      <c r="K340" s="14">
        <f>IF(H340&lt;&gt;"",MIN(L339,(M340-J340)+SUMPRODUCT(($B$22:$B$31&lt;&gt;"")*($B$22:$B$31&lt;=I340)*(($C$22:$C$31="")+($C$22:$C$31&lt;&gt;"")*($C$22:$C$31&gt;=I340))*($E$22:$E$31="Monthly")*$D$22:$D$31)+SUMPRODUCT(($B$22:$B$31&lt;&gt;"")*($B$22:$B$31&lt;=I340)*(($C$22:$C$31="")+($C$22:$C$31&lt;&gt;"")*($C$22:$C$31&gt;=I340))*($E$22:$E$31="Annual")*(MONTH($B$22:$B$31)=MONTH(I340))*$D$22:$D$31)+SUMPRODUCT(($B$35:$B$49&lt;&gt;"")*(YEAR($B$35:$B$49)=YEAR(I340))*(MONTH($B$35:$B$49)=MONTH(I340))*$C$35:$C$49)),"")</f>
        <v/>
      </c>
      <c r="L340" s="14">
        <f>IF(H340&lt;&gt;"",ROUND(L339-K340,2),"")</f>
        <v/>
      </c>
      <c r="M340" s="10">
        <f>IF(H340&lt;&gt;"",MIN(MonthlyPmt,L339+J340),"")</f>
        <v/>
      </c>
      <c r="N340" s="10">
        <f>IF(H340&lt;&gt;"",N339+K340,"")</f>
        <v/>
      </c>
      <c r="O340" s="10">
        <f>IF(H340&lt;&gt;"",O339+J340,"")</f>
        <v/>
      </c>
    </row>
    <row r="341">
      <c r="H341" s="7">
        <f>IF(AND(L340&gt;0.005,H340&lt;&gt;""),339,"")</f>
        <v/>
      </c>
      <c r="I341" s="8">
        <f>IF(H341&lt;&gt;"",EDATE(StartDate,338),"")</f>
        <v/>
      </c>
      <c r="J341" s="9">
        <f>IF(H341&lt;&gt;"",ROUND(L340*AnnualRate/12,2),"")</f>
        <v/>
      </c>
      <c r="K341" s="9">
        <f>IF(H341&lt;&gt;"",MIN(L340,(M341-J341)+SUMPRODUCT(($B$22:$B$31&lt;&gt;"")*($B$22:$B$31&lt;=I341)*(($C$22:$C$31="")+($C$22:$C$31&lt;&gt;"")*($C$22:$C$31&gt;=I341))*($E$22:$E$31="Monthly")*$D$22:$D$31)+SUMPRODUCT(($B$22:$B$31&lt;&gt;"")*($B$22:$B$31&lt;=I341)*(($C$22:$C$31="")+($C$22:$C$31&lt;&gt;"")*($C$22:$C$31&gt;=I341))*($E$22:$E$31="Annual")*(MONTH($B$22:$B$31)=MONTH(I341))*$D$22:$D$31)+SUMPRODUCT(($B$35:$B$49&lt;&gt;"")*(YEAR($B$35:$B$49)=YEAR(I341))*(MONTH($B$35:$B$49)=MONTH(I341))*$C$35:$C$49)),"")</f>
        <v/>
      </c>
      <c r="L341" s="9">
        <f>IF(H341&lt;&gt;"",ROUND(L340-K341,2),"")</f>
        <v/>
      </c>
      <c r="M341" s="10">
        <f>IF(H341&lt;&gt;"",MIN(MonthlyPmt,L340+J341),"")</f>
        <v/>
      </c>
      <c r="N341" s="10">
        <f>IF(H341&lt;&gt;"",N340+K341,"")</f>
        <v/>
      </c>
      <c r="O341" s="10">
        <f>IF(H341&lt;&gt;"",O340+J341,"")</f>
        <v/>
      </c>
    </row>
    <row r="342">
      <c r="H342" s="12">
        <f>IF(AND(L341&gt;0.005,H341&lt;&gt;""),340,"")</f>
        <v/>
      </c>
      <c r="I342" s="13">
        <f>IF(H342&lt;&gt;"",EDATE(StartDate,339),"")</f>
        <v/>
      </c>
      <c r="J342" s="14">
        <f>IF(H342&lt;&gt;"",ROUND(L341*AnnualRate/12,2),"")</f>
        <v/>
      </c>
      <c r="K342" s="14">
        <f>IF(H342&lt;&gt;"",MIN(L341,(M342-J342)+SUMPRODUCT(($B$22:$B$31&lt;&gt;"")*($B$22:$B$31&lt;=I342)*(($C$22:$C$31="")+($C$22:$C$31&lt;&gt;"")*($C$22:$C$31&gt;=I342))*($E$22:$E$31="Monthly")*$D$22:$D$31)+SUMPRODUCT(($B$22:$B$31&lt;&gt;"")*($B$22:$B$31&lt;=I342)*(($C$22:$C$31="")+($C$22:$C$31&lt;&gt;"")*($C$22:$C$31&gt;=I342))*($E$22:$E$31="Annual")*(MONTH($B$22:$B$31)=MONTH(I342))*$D$22:$D$31)+SUMPRODUCT(($B$35:$B$49&lt;&gt;"")*(YEAR($B$35:$B$49)=YEAR(I342))*(MONTH($B$35:$B$49)=MONTH(I342))*$C$35:$C$49)),"")</f>
        <v/>
      </c>
      <c r="L342" s="14">
        <f>IF(H342&lt;&gt;"",ROUND(L341-K342,2),"")</f>
        <v/>
      </c>
      <c r="M342" s="10">
        <f>IF(H342&lt;&gt;"",MIN(MonthlyPmt,L341+J342),"")</f>
        <v/>
      </c>
      <c r="N342" s="10">
        <f>IF(H342&lt;&gt;"",N341+K342,"")</f>
        <v/>
      </c>
      <c r="O342" s="10">
        <f>IF(H342&lt;&gt;"",O341+J342,"")</f>
        <v/>
      </c>
    </row>
    <row r="343">
      <c r="H343" s="7">
        <f>IF(AND(L342&gt;0.005,H342&lt;&gt;""),341,"")</f>
        <v/>
      </c>
      <c r="I343" s="8">
        <f>IF(H343&lt;&gt;"",EDATE(StartDate,340),"")</f>
        <v/>
      </c>
      <c r="J343" s="9">
        <f>IF(H343&lt;&gt;"",ROUND(L342*AnnualRate/12,2),"")</f>
        <v/>
      </c>
      <c r="K343" s="9">
        <f>IF(H343&lt;&gt;"",MIN(L342,(M343-J343)+SUMPRODUCT(($B$22:$B$31&lt;&gt;"")*($B$22:$B$31&lt;=I343)*(($C$22:$C$31="")+($C$22:$C$31&lt;&gt;"")*($C$22:$C$31&gt;=I343))*($E$22:$E$31="Monthly")*$D$22:$D$31)+SUMPRODUCT(($B$22:$B$31&lt;&gt;"")*($B$22:$B$31&lt;=I343)*(($C$22:$C$31="")+($C$22:$C$31&lt;&gt;"")*($C$22:$C$31&gt;=I343))*($E$22:$E$31="Annual")*(MONTH($B$22:$B$31)=MONTH(I343))*$D$22:$D$31)+SUMPRODUCT(($B$35:$B$49&lt;&gt;"")*(YEAR($B$35:$B$49)=YEAR(I343))*(MONTH($B$35:$B$49)=MONTH(I343))*$C$35:$C$49)),"")</f>
        <v/>
      </c>
      <c r="L343" s="9">
        <f>IF(H343&lt;&gt;"",ROUND(L342-K343,2),"")</f>
        <v/>
      </c>
      <c r="M343" s="10">
        <f>IF(H343&lt;&gt;"",MIN(MonthlyPmt,L342+J343),"")</f>
        <v/>
      </c>
      <c r="N343" s="10">
        <f>IF(H343&lt;&gt;"",N342+K343,"")</f>
        <v/>
      </c>
      <c r="O343" s="10">
        <f>IF(H343&lt;&gt;"",O342+J343,"")</f>
        <v/>
      </c>
    </row>
    <row r="344">
      <c r="H344" s="12">
        <f>IF(AND(L343&gt;0.005,H343&lt;&gt;""),342,"")</f>
        <v/>
      </c>
      <c r="I344" s="13">
        <f>IF(H344&lt;&gt;"",EDATE(StartDate,341),"")</f>
        <v/>
      </c>
      <c r="J344" s="14">
        <f>IF(H344&lt;&gt;"",ROUND(L343*AnnualRate/12,2),"")</f>
        <v/>
      </c>
      <c r="K344" s="14">
        <f>IF(H344&lt;&gt;"",MIN(L343,(M344-J344)+SUMPRODUCT(($B$22:$B$31&lt;&gt;"")*($B$22:$B$31&lt;=I344)*(($C$22:$C$31="")+($C$22:$C$31&lt;&gt;"")*($C$22:$C$31&gt;=I344))*($E$22:$E$31="Monthly")*$D$22:$D$31)+SUMPRODUCT(($B$22:$B$31&lt;&gt;"")*($B$22:$B$31&lt;=I344)*(($C$22:$C$31="")+($C$22:$C$31&lt;&gt;"")*($C$22:$C$31&gt;=I344))*($E$22:$E$31="Annual")*(MONTH($B$22:$B$31)=MONTH(I344))*$D$22:$D$31)+SUMPRODUCT(($B$35:$B$49&lt;&gt;"")*(YEAR($B$35:$B$49)=YEAR(I344))*(MONTH($B$35:$B$49)=MONTH(I344))*$C$35:$C$49)),"")</f>
        <v/>
      </c>
      <c r="L344" s="14">
        <f>IF(H344&lt;&gt;"",ROUND(L343-K344,2),"")</f>
        <v/>
      </c>
      <c r="M344" s="10">
        <f>IF(H344&lt;&gt;"",MIN(MonthlyPmt,L343+J344),"")</f>
        <v/>
      </c>
      <c r="N344" s="10">
        <f>IF(H344&lt;&gt;"",N343+K344,"")</f>
        <v/>
      </c>
      <c r="O344" s="10">
        <f>IF(H344&lt;&gt;"",O343+J344,"")</f>
        <v/>
      </c>
    </row>
    <row r="345">
      <c r="H345" s="7">
        <f>IF(AND(L344&gt;0.005,H344&lt;&gt;""),343,"")</f>
        <v/>
      </c>
      <c r="I345" s="8">
        <f>IF(H345&lt;&gt;"",EDATE(StartDate,342),"")</f>
        <v/>
      </c>
      <c r="J345" s="9">
        <f>IF(H345&lt;&gt;"",ROUND(L344*AnnualRate/12,2),"")</f>
        <v/>
      </c>
      <c r="K345" s="9">
        <f>IF(H345&lt;&gt;"",MIN(L344,(M345-J345)+SUMPRODUCT(($B$22:$B$31&lt;&gt;"")*($B$22:$B$31&lt;=I345)*(($C$22:$C$31="")+($C$22:$C$31&lt;&gt;"")*($C$22:$C$31&gt;=I345))*($E$22:$E$31="Monthly")*$D$22:$D$31)+SUMPRODUCT(($B$22:$B$31&lt;&gt;"")*($B$22:$B$31&lt;=I345)*(($C$22:$C$31="")+($C$22:$C$31&lt;&gt;"")*($C$22:$C$31&gt;=I345))*($E$22:$E$31="Annual")*(MONTH($B$22:$B$31)=MONTH(I345))*$D$22:$D$31)+SUMPRODUCT(($B$35:$B$49&lt;&gt;"")*(YEAR($B$35:$B$49)=YEAR(I345))*(MONTH($B$35:$B$49)=MONTH(I345))*$C$35:$C$49)),"")</f>
        <v/>
      </c>
      <c r="L345" s="9">
        <f>IF(H345&lt;&gt;"",ROUND(L344-K345,2),"")</f>
        <v/>
      </c>
      <c r="M345" s="10">
        <f>IF(H345&lt;&gt;"",MIN(MonthlyPmt,L344+J345),"")</f>
        <v/>
      </c>
      <c r="N345" s="10">
        <f>IF(H345&lt;&gt;"",N344+K345,"")</f>
        <v/>
      </c>
      <c r="O345" s="10">
        <f>IF(H345&lt;&gt;"",O344+J345,"")</f>
        <v/>
      </c>
    </row>
    <row r="346">
      <c r="H346" s="12">
        <f>IF(AND(L345&gt;0.005,H345&lt;&gt;""),344,"")</f>
        <v/>
      </c>
      <c r="I346" s="13">
        <f>IF(H346&lt;&gt;"",EDATE(StartDate,343),"")</f>
        <v/>
      </c>
      <c r="J346" s="14">
        <f>IF(H346&lt;&gt;"",ROUND(L345*AnnualRate/12,2),"")</f>
        <v/>
      </c>
      <c r="K346" s="14">
        <f>IF(H346&lt;&gt;"",MIN(L345,(M346-J346)+SUMPRODUCT(($B$22:$B$31&lt;&gt;"")*($B$22:$B$31&lt;=I346)*(($C$22:$C$31="")+($C$22:$C$31&lt;&gt;"")*($C$22:$C$31&gt;=I346))*($E$22:$E$31="Monthly")*$D$22:$D$31)+SUMPRODUCT(($B$22:$B$31&lt;&gt;"")*($B$22:$B$31&lt;=I346)*(($C$22:$C$31="")+($C$22:$C$31&lt;&gt;"")*($C$22:$C$31&gt;=I346))*($E$22:$E$31="Annual")*(MONTH($B$22:$B$31)=MONTH(I346))*$D$22:$D$31)+SUMPRODUCT(($B$35:$B$49&lt;&gt;"")*(YEAR($B$35:$B$49)=YEAR(I346))*(MONTH($B$35:$B$49)=MONTH(I346))*$C$35:$C$49)),"")</f>
        <v/>
      </c>
      <c r="L346" s="14">
        <f>IF(H346&lt;&gt;"",ROUND(L345-K346,2),"")</f>
        <v/>
      </c>
      <c r="M346" s="10">
        <f>IF(H346&lt;&gt;"",MIN(MonthlyPmt,L345+J346),"")</f>
        <v/>
      </c>
      <c r="N346" s="10">
        <f>IF(H346&lt;&gt;"",N345+K346,"")</f>
        <v/>
      </c>
      <c r="O346" s="10">
        <f>IF(H346&lt;&gt;"",O345+J346,"")</f>
        <v/>
      </c>
    </row>
    <row r="347">
      <c r="H347" s="7">
        <f>IF(AND(L346&gt;0.005,H346&lt;&gt;""),345,"")</f>
        <v/>
      </c>
      <c r="I347" s="8">
        <f>IF(H347&lt;&gt;"",EDATE(StartDate,344),"")</f>
        <v/>
      </c>
      <c r="J347" s="9">
        <f>IF(H347&lt;&gt;"",ROUND(L346*AnnualRate/12,2),"")</f>
        <v/>
      </c>
      <c r="K347" s="9">
        <f>IF(H347&lt;&gt;"",MIN(L346,(M347-J347)+SUMPRODUCT(($B$22:$B$31&lt;&gt;"")*($B$22:$B$31&lt;=I347)*(($C$22:$C$31="")+($C$22:$C$31&lt;&gt;"")*($C$22:$C$31&gt;=I347))*($E$22:$E$31="Monthly")*$D$22:$D$31)+SUMPRODUCT(($B$22:$B$31&lt;&gt;"")*($B$22:$B$31&lt;=I347)*(($C$22:$C$31="")+($C$22:$C$31&lt;&gt;"")*($C$22:$C$31&gt;=I347))*($E$22:$E$31="Annual")*(MONTH($B$22:$B$31)=MONTH(I347))*$D$22:$D$31)+SUMPRODUCT(($B$35:$B$49&lt;&gt;"")*(YEAR($B$35:$B$49)=YEAR(I347))*(MONTH($B$35:$B$49)=MONTH(I347))*$C$35:$C$49)),"")</f>
        <v/>
      </c>
      <c r="L347" s="9">
        <f>IF(H347&lt;&gt;"",ROUND(L346-K347,2),"")</f>
        <v/>
      </c>
      <c r="M347" s="10">
        <f>IF(H347&lt;&gt;"",MIN(MonthlyPmt,L346+J347),"")</f>
        <v/>
      </c>
      <c r="N347" s="10">
        <f>IF(H347&lt;&gt;"",N346+K347,"")</f>
        <v/>
      </c>
      <c r="O347" s="10">
        <f>IF(H347&lt;&gt;"",O346+J347,"")</f>
        <v/>
      </c>
    </row>
    <row r="348">
      <c r="H348" s="12">
        <f>IF(AND(L347&gt;0.005,H347&lt;&gt;""),346,"")</f>
        <v/>
      </c>
      <c r="I348" s="13">
        <f>IF(H348&lt;&gt;"",EDATE(StartDate,345),"")</f>
        <v/>
      </c>
      <c r="J348" s="14">
        <f>IF(H348&lt;&gt;"",ROUND(L347*AnnualRate/12,2),"")</f>
        <v/>
      </c>
      <c r="K348" s="14">
        <f>IF(H348&lt;&gt;"",MIN(L347,(M348-J348)+SUMPRODUCT(($B$22:$B$31&lt;&gt;"")*($B$22:$B$31&lt;=I348)*(($C$22:$C$31="")+($C$22:$C$31&lt;&gt;"")*($C$22:$C$31&gt;=I348))*($E$22:$E$31="Monthly")*$D$22:$D$31)+SUMPRODUCT(($B$22:$B$31&lt;&gt;"")*($B$22:$B$31&lt;=I348)*(($C$22:$C$31="")+($C$22:$C$31&lt;&gt;"")*($C$22:$C$31&gt;=I348))*($E$22:$E$31="Annual")*(MONTH($B$22:$B$31)=MONTH(I348))*$D$22:$D$31)+SUMPRODUCT(($B$35:$B$49&lt;&gt;"")*(YEAR($B$35:$B$49)=YEAR(I348))*(MONTH($B$35:$B$49)=MONTH(I348))*$C$35:$C$49)),"")</f>
        <v/>
      </c>
      <c r="L348" s="14">
        <f>IF(H348&lt;&gt;"",ROUND(L347-K348,2),"")</f>
        <v/>
      </c>
      <c r="M348" s="10">
        <f>IF(H348&lt;&gt;"",MIN(MonthlyPmt,L347+J348),"")</f>
        <v/>
      </c>
      <c r="N348" s="10">
        <f>IF(H348&lt;&gt;"",N347+K348,"")</f>
        <v/>
      </c>
      <c r="O348" s="10">
        <f>IF(H348&lt;&gt;"",O347+J348,"")</f>
        <v/>
      </c>
    </row>
    <row r="349">
      <c r="H349" s="7">
        <f>IF(AND(L348&gt;0.005,H348&lt;&gt;""),347,"")</f>
        <v/>
      </c>
      <c r="I349" s="8">
        <f>IF(H349&lt;&gt;"",EDATE(StartDate,346),"")</f>
        <v/>
      </c>
      <c r="J349" s="9">
        <f>IF(H349&lt;&gt;"",ROUND(L348*AnnualRate/12,2),"")</f>
        <v/>
      </c>
      <c r="K349" s="9">
        <f>IF(H349&lt;&gt;"",MIN(L348,(M349-J349)+SUMPRODUCT(($B$22:$B$31&lt;&gt;"")*($B$22:$B$31&lt;=I349)*(($C$22:$C$31="")+($C$22:$C$31&lt;&gt;"")*($C$22:$C$31&gt;=I349))*($E$22:$E$31="Monthly")*$D$22:$D$31)+SUMPRODUCT(($B$22:$B$31&lt;&gt;"")*($B$22:$B$31&lt;=I349)*(($C$22:$C$31="")+($C$22:$C$31&lt;&gt;"")*($C$22:$C$31&gt;=I349))*($E$22:$E$31="Annual")*(MONTH($B$22:$B$31)=MONTH(I349))*$D$22:$D$31)+SUMPRODUCT(($B$35:$B$49&lt;&gt;"")*(YEAR($B$35:$B$49)=YEAR(I349))*(MONTH($B$35:$B$49)=MONTH(I349))*$C$35:$C$49)),"")</f>
        <v/>
      </c>
      <c r="L349" s="9">
        <f>IF(H349&lt;&gt;"",ROUND(L348-K349,2),"")</f>
        <v/>
      </c>
      <c r="M349" s="10">
        <f>IF(H349&lt;&gt;"",MIN(MonthlyPmt,L348+J349),"")</f>
        <v/>
      </c>
      <c r="N349" s="10">
        <f>IF(H349&lt;&gt;"",N348+K349,"")</f>
        <v/>
      </c>
      <c r="O349" s="10">
        <f>IF(H349&lt;&gt;"",O348+J349,"")</f>
        <v/>
      </c>
    </row>
    <row r="350">
      <c r="H350" s="12">
        <f>IF(AND(L349&gt;0.005,H349&lt;&gt;""),348,"")</f>
        <v/>
      </c>
      <c r="I350" s="13">
        <f>IF(H350&lt;&gt;"",EDATE(StartDate,347),"")</f>
        <v/>
      </c>
      <c r="J350" s="14">
        <f>IF(H350&lt;&gt;"",ROUND(L349*AnnualRate/12,2),"")</f>
        <v/>
      </c>
      <c r="K350" s="14">
        <f>IF(H350&lt;&gt;"",MIN(L349,(M350-J350)+SUMPRODUCT(($B$22:$B$31&lt;&gt;"")*($B$22:$B$31&lt;=I350)*(($C$22:$C$31="")+($C$22:$C$31&lt;&gt;"")*($C$22:$C$31&gt;=I350))*($E$22:$E$31="Monthly")*$D$22:$D$31)+SUMPRODUCT(($B$22:$B$31&lt;&gt;"")*($B$22:$B$31&lt;=I350)*(($C$22:$C$31="")+($C$22:$C$31&lt;&gt;"")*($C$22:$C$31&gt;=I350))*($E$22:$E$31="Annual")*(MONTH($B$22:$B$31)=MONTH(I350))*$D$22:$D$31)+SUMPRODUCT(($B$35:$B$49&lt;&gt;"")*(YEAR($B$35:$B$49)=YEAR(I350))*(MONTH($B$35:$B$49)=MONTH(I350))*$C$35:$C$49)),"")</f>
        <v/>
      </c>
      <c r="L350" s="14">
        <f>IF(H350&lt;&gt;"",ROUND(L349-K350,2),"")</f>
        <v/>
      </c>
      <c r="M350" s="10">
        <f>IF(H350&lt;&gt;"",MIN(MonthlyPmt,L349+J350),"")</f>
        <v/>
      </c>
      <c r="N350" s="10">
        <f>IF(H350&lt;&gt;"",N349+K350,"")</f>
        <v/>
      </c>
      <c r="O350" s="10">
        <f>IF(H350&lt;&gt;"",O349+J350,"")</f>
        <v/>
      </c>
    </row>
    <row r="351">
      <c r="H351" s="7">
        <f>IF(AND(L350&gt;0.005,H350&lt;&gt;""),349,"")</f>
        <v/>
      </c>
      <c r="I351" s="8">
        <f>IF(H351&lt;&gt;"",EDATE(StartDate,348),"")</f>
        <v/>
      </c>
      <c r="J351" s="9">
        <f>IF(H351&lt;&gt;"",ROUND(L350*AnnualRate/12,2),"")</f>
        <v/>
      </c>
      <c r="K351" s="9">
        <f>IF(H351&lt;&gt;"",MIN(L350,(M351-J351)+SUMPRODUCT(($B$22:$B$31&lt;&gt;"")*($B$22:$B$31&lt;=I351)*(($C$22:$C$31="")+($C$22:$C$31&lt;&gt;"")*($C$22:$C$31&gt;=I351))*($E$22:$E$31="Monthly")*$D$22:$D$31)+SUMPRODUCT(($B$22:$B$31&lt;&gt;"")*($B$22:$B$31&lt;=I351)*(($C$22:$C$31="")+($C$22:$C$31&lt;&gt;"")*($C$22:$C$31&gt;=I351))*($E$22:$E$31="Annual")*(MONTH($B$22:$B$31)=MONTH(I351))*$D$22:$D$31)+SUMPRODUCT(($B$35:$B$49&lt;&gt;"")*(YEAR($B$35:$B$49)=YEAR(I351))*(MONTH($B$35:$B$49)=MONTH(I351))*$C$35:$C$49)),"")</f>
        <v/>
      </c>
      <c r="L351" s="9">
        <f>IF(H351&lt;&gt;"",ROUND(L350-K351,2),"")</f>
        <v/>
      </c>
      <c r="M351" s="10">
        <f>IF(H351&lt;&gt;"",MIN(MonthlyPmt,L350+J351),"")</f>
        <v/>
      </c>
      <c r="N351" s="10">
        <f>IF(H351&lt;&gt;"",N350+K351,"")</f>
        <v/>
      </c>
      <c r="O351" s="10">
        <f>IF(H351&lt;&gt;"",O350+J351,"")</f>
        <v/>
      </c>
    </row>
    <row r="352">
      <c r="H352" s="12">
        <f>IF(AND(L351&gt;0.005,H351&lt;&gt;""),350,"")</f>
        <v/>
      </c>
      <c r="I352" s="13">
        <f>IF(H352&lt;&gt;"",EDATE(StartDate,349),"")</f>
        <v/>
      </c>
      <c r="J352" s="14">
        <f>IF(H352&lt;&gt;"",ROUND(L351*AnnualRate/12,2),"")</f>
        <v/>
      </c>
      <c r="K352" s="14">
        <f>IF(H352&lt;&gt;"",MIN(L351,(M352-J352)+SUMPRODUCT(($B$22:$B$31&lt;&gt;"")*($B$22:$B$31&lt;=I352)*(($C$22:$C$31="")+($C$22:$C$31&lt;&gt;"")*($C$22:$C$31&gt;=I352))*($E$22:$E$31="Monthly")*$D$22:$D$31)+SUMPRODUCT(($B$22:$B$31&lt;&gt;"")*($B$22:$B$31&lt;=I352)*(($C$22:$C$31="")+($C$22:$C$31&lt;&gt;"")*($C$22:$C$31&gt;=I352))*($E$22:$E$31="Annual")*(MONTH($B$22:$B$31)=MONTH(I352))*$D$22:$D$31)+SUMPRODUCT(($B$35:$B$49&lt;&gt;"")*(YEAR($B$35:$B$49)=YEAR(I352))*(MONTH($B$35:$B$49)=MONTH(I352))*$C$35:$C$49)),"")</f>
        <v/>
      </c>
      <c r="L352" s="14">
        <f>IF(H352&lt;&gt;"",ROUND(L351-K352,2),"")</f>
        <v/>
      </c>
      <c r="M352" s="10">
        <f>IF(H352&lt;&gt;"",MIN(MonthlyPmt,L351+J352),"")</f>
        <v/>
      </c>
      <c r="N352" s="10">
        <f>IF(H352&lt;&gt;"",N351+K352,"")</f>
        <v/>
      </c>
      <c r="O352" s="10">
        <f>IF(H352&lt;&gt;"",O351+J352,"")</f>
        <v/>
      </c>
    </row>
    <row r="353">
      <c r="H353" s="7">
        <f>IF(AND(L352&gt;0.005,H352&lt;&gt;""),351,"")</f>
        <v/>
      </c>
      <c r="I353" s="8">
        <f>IF(H353&lt;&gt;"",EDATE(StartDate,350),"")</f>
        <v/>
      </c>
      <c r="J353" s="9">
        <f>IF(H353&lt;&gt;"",ROUND(L352*AnnualRate/12,2),"")</f>
        <v/>
      </c>
      <c r="K353" s="9">
        <f>IF(H353&lt;&gt;"",MIN(L352,(M353-J353)+SUMPRODUCT(($B$22:$B$31&lt;&gt;"")*($B$22:$B$31&lt;=I353)*(($C$22:$C$31="")+($C$22:$C$31&lt;&gt;"")*($C$22:$C$31&gt;=I353))*($E$22:$E$31="Monthly")*$D$22:$D$31)+SUMPRODUCT(($B$22:$B$31&lt;&gt;"")*($B$22:$B$31&lt;=I353)*(($C$22:$C$31="")+($C$22:$C$31&lt;&gt;"")*($C$22:$C$31&gt;=I353))*($E$22:$E$31="Annual")*(MONTH($B$22:$B$31)=MONTH(I353))*$D$22:$D$31)+SUMPRODUCT(($B$35:$B$49&lt;&gt;"")*(YEAR($B$35:$B$49)=YEAR(I353))*(MONTH($B$35:$B$49)=MONTH(I353))*$C$35:$C$49)),"")</f>
        <v/>
      </c>
      <c r="L353" s="9">
        <f>IF(H353&lt;&gt;"",ROUND(L352-K353,2),"")</f>
        <v/>
      </c>
      <c r="M353" s="10">
        <f>IF(H353&lt;&gt;"",MIN(MonthlyPmt,L352+J353),"")</f>
        <v/>
      </c>
      <c r="N353" s="10">
        <f>IF(H353&lt;&gt;"",N352+K353,"")</f>
        <v/>
      </c>
      <c r="O353" s="10">
        <f>IF(H353&lt;&gt;"",O352+J353,"")</f>
        <v/>
      </c>
    </row>
    <row r="354">
      <c r="H354" s="12">
        <f>IF(AND(L353&gt;0.005,H353&lt;&gt;""),352,"")</f>
        <v/>
      </c>
      <c r="I354" s="13">
        <f>IF(H354&lt;&gt;"",EDATE(StartDate,351),"")</f>
        <v/>
      </c>
      <c r="J354" s="14">
        <f>IF(H354&lt;&gt;"",ROUND(L353*AnnualRate/12,2),"")</f>
        <v/>
      </c>
      <c r="K354" s="14">
        <f>IF(H354&lt;&gt;"",MIN(L353,(M354-J354)+SUMPRODUCT(($B$22:$B$31&lt;&gt;"")*($B$22:$B$31&lt;=I354)*(($C$22:$C$31="")+($C$22:$C$31&lt;&gt;"")*($C$22:$C$31&gt;=I354))*($E$22:$E$31="Monthly")*$D$22:$D$31)+SUMPRODUCT(($B$22:$B$31&lt;&gt;"")*($B$22:$B$31&lt;=I354)*(($C$22:$C$31="")+($C$22:$C$31&lt;&gt;"")*($C$22:$C$31&gt;=I354))*($E$22:$E$31="Annual")*(MONTH($B$22:$B$31)=MONTH(I354))*$D$22:$D$31)+SUMPRODUCT(($B$35:$B$49&lt;&gt;"")*(YEAR($B$35:$B$49)=YEAR(I354))*(MONTH($B$35:$B$49)=MONTH(I354))*$C$35:$C$49)),"")</f>
        <v/>
      </c>
      <c r="L354" s="14">
        <f>IF(H354&lt;&gt;"",ROUND(L353-K354,2),"")</f>
        <v/>
      </c>
      <c r="M354" s="10">
        <f>IF(H354&lt;&gt;"",MIN(MonthlyPmt,L353+J354),"")</f>
        <v/>
      </c>
      <c r="N354" s="10">
        <f>IF(H354&lt;&gt;"",N353+K354,"")</f>
        <v/>
      </c>
      <c r="O354" s="10">
        <f>IF(H354&lt;&gt;"",O353+J354,"")</f>
        <v/>
      </c>
    </row>
    <row r="355">
      <c r="H355" s="7">
        <f>IF(AND(L354&gt;0.005,H354&lt;&gt;""),353,"")</f>
        <v/>
      </c>
      <c r="I355" s="8">
        <f>IF(H355&lt;&gt;"",EDATE(StartDate,352),"")</f>
        <v/>
      </c>
      <c r="J355" s="9">
        <f>IF(H355&lt;&gt;"",ROUND(L354*AnnualRate/12,2),"")</f>
        <v/>
      </c>
      <c r="K355" s="9">
        <f>IF(H355&lt;&gt;"",MIN(L354,(M355-J355)+SUMPRODUCT(($B$22:$B$31&lt;&gt;"")*($B$22:$B$31&lt;=I355)*(($C$22:$C$31="")+($C$22:$C$31&lt;&gt;"")*($C$22:$C$31&gt;=I355))*($E$22:$E$31="Monthly")*$D$22:$D$31)+SUMPRODUCT(($B$22:$B$31&lt;&gt;"")*($B$22:$B$31&lt;=I355)*(($C$22:$C$31="")+($C$22:$C$31&lt;&gt;"")*($C$22:$C$31&gt;=I355))*($E$22:$E$31="Annual")*(MONTH($B$22:$B$31)=MONTH(I355))*$D$22:$D$31)+SUMPRODUCT(($B$35:$B$49&lt;&gt;"")*(YEAR($B$35:$B$49)=YEAR(I355))*(MONTH($B$35:$B$49)=MONTH(I355))*$C$35:$C$49)),"")</f>
        <v/>
      </c>
      <c r="L355" s="9">
        <f>IF(H355&lt;&gt;"",ROUND(L354-K355,2),"")</f>
        <v/>
      </c>
      <c r="M355" s="10">
        <f>IF(H355&lt;&gt;"",MIN(MonthlyPmt,L354+J355),"")</f>
        <v/>
      </c>
      <c r="N355" s="10">
        <f>IF(H355&lt;&gt;"",N354+K355,"")</f>
        <v/>
      </c>
      <c r="O355" s="10">
        <f>IF(H355&lt;&gt;"",O354+J355,"")</f>
        <v/>
      </c>
    </row>
    <row r="356">
      <c r="H356" s="12">
        <f>IF(AND(L355&gt;0.005,H355&lt;&gt;""),354,"")</f>
        <v/>
      </c>
      <c r="I356" s="13">
        <f>IF(H356&lt;&gt;"",EDATE(StartDate,353),"")</f>
        <v/>
      </c>
      <c r="J356" s="14">
        <f>IF(H356&lt;&gt;"",ROUND(L355*AnnualRate/12,2),"")</f>
        <v/>
      </c>
      <c r="K356" s="14">
        <f>IF(H356&lt;&gt;"",MIN(L355,(M356-J356)+SUMPRODUCT(($B$22:$B$31&lt;&gt;"")*($B$22:$B$31&lt;=I356)*(($C$22:$C$31="")+($C$22:$C$31&lt;&gt;"")*($C$22:$C$31&gt;=I356))*($E$22:$E$31="Monthly")*$D$22:$D$31)+SUMPRODUCT(($B$22:$B$31&lt;&gt;"")*($B$22:$B$31&lt;=I356)*(($C$22:$C$31="")+($C$22:$C$31&lt;&gt;"")*($C$22:$C$31&gt;=I356))*($E$22:$E$31="Annual")*(MONTH($B$22:$B$31)=MONTH(I356))*$D$22:$D$31)+SUMPRODUCT(($B$35:$B$49&lt;&gt;"")*(YEAR($B$35:$B$49)=YEAR(I356))*(MONTH($B$35:$B$49)=MONTH(I356))*$C$35:$C$49)),"")</f>
        <v/>
      </c>
      <c r="L356" s="14">
        <f>IF(H356&lt;&gt;"",ROUND(L355-K356,2),"")</f>
        <v/>
      </c>
      <c r="M356" s="10">
        <f>IF(H356&lt;&gt;"",MIN(MonthlyPmt,L355+J356),"")</f>
        <v/>
      </c>
      <c r="N356" s="10">
        <f>IF(H356&lt;&gt;"",N355+K356,"")</f>
        <v/>
      </c>
      <c r="O356" s="10">
        <f>IF(H356&lt;&gt;"",O355+J356,"")</f>
        <v/>
      </c>
    </row>
    <row r="357">
      <c r="H357" s="7">
        <f>IF(AND(L356&gt;0.005,H356&lt;&gt;""),355,"")</f>
        <v/>
      </c>
      <c r="I357" s="8">
        <f>IF(H357&lt;&gt;"",EDATE(StartDate,354),"")</f>
        <v/>
      </c>
      <c r="J357" s="9">
        <f>IF(H357&lt;&gt;"",ROUND(L356*AnnualRate/12,2),"")</f>
        <v/>
      </c>
      <c r="K357" s="9">
        <f>IF(H357&lt;&gt;"",MIN(L356,(M357-J357)+SUMPRODUCT(($B$22:$B$31&lt;&gt;"")*($B$22:$B$31&lt;=I357)*(($C$22:$C$31="")+($C$22:$C$31&lt;&gt;"")*($C$22:$C$31&gt;=I357))*($E$22:$E$31="Monthly")*$D$22:$D$31)+SUMPRODUCT(($B$22:$B$31&lt;&gt;"")*($B$22:$B$31&lt;=I357)*(($C$22:$C$31="")+($C$22:$C$31&lt;&gt;"")*($C$22:$C$31&gt;=I357))*($E$22:$E$31="Annual")*(MONTH($B$22:$B$31)=MONTH(I357))*$D$22:$D$31)+SUMPRODUCT(($B$35:$B$49&lt;&gt;"")*(YEAR($B$35:$B$49)=YEAR(I357))*(MONTH($B$35:$B$49)=MONTH(I357))*$C$35:$C$49)),"")</f>
        <v/>
      </c>
      <c r="L357" s="9">
        <f>IF(H357&lt;&gt;"",ROUND(L356-K357,2),"")</f>
        <v/>
      </c>
      <c r="M357" s="10">
        <f>IF(H357&lt;&gt;"",MIN(MonthlyPmt,L356+J357),"")</f>
        <v/>
      </c>
      <c r="N357" s="10">
        <f>IF(H357&lt;&gt;"",N356+K357,"")</f>
        <v/>
      </c>
      <c r="O357" s="10">
        <f>IF(H357&lt;&gt;"",O356+J357,"")</f>
        <v/>
      </c>
    </row>
    <row r="358">
      <c r="H358" s="12">
        <f>IF(AND(L357&gt;0.005,H357&lt;&gt;""),356,"")</f>
        <v/>
      </c>
      <c r="I358" s="13">
        <f>IF(H358&lt;&gt;"",EDATE(StartDate,355),"")</f>
        <v/>
      </c>
      <c r="J358" s="14">
        <f>IF(H358&lt;&gt;"",ROUND(L357*AnnualRate/12,2),"")</f>
        <v/>
      </c>
      <c r="K358" s="14">
        <f>IF(H358&lt;&gt;"",MIN(L357,(M358-J358)+SUMPRODUCT(($B$22:$B$31&lt;&gt;"")*($B$22:$B$31&lt;=I358)*(($C$22:$C$31="")+($C$22:$C$31&lt;&gt;"")*($C$22:$C$31&gt;=I358))*($E$22:$E$31="Monthly")*$D$22:$D$31)+SUMPRODUCT(($B$22:$B$31&lt;&gt;"")*($B$22:$B$31&lt;=I358)*(($C$22:$C$31="")+($C$22:$C$31&lt;&gt;"")*($C$22:$C$31&gt;=I358))*($E$22:$E$31="Annual")*(MONTH($B$22:$B$31)=MONTH(I358))*$D$22:$D$31)+SUMPRODUCT(($B$35:$B$49&lt;&gt;"")*(YEAR($B$35:$B$49)=YEAR(I358))*(MONTH($B$35:$B$49)=MONTH(I358))*$C$35:$C$49)),"")</f>
        <v/>
      </c>
      <c r="L358" s="14">
        <f>IF(H358&lt;&gt;"",ROUND(L357-K358,2),"")</f>
        <v/>
      </c>
      <c r="M358" s="10">
        <f>IF(H358&lt;&gt;"",MIN(MonthlyPmt,L357+J358),"")</f>
        <v/>
      </c>
      <c r="N358" s="10">
        <f>IF(H358&lt;&gt;"",N357+K358,"")</f>
        <v/>
      </c>
      <c r="O358" s="10">
        <f>IF(H358&lt;&gt;"",O357+J358,"")</f>
        <v/>
      </c>
    </row>
    <row r="359">
      <c r="H359" s="7">
        <f>IF(AND(L358&gt;0.005,H358&lt;&gt;""),357,"")</f>
        <v/>
      </c>
      <c r="I359" s="8">
        <f>IF(H359&lt;&gt;"",EDATE(StartDate,356),"")</f>
        <v/>
      </c>
      <c r="J359" s="9">
        <f>IF(H359&lt;&gt;"",ROUND(L358*AnnualRate/12,2),"")</f>
        <v/>
      </c>
      <c r="K359" s="9">
        <f>IF(H359&lt;&gt;"",MIN(L358,(M359-J359)+SUMPRODUCT(($B$22:$B$31&lt;&gt;"")*($B$22:$B$31&lt;=I359)*(($C$22:$C$31="")+($C$22:$C$31&lt;&gt;"")*($C$22:$C$31&gt;=I359))*($E$22:$E$31="Monthly")*$D$22:$D$31)+SUMPRODUCT(($B$22:$B$31&lt;&gt;"")*($B$22:$B$31&lt;=I359)*(($C$22:$C$31="")+($C$22:$C$31&lt;&gt;"")*($C$22:$C$31&gt;=I359))*($E$22:$E$31="Annual")*(MONTH($B$22:$B$31)=MONTH(I359))*$D$22:$D$31)+SUMPRODUCT(($B$35:$B$49&lt;&gt;"")*(YEAR($B$35:$B$49)=YEAR(I359))*(MONTH($B$35:$B$49)=MONTH(I359))*$C$35:$C$49)),"")</f>
        <v/>
      </c>
      <c r="L359" s="9">
        <f>IF(H359&lt;&gt;"",ROUND(L358-K359,2),"")</f>
        <v/>
      </c>
      <c r="M359" s="10">
        <f>IF(H359&lt;&gt;"",MIN(MonthlyPmt,L358+J359),"")</f>
        <v/>
      </c>
      <c r="N359" s="10">
        <f>IF(H359&lt;&gt;"",N358+K359,"")</f>
        <v/>
      </c>
      <c r="O359" s="10">
        <f>IF(H359&lt;&gt;"",O358+J359,"")</f>
        <v/>
      </c>
    </row>
    <row r="360">
      <c r="H360" s="12">
        <f>IF(AND(L359&gt;0.005,H359&lt;&gt;""),358,"")</f>
        <v/>
      </c>
      <c r="I360" s="13">
        <f>IF(H360&lt;&gt;"",EDATE(StartDate,357),"")</f>
        <v/>
      </c>
      <c r="J360" s="14">
        <f>IF(H360&lt;&gt;"",ROUND(L359*AnnualRate/12,2),"")</f>
        <v/>
      </c>
      <c r="K360" s="14">
        <f>IF(H360&lt;&gt;"",MIN(L359,(M360-J360)+SUMPRODUCT(($B$22:$B$31&lt;&gt;"")*($B$22:$B$31&lt;=I360)*(($C$22:$C$31="")+($C$22:$C$31&lt;&gt;"")*($C$22:$C$31&gt;=I360))*($E$22:$E$31="Monthly")*$D$22:$D$31)+SUMPRODUCT(($B$22:$B$31&lt;&gt;"")*($B$22:$B$31&lt;=I360)*(($C$22:$C$31="")+($C$22:$C$31&lt;&gt;"")*($C$22:$C$31&gt;=I360))*($E$22:$E$31="Annual")*(MONTH($B$22:$B$31)=MONTH(I360))*$D$22:$D$31)+SUMPRODUCT(($B$35:$B$49&lt;&gt;"")*(YEAR($B$35:$B$49)=YEAR(I360))*(MONTH($B$35:$B$49)=MONTH(I360))*$C$35:$C$49)),"")</f>
        <v/>
      </c>
      <c r="L360" s="14">
        <f>IF(H360&lt;&gt;"",ROUND(L359-K360,2),"")</f>
        <v/>
      </c>
      <c r="M360" s="10">
        <f>IF(H360&lt;&gt;"",MIN(MonthlyPmt,L359+J360),"")</f>
        <v/>
      </c>
      <c r="N360" s="10">
        <f>IF(H360&lt;&gt;"",N359+K360,"")</f>
        <v/>
      </c>
      <c r="O360" s="10">
        <f>IF(H360&lt;&gt;"",O359+J360,"")</f>
        <v/>
      </c>
    </row>
    <row r="361">
      <c r="H361" s="7">
        <f>IF(AND(L360&gt;0.005,H360&lt;&gt;""),359,"")</f>
        <v/>
      </c>
      <c r="I361" s="8">
        <f>IF(H361&lt;&gt;"",EDATE(StartDate,358),"")</f>
        <v/>
      </c>
      <c r="J361" s="9">
        <f>IF(H361&lt;&gt;"",ROUND(L360*AnnualRate/12,2),"")</f>
        <v/>
      </c>
      <c r="K361" s="9">
        <f>IF(H361&lt;&gt;"",MIN(L360,(M361-J361)+SUMPRODUCT(($B$22:$B$31&lt;&gt;"")*($B$22:$B$31&lt;=I361)*(($C$22:$C$31="")+($C$22:$C$31&lt;&gt;"")*($C$22:$C$31&gt;=I361))*($E$22:$E$31="Monthly")*$D$22:$D$31)+SUMPRODUCT(($B$22:$B$31&lt;&gt;"")*($B$22:$B$31&lt;=I361)*(($C$22:$C$31="")+($C$22:$C$31&lt;&gt;"")*($C$22:$C$31&gt;=I361))*($E$22:$E$31="Annual")*(MONTH($B$22:$B$31)=MONTH(I361))*$D$22:$D$31)+SUMPRODUCT(($B$35:$B$49&lt;&gt;"")*(YEAR($B$35:$B$49)=YEAR(I361))*(MONTH($B$35:$B$49)=MONTH(I361))*$C$35:$C$49)),"")</f>
        <v/>
      </c>
      <c r="L361" s="9">
        <f>IF(H361&lt;&gt;"",ROUND(L360-K361,2),"")</f>
        <v/>
      </c>
      <c r="M361" s="10">
        <f>IF(H361&lt;&gt;"",MIN(MonthlyPmt,L360+J361),"")</f>
        <v/>
      </c>
      <c r="N361" s="10">
        <f>IF(H361&lt;&gt;"",N360+K361,"")</f>
        <v/>
      </c>
      <c r="O361" s="10">
        <f>IF(H361&lt;&gt;"",O360+J361,"")</f>
        <v/>
      </c>
    </row>
    <row r="362">
      <c r="H362" s="12">
        <f>IF(AND(L361&gt;0.005,H361&lt;&gt;""),360,"")</f>
        <v/>
      </c>
      <c r="I362" s="13">
        <f>IF(H362&lt;&gt;"",EDATE(StartDate,359),"")</f>
        <v/>
      </c>
      <c r="J362" s="14">
        <f>IF(H362&lt;&gt;"",ROUND(L361*AnnualRate/12,2),"")</f>
        <v/>
      </c>
      <c r="K362" s="14">
        <f>IF(H362&lt;&gt;"",MIN(L361,(M362-J362)+SUMPRODUCT(($B$22:$B$31&lt;&gt;"")*($B$22:$B$31&lt;=I362)*(($C$22:$C$31="")+($C$22:$C$31&lt;&gt;"")*($C$22:$C$31&gt;=I362))*($E$22:$E$31="Monthly")*$D$22:$D$31)+SUMPRODUCT(($B$22:$B$31&lt;&gt;"")*($B$22:$B$31&lt;=I362)*(($C$22:$C$31="")+($C$22:$C$31&lt;&gt;"")*($C$22:$C$31&gt;=I362))*($E$22:$E$31="Annual")*(MONTH($B$22:$B$31)=MONTH(I362))*$D$22:$D$31)+SUMPRODUCT(($B$35:$B$49&lt;&gt;"")*(YEAR($B$35:$B$49)=YEAR(I362))*(MONTH($B$35:$B$49)=MONTH(I362))*$C$35:$C$49)),"")</f>
        <v/>
      </c>
      <c r="L362" s="14">
        <f>IF(H362&lt;&gt;"",ROUND(L361-K362,2),"")</f>
        <v/>
      </c>
      <c r="M362" s="10">
        <f>IF(H362&lt;&gt;"",MIN(MonthlyPmt,L361+J362),"")</f>
        <v/>
      </c>
      <c r="N362" s="10">
        <f>IF(H362&lt;&gt;"",N361+K362,"")</f>
        <v/>
      </c>
      <c r="O362" s="10">
        <f>IF(H362&lt;&gt;"",O361+J362,"")</f>
        <v/>
      </c>
    </row>
  </sheetData>
  <mergeCells count="5">
    <mergeCell ref="A33:C33"/>
    <mergeCell ref="A20:E20"/>
    <mergeCell ref="H1:L1"/>
    <mergeCell ref="A1:B1"/>
    <mergeCell ref="A9:B9"/>
  </mergeCells>
  <dataValidations count="1">
    <dataValidation sqref="E22:E31" showDropDown="0" showInputMessage="0" showErrorMessage="1" allowBlank="1" errorTitle="Invalid Frequency" error="Please select Monthly or Annual" type="list">
      <formula1>"Monthly,Annual"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2026-05-15T22:10:58Z</dcterms:created>
  <dcterms:modified xsi:type="dcterms:W3CDTF">2026-05-15T22:10:58Z</dcterms:modified>
</cp:coreProperties>
</file>