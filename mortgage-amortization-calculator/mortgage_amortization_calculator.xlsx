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  <definedName name="RecurringTable">Calculator!$B$10:$D$19</definedName>
    <definedName name="OneTimeTable">Calculator!$B$22:$C$36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MMM YYYY"/>
  </numFmts>
  <fonts count="6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FFFFFF"/>
      <sz val="11"/>
    </font>
    <font>
      <b val="1"/>
      <color rgb="00006600"/>
      <sz val="12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4" fontId="0" fillId="2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4" fontId="0" fillId="2" borderId="1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2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3" fillId="0" borderId="1" pivotButton="0" quotePrefix="0" xfId="0"/>
    <xf numFmtId="4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4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8"/>
  <sheetViews>
    <sheetView workbookViewId="0">
      <pane ySplit="38" topLeftCell="A39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6" customWidth="1" min="5" max="5"/>
    <col width="22" customWidth="1" min="6" max="6"/>
  </cols>
  <sheetData>
    <row r="1">
      <c r="A1" s="1" t="inlineStr">
        <is>
          <t>MORTGAGE INPUTS</t>
        </is>
      </c>
      <c r="E1" s="1" t="inlineStr">
        <is>
          <t>LOAN SUMMARY</t>
        </is>
      </c>
    </row>
    <row r="2">
      <c r="A2" s="2" t="inlineStr">
        <is>
          <t>Loan Amount ($)</t>
        </is>
      </c>
      <c r="B2" s="3" t="n">
        <v>300000</v>
      </c>
      <c r="E2" s="2" t="inlineStr">
        <is>
          <t>Original Payoff Date</t>
        </is>
      </c>
      <c r="F2" s="4">
        <f>EDATE(StartDate,TermYears*12-1)</f>
        <v/>
      </c>
    </row>
    <row r="3">
      <c r="A3" s="2" t="inlineStr">
        <is>
          <t>Annual Interest Rate</t>
        </is>
      </c>
      <c r="B3" s="5" t="n">
        <v>0.05875</v>
      </c>
      <c r="E3" s="2" t="inlineStr">
        <is>
          <t>Accelerated Payoff Date</t>
        </is>
      </c>
      <c r="F3" s="4">
        <f>LOOKUP(2,1/(B39:B398&lt;&gt;""),B39:B398)</f>
        <v/>
      </c>
    </row>
    <row r="4">
      <c r="A4" s="2" t="inlineStr">
        <is>
          <t>Loan Term (years)</t>
        </is>
      </c>
      <c r="B4" s="6" t="n">
        <v>30</v>
      </c>
      <c r="E4" s="2" t="inlineStr">
        <is>
          <t>Accelerated Payoff Time</t>
        </is>
      </c>
      <c r="F4" s="7">
        <f>INT(SUMPRODUCT(1*(ISNUMBER(A39:A398)))/12)&amp;" years, "&amp;MOD(SUMPRODUCT(1*(ISNUMBER(A39:A398))),12)&amp;" months"</f>
        <v/>
      </c>
    </row>
    <row r="5">
      <c r="A5" s="2" t="inlineStr">
        <is>
          <t>Start Date</t>
        </is>
      </c>
      <c r="B5" s="8" t="n">
        <v>46023</v>
      </c>
      <c r="E5" s="2" t="inlineStr">
        <is>
          <t>Original Total Interest</t>
        </is>
      </c>
      <c r="F5" s="9">
        <f>ROUND(MonthlyPmt*TermYears*12-LoanAmount,2)</f>
        <v/>
      </c>
    </row>
    <row r="6">
      <c r="A6" s="2" t="inlineStr">
        <is>
          <t>Monthly Payment</t>
        </is>
      </c>
      <c r="B6" s="10">
        <f>ROUND(-PMT(B3/12,B4*12,B2),2)</f>
        <v/>
      </c>
      <c r="E6" s="2" t="inlineStr">
        <is>
          <t>Accelerated Total Interest</t>
        </is>
      </c>
      <c r="F6" s="9">
        <f>ROUND(SUM(D39:D398),2)</f>
        <v/>
      </c>
    </row>
    <row r="7">
      <c r="E7" s="2" t="inlineStr">
        <is>
          <t>Interest Saved</t>
        </is>
      </c>
      <c r="F7" s="11">
        <f>F5-F6</f>
        <v/>
      </c>
    </row>
    <row r="8">
      <c r="A8" s="1" t="inlineStr">
        <is>
          <t>RECURRING EXTRA PAYMENTS</t>
        </is>
      </c>
      <c r="E8" s="2" t="inlineStr">
        <is>
          <t>Months Saved</t>
        </is>
      </c>
      <c r="F8" s="12">
        <f>TermYears*12-SUMPRODUCT(1*(ISNUMBER(A39:A398)))</f>
        <v/>
      </c>
    </row>
    <row r="9">
      <c r="A9" s="13" t="inlineStr">
        <is>
          <t>#</t>
        </is>
      </c>
      <c r="B9" s="13" t="inlineStr">
        <is>
          <t>Start Date</t>
        </is>
      </c>
      <c r="C9" s="13" t="inlineStr">
        <is>
          <t>Amount ($)</t>
        </is>
      </c>
      <c r="D9" s="13" t="inlineStr">
        <is>
          <t>Frequency</t>
        </is>
      </c>
      <c r="E9" s="2" t="inlineStr">
        <is>
          <t>Total of Payments (P+I)</t>
        </is>
      </c>
      <c r="F9" s="9">
        <f>ROUND(SUM(C39:C398),2)</f>
        <v/>
      </c>
    </row>
    <row r="10">
      <c r="A10" s="7" t="n">
        <v>1</v>
      </c>
      <c r="B10" s="8" t="n"/>
      <c r="C10" s="3" t="n"/>
      <c r="D10" s="14" t="n"/>
      <c r="E10" s="2" t="inlineStr">
        <is>
          <t>Total Extra Payments</t>
        </is>
      </c>
      <c r="F10" s="9">
        <f>ROUND(SUM(E39:E398)-SUM(C39:C398)+SUM(D39:D398),2)</f>
        <v/>
      </c>
    </row>
    <row r="11">
      <c r="A11" s="7" t="n">
        <v>2</v>
      </c>
      <c r="B11" s="8" t="n"/>
      <c r="C11" s="3" t="n"/>
      <c r="D11" s="14" t="n"/>
    </row>
    <row r="12">
      <c r="A12" s="7" t="n">
        <v>3</v>
      </c>
      <c r="B12" s="8" t="n"/>
      <c r="C12" s="3" t="n"/>
      <c r="D12" s="14" t="n"/>
    </row>
    <row r="13">
      <c r="A13" s="7" t="n">
        <v>4</v>
      </c>
      <c r="B13" s="8" t="n"/>
      <c r="C13" s="3" t="n"/>
      <c r="D13" s="14" t="n"/>
    </row>
    <row r="14">
      <c r="A14" s="7" t="n">
        <v>5</v>
      </c>
      <c r="B14" s="8" t="n"/>
      <c r="C14" s="3" t="n"/>
      <c r="D14" s="14" t="n"/>
    </row>
    <row r="15">
      <c r="A15" s="7" t="n">
        <v>6</v>
      </c>
      <c r="B15" s="8" t="n"/>
      <c r="C15" s="3" t="n"/>
      <c r="D15" s="14" t="n"/>
    </row>
    <row r="16">
      <c r="A16" s="7" t="n">
        <v>7</v>
      </c>
      <c r="B16" s="8" t="n"/>
      <c r="C16" s="3" t="n"/>
      <c r="D16" s="14" t="n"/>
    </row>
    <row r="17">
      <c r="A17" s="7" t="n">
        <v>8</v>
      </c>
      <c r="B17" s="8" t="n"/>
      <c r="C17" s="3" t="n"/>
      <c r="D17" s="14" t="n"/>
    </row>
    <row r="18">
      <c r="A18" s="7" t="n">
        <v>9</v>
      </c>
      <c r="B18" s="8" t="n"/>
      <c r="C18" s="3" t="n"/>
      <c r="D18" s="14" t="n"/>
    </row>
    <row r="19">
      <c r="A19" s="7" t="n">
        <v>10</v>
      </c>
      <c r="B19" s="8" t="n"/>
      <c r="C19" s="3" t="n"/>
      <c r="D19" s="14" t="n"/>
    </row>
    <row r="20">
      <c r="A20" s="1" t="inlineStr">
        <is>
          <t>ONE-TIME EXTRA PAYMENTS</t>
        </is>
      </c>
    </row>
    <row r="21">
      <c r="A21" s="13" t="inlineStr">
        <is>
          <t>#</t>
        </is>
      </c>
      <c r="B21" s="13" t="inlineStr">
        <is>
          <t>Date</t>
        </is>
      </c>
      <c r="C21" s="13" t="inlineStr">
        <is>
          <t>Amount ($)</t>
        </is>
      </c>
    </row>
    <row r="22">
      <c r="A22" s="7" t="n">
        <v>1</v>
      </c>
      <c r="B22" s="8" t="n"/>
      <c r="C22" s="3" t="n"/>
    </row>
    <row r="23">
      <c r="A23" s="7" t="n">
        <v>2</v>
      </c>
      <c r="B23" s="8" t="n"/>
      <c r="C23" s="3" t="n"/>
    </row>
    <row r="24">
      <c r="A24" s="7" t="n">
        <v>3</v>
      </c>
      <c r="B24" s="8" t="n"/>
      <c r="C24" s="3" t="n"/>
    </row>
    <row r="25">
      <c r="A25" s="7" t="n">
        <v>4</v>
      </c>
      <c r="B25" s="8" t="n"/>
      <c r="C25" s="3" t="n"/>
    </row>
    <row r="26">
      <c r="A26" s="7" t="n">
        <v>5</v>
      </c>
      <c r="B26" s="8" t="n"/>
      <c r="C26" s="3" t="n"/>
    </row>
    <row r="27">
      <c r="A27" s="7" t="n">
        <v>6</v>
      </c>
      <c r="B27" s="8" t="n"/>
      <c r="C27" s="3" t="n"/>
    </row>
    <row r="28">
      <c r="A28" s="7" t="n">
        <v>7</v>
      </c>
      <c r="B28" s="8" t="n"/>
      <c r="C28" s="3" t="n"/>
    </row>
    <row r="29">
      <c r="A29" s="7" t="n">
        <v>8</v>
      </c>
      <c r="B29" s="8" t="n"/>
      <c r="C29" s="3" t="n"/>
    </row>
    <row r="30">
      <c r="A30" s="7" t="n">
        <v>9</v>
      </c>
      <c r="B30" s="8" t="n"/>
      <c r="C30" s="3" t="n"/>
    </row>
    <row r="31">
      <c r="A31" s="7" t="n">
        <v>10</v>
      </c>
      <c r="B31" s="8" t="n"/>
      <c r="C31" s="3" t="n"/>
    </row>
    <row r="32">
      <c r="A32" s="7" t="n">
        <v>11</v>
      </c>
      <c r="B32" s="8" t="n"/>
      <c r="C32" s="3" t="n"/>
    </row>
    <row r="33">
      <c r="A33" s="7" t="n">
        <v>12</v>
      </c>
      <c r="B33" s="8" t="n"/>
      <c r="C33" s="3" t="n"/>
    </row>
    <row r="34">
      <c r="A34" s="7" t="n">
        <v>13</v>
      </c>
      <c r="B34" s="8" t="n"/>
      <c r="C34" s="3" t="n"/>
    </row>
    <row r="35">
      <c r="A35" s="7" t="n">
        <v>14</v>
      </c>
      <c r="B35" s="8" t="n"/>
      <c r="C35" s="3" t="n"/>
    </row>
    <row r="36">
      <c r="A36" s="7" t="n">
        <v>15</v>
      </c>
      <c r="B36" s="8" t="n"/>
      <c r="C36" s="3" t="n"/>
    </row>
    <row r="37">
      <c r="A37" s="1" t="inlineStr">
        <is>
          <t>AMORTIZATION SCHEDULE</t>
        </is>
      </c>
    </row>
    <row r="38">
      <c r="A38" s="13" t="inlineStr">
        <is>
          <t>Payment #</t>
        </is>
      </c>
      <c r="B38" s="13" t="inlineStr">
        <is>
          <t>Date</t>
        </is>
      </c>
      <c r="C38" s="13" t="inlineStr">
        <is>
          <t>Payment</t>
        </is>
      </c>
      <c r="D38" s="13" t="inlineStr">
        <is>
          <t>Interest</t>
        </is>
      </c>
      <c r="E38" s="13" t="inlineStr">
        <is>
          <t>Principal</t>
        </is>
      </c>
      <c r="F38" s="13" t="inlineStr">
        <is>
          <t>Ending Balance</t>
        </is>
      </c>
    </row>
    <row r="39">
      <c r="A39" s="7">
        <f>IF(LoanAmount&gt;0,1,"")</f>
        <v/>
      </c>
      <c r="B39" s="4">
        <f>IF(A39&lt;&gt;"",StartDate,"")</f>
        <v/>
      </c>
      <c r="C39" s="9">
        <f>IF(A39&lt;&gt;"",MIN(MonthlyPmt,LoanAmount+D39),"")</f>
        <v/>
      </c>
      <c r="D39" s="9">
        <f>IF(A39&lt;&gt;"",ROUND(LoanAmount*AnnualRate/12,2),"")</f>
        <v/>
      </c>
      <c r="E39" s="9">
        <f>IF(A39&lt;&gt;"",MIN(LoanAmount,(C39-D39)+SUMPRODUCT(($B$10:$B$19&lt;&gt;"")*($B$10:$B$19&lt;=B39)*($D$10:$D$19="Monthly")*$C$10:$C$19)+SUMPRODUCT(($B$10:$B$19&lt;&gt;"")*($B$10:$B$19&lt;=B39)*($D$10:$D$19="Annual")*(MONTH($B$10:$B$19)=MONTH(B39))*$C$10:$C$19)+SUMPRODUCT(($B$22:$B$36&lt;&gt;"")*(YEAR($B$22:$B$36)=YEAR(B39))*(MONTH($B$22:$B$36)=MONTH(B39))*$C$22:$C$36)),"")</f>
        <v/>
      </c>
      <c r="F39" s="9">
        <f>IF(A39&lt;&gt;"",ROUND(LoanAmount-E39,2),"")</f>
        <v/>
      </c>
    </row>
    <row r="40">
      <c r="A40" s="15">
        <f>IF(AND(F39&gt;0.005,A39&lt;&gt;""),2,"")</f>
        <v/>
      </c>
      <c r="B40" s="16">
        <f>IF(A40&lt;&gt;"",EDATE(StartDate,1),"")</f>
        <v/>
      </c>
      <c r="C40" s="17">
        <f>IF(A40&lt;&gt;"",MIN(MonthlyPmt,F39+D40),"")</f>
        <v/>
      </c>
      <c r="D40" s="17">
        <f>IF(A40&lt;&gt;"",ROUND(F39*AnnualRate/12,2),"")</f>
        <v/>
      </c>
      <c r="E40" s="17">
        <f>IF(A40&lt;&gt;"",MIN(F39,(C40-D40)+SUMPRODUCT(($B$10:$B$19&lt;&gt;"")*($B$10:$B$19&lt;=B40)*($D$10:$D$19="Monthly")*$C$10:$C$19)+SUMPRODUCT(($B$10:$B$19&lt;&gt;"")*($B$10:$B$19&lt;=B40)*($D$10:$D$19="Annual")*(MONTH($B$10:$B$19)=MONTH(B40))*$C$10:$C$19)+SUMPRODUCT(($B$22:$B$36&lt;&gt;"")*(YEAR($B$22:$B$36)=YEAR(B40))*(MONTH($B$22:$B$36)=MONTH(B40))*$C$22:$C$36)),"")</f>
        <v/>
      </c>
      <c r="F40" s="17">
        <f>IF(A40&lt;&gt;"",ROUND(F39-E40,2),"")</f>
        <v/>
      </c>
    </row>
    <row r="41">
      <c r="A41" s="7">
        <f>IF(AND(F40&gt;0.005,A40&lt;&gt;""),3,"")</f>
        <v/>
      </c>
      <c r="B41" s="4">
        <f>IF(A41&lt;&gt;"",EDATE(StartDate,2),"")</f>
        <v/>
      </c>
      <c r="C41" s="9">
        <f>IF(A41&lt;&gt;"",MIN(MonthlyPmt,F40+D41),"")</f>
        <v/>
      </c>
      <c r="D41" s="9">
        <f>IF(A41&lt;&gt;"",ROUND(F40*AnnualRate/12,2),"")</f>
        <v/>
      </c>
      <c r="E41" s="9">
        <f>IF(A41&lt;&gt;"",MIN(F40,(C41-D41)+SUMPRODUCT(($B$10:$B$19&lt;&gt;"")*($B$10:$B$19&lt;=B41)*($D$10:$D$19="Monthly")*$C$10:$C$19)+SUMPRODUCT(($B$10:$B$19&lt;&gt;"")*($B$10:$B$19&lt;=B41)*($D$10:$D$19="Annual")*(MONTH($B$10:$B$19)=MONTH(B41))*$C$10:$C$19)+SUMPRODUCT(($B$22:$B$36&lt;&gt;"")*(YEAR($B$22:$B$36)=YEAR(B41))*(MONTH($B$22:$B$36)=MONTH(B41))*$C$22:$C$36)),"")</f>
        <v/>
      </c>
      <c r="F41" s="9">
        <f>IF(A41&lt;&gt;"",ROUND(F40-E41,2),"")</f>
        <v/>
      </c>
    </row>
    <row r="42">
      <c r="A42" s="15">
        <f>IF(AND(F41&gt;0.005,A41&lt;&gt;""),4,"")</f>
        <v/>
      </c>
      <c r="B42" s="16">
        <f>IF(A42&lt;&gt;"",EDATE(StartDate,3),"")</f>
        <v/>
      </c>
      <c r="C42" s="17">
        <f>IF(A42&lt;&gt;"",MIN(MonthlyPmt,F41+D42),"")</f>
        <v/>
      </c>
      <c r="D42" s="17">
        <f>IF(A42&lt;&gt;"",ROUND(F41*AnnualRate/12,2),"")</f>
        <v/>
      </c>
      <c r="E42" s="17">
        <f>IF(A42&lt;&gt;"",MIN(F41,(C42-D42)+SUMPRODUCT(($B$10:$B$19&lt;&gt;"")*($B$10:$B$19&lt;=B42)*($D$10:$D$19="Monthly")*$C$10:$C$19)+SUMPRODUCT(($B$10:$B$19&lt;&gt;"")*($B$10:$B$19&lt;=B42)*($D$10:$D$19="Annual")*(MONTH($B$10:$B$19)=MONTH(B42))*$C$10:$C$19)+SUMPRODUCT(($B$22:$B$36&lt;&gt;"")*(YEAR($B$22:$B$36)=YEAR(B42))*(MONTH($B$22:$B$36)=MONTH(B42))*$C$22:$C$36)),"")</f>
        <v/>
      </c>
      <c r="F42" s="17">
        <f>IF(A42&lt;&gt;"",ROUND(F41-E42,2),"")</f>
        <v/>
      </c>
    </row>
    <row r="43">
      <c r="A43" s="7">
        <f>IF(AND(F42&gt;0.005,A42&lt;&gt;""),5,"")</f>
        <v/>
      </c>
      <c r="B43" s="4">
        <f>IF(A43&lt;&gt;"",EDATE(StartDate,4),"")</f>
        <v/>
      </c>
      <c r="C43" s="9">
        <f>IF(A43&lt;&gt;"",MIN(MonthlyPmt,F42+D43),"")</f>
        <v/>
      </c>
      <c r="D43" s="9">
        <f>IF(A43&lt;&gt;"",ROUND(F42*AnnualRate/12,2),"")</f>
        <v/>
      </c>
      <c r="E43" s="9">
        <f>IF(A43&lt;&gt;"",MIN(F42,(C43-D43)+SUMPRODUCT(($B$10:$B$19&lt;&gt;"")*($B$10:$B$19&lt;=B43)*($D$10:$D$19="Monthly")*$C$10:$C$19)+SUMPRODUCT(($B$10:$B$19&lt;&gt;"")*($B$10:$B$19&lt;=B43)*($D$10:$D$19="Annual")*(MONTH($B$10:$B$19)=MONTH(B43))*$C$10:$C$19)+SUMPRODUCT(($B$22:$B$36&lt;&gt;"")*(YEAR($B$22:$B$36)=YEAR(B43))*(MONTH($B$22:$B$36)=MONTH(B43))*$C$22:$C$36)),"")</f>
        <v/>
      </c>
      <c r="F43" s="9">
        <f>IF(A43&lt;&gt;"",ROUND(F42-E43,2),"")</f>
        <v/>
      </c>
    </row>
    <row r="44">
      <c r="A44" s="15">
        <f>IF(AND(F43&gt;0.005,A43&lt;&gt;""),6,"")</f>
        <v/>
      </c>
      <c r="B44" s="16">
        <f>IF(A44&lt;&gt;"",EDATE(StartDate,5),"")</f>
        <v/>
      </c>
      <c r="C44" s="17">
        <f>IF(A44&lt;&gt;"",MIN(MonthlyPmt,F43+D44),"")</f>
        <v/>
      </c>
      <c r="D44" s="17">
        <f>IF(A44&lt;&gt;"",ROUND(F43*AnnualRate/12,2),"")</f>
        <v/>
      </c>
      <c r="E44" s="17">
        <f>IF(A44&lt;&gt;"",MIN(F43,(C44-D44)+SUMPRODUCT(($B$10:$B$19&lt;&gt;"")*($B$10:$B$19&lt;=B44)*($D$10:$D$19="Monthly")*$C$10:$C$19)+SUMPRODUCT(($B$10:$B$19&lt;&gt;"")*($B$10:$B$19&lt;=B44)*($D$10:$D$19="Annual")*(MONTH($B$10:$B$19)=MONTH(B44))*$C$10:$C$19)+SUMPRODUCT(($B$22:$B$36&lt;&gt;"")*(YEAR($B$22:$B$36)=YEAR(B44))*(MONTH($B$22:$B$36)=MONTH(B44))*$C$22:$C$36)),"")</f>
        <v/>
      </c>
      <c r="F44" s="17">
        <f>IF(A44&lt;&gt;"",ROUND(F43-E44,2),"")</f>
        <v/>
      </c>
    </row>
    <row r="45">
      <c r="A45" s="7">
        <f>IF(AND(F44&gt;0.005,A44&lt;&gt;""),7,"")</f>
        <v/>
      </c>
      <c r="B45" s="4">
        <f>IF(A45&lt;&gt;"",EDATE(StartDate,6),"")</f>
        <v/>
      </c>
      <c r="C45" s="9">
        <f>IF(A45&lt;&gt;"",MIN(MonthlyPmt,F44+D45),"")</f>
        <v/>
      </c>
      <c r="D45" s="9">
        <f>IF(A45&lt;&gt;"",ROUND(F44*AnnualRate/12,2),"")</f>
        <v/>
      </c>
      <c r="E45" s="9">
        <f>IF(A45&lt;&gt;"",MIN(F44,(C45-D45)+SUMPRODUCT(($B$10:$B$19&lt;&gt;"")*($B$10:$B$19&lt;=B45)*($D$10:$D$19="Monthly")*$C$10:$C$19)+SUMPRODUCT(($B$10:$B$19&lt;&gt;"")*($B$10:$B$19&lt;=B45)*($D$10:$D$19="Annual")*(MONTH($B$10:$B$19)=MONTH(B45))*$C$10:$C$19)+SUMPRODUCT(($B$22:$B$36&lt;&gt;"")*(YEAR($B$22:$B$36)=YEAR(B45))*(MONTH($B$22:$B$36)=MONTH(B45))*$C$22:$C$36)),"")</f>
        <v/>
      </c>
      <c r="F45" s="9">
        <f>IF(A45&lt;&gt;"",ROUND(F44-E45,2),"")</f>
        <v/>
      </c>
    </row>
    <row r="46">
      <c r="A46" s="15">
        <f>IF(AND(F45&gt;0.005,A45&lt;&gt;""),8,"")</f>
        <v/>
      </c>
      <c r="B46" s="16">
        <f>IF(A46&lt;&gt;"",EDATE(StartDate,7),"")</f>
        <v/>
      </c>
      <c r="C46" s="17">
        <f>IF(A46&lt;&gt;"",MIN(MonthlyPmt,F45+D46),"")</f>
        <v/>
      </c>
      <c r="D46" s="17">
        <f>IF(A46&lt;&gt;"",ROUND(F45*AnnualRate/12,2),"")</f>
        <v/>
      </c>
      <c r="E46" s="17">
        <f>IF(A46&lt;&gt;"",MIN(F45,(C46-D46)+SUMPRODUCT(($B$10:$B$19&lt;&gt;"")*($B$10:$B$19&lt;=B46)*($D$10:$D$19="Monthly")*$C$10:$C$19)+SUMPRODUCT(($B$10:$B$19&lt;&gt;"")*($B$10:$B$19&lt;=B46)*($D$10:$D$19="Annual")*(MONTH($B$10:$B$19)=MONTH(B46))*$C$10:$C$19)+SUMPRODUCT(($B$22:$B$36&lt;&gt;"")*(YEAR($B$22:$B$36)=YEAR(B46))*(MONTH($B$22:$B$36)=MONTH(B46))*$C$22:$C$36)),"")</f>
        <v/>
      </c>
      <c r="F46" s="17">
        <f>IF(A46&lt;&gt;"",ROUND(F45-E46,2),"")</f>
        <v/>
      </c>
    </row>
    <row r="47">
      <c r="A47" s="7">
        <f>IF(AND(F46&gt;0.005,A46&lt;&gt;""),9,"")</f>
        <v/>
      </c>
      <c r="B47" s="4">
        <f>IF(A47&lt;&gt;"",EDATE(StartDate,8),"")</f>
        <v/>
      </c>
      <c r="C47" s="9">
        <f>IF(A47&lt;&gt;"",MIN(MonthlyPmt,F46+D47),"")</f>
        <v/>
      </c>
      <c r="D47" s="9">
        <f>IF(A47&lt;&gt;"",ROUND(F46*AnnualRate/12,2),"")</f>
        <v/>
      </c>
      <c r="E47" s="9">
        <f>IF(A47&lt;&gt;"",MIN(F46,(C47-D47)+SUMPRODUCT(($B$10:$B$19&lt;&gt;"")*($B$10:$B$19&lt;=B47)*($D$10:$D$19="Monthly")*$C$10:$C$19)+SUMPRODUCT(($B$10:$B$19&lt;&gt;"")*($B$10:$B$19&lt;=B47)*($D$10:$D$19="Annual")*(MONTH($B$10:$B$19)=MONTH(B47))*$C$10:$C$19)+SUMPRODUCT(($B$22:$B$36&lt;&gt;"")*(YEAR($B$22:$B$36)=YEAR(B47))*(MONTH($B$22:$B$36)=MONTH(B47))*$C$22:$C$36)),"")</f>
        <v/>
      </c>
      <c r="F47" s="9">
        <f>IF(A47&lt;&gt;"",ROUND(F46-E47,2),"")</f>
        <v/>
      </c>
    </row>
    <row r="48">
      <c r="A48" s="15">
        <f>IF(AND(F47&gt;0.005,A47&lt;&gt;""),10,"")</f>
        <v/>
      </c>
      <c r="B48" s="16">
        <f>IF(A48&lt;&gt;"",EDATE(StartDate,9),"")</f>
        <v/>
      </c>
      <c r="C48" s="17">
        <f>IF(A48&lt;&gt;"",MIN(MonthlyPmt,F47+D48),"")</f>
        <v/>
      </c>
      <c r="D48" s="17">
        <f>IF(A48&lt;&gt;"",ROUND(F47*AnnualRate/12,2),"")</f>
        <v/>
      </c>
      <c r="E48" s="17">
        <f>IF(A48&lt;&gt;"",MIN(F47,(C48-D48)+SUMPRODUCT(($B$10:$B$19&lt;&gt;"")*($B$10:$B$19&lt;=B48)*($D$10:$D$19="Monthly")*$C$10:$C$19)+SUMPRODUCT(($B$10:$B$19&lt;&gt;"")*($B$10:$B$19&lt;=B48)*($D$10:$D$19="Annual")*(MONTH($B$10:$B$19)=MONTH(B48))*$C$10:$C$19)+SUMPRODUCT(($B$22:$B$36&lt;&gt;"")*(YEAR($B$22:$B$36)=YEAR(B48))*(MONTH($B$22:$B$36)=MONTH(B48))*$C$22:$C$36)),"")</f>
        <v/>
      </c>
      <c r="F48" s="17">
        <f>IF(A48&lt;&gt;"",ROUND(F47-E48,2),"")</f>
        <v/>
      </c>
    </row>
    <row r="49">
      <c r="A49" s="7">
        <f>IF(AND(F48&gt;0.005,A48&lt;&gt;""),11,"")</f>
        <v/>
      </c>
      <c r="B49" s="4">
        <f>IF(A49&lt;&gt;"",EDATE(StartDate,10),"")</f>
        <v/>
      </c>
      <c r="C49" s="9">
        <f>IF(A49&lt;&gt;"",MIN(MonthlyPmt,F48+D49),"")</f>
        <v/>
      </c>
      <c r="D49" s="9">
        <f>IF(A49&lt;&gt;"",ROUND(F48*AnnualRate/12,2),"")</f>
        <v/>
      </c>
      <c r="E49" s="9">
        <f>IF(A49&lt;&gt;"",MIN(F48,(C49-D49)+SUMPRODUCT(($B$10:$B$19&lt;&gt;"")*($B$10:$B$19&lt;=B49)*($D$10:$D$19="Monthly")*$C$10:$C$19)+SUMPRODUCT(($B$10:$B$19&lt;&gt;"")*($B$10:$B$19&lt;=B49)*($D$10:$D$19="Annual")*(MONTH($B$10:$B$19)=MONTH(B49))*$C$10:$C$19)+SUMPRODUCT(($B$22:$B$36&lt;&gt;"")*(YEAR($B$22:$B$36)=YEAR(B49))*(MONTH($B$22:$B$36)=MONTH(B49))*$C$22:$C$36)),"")</f>
        <v/>
      </c>
      <c r="F49" s="9">
        <f>IF(A49&lt;&gt;"",ROUND(F48-E49,2),"")</f>
        <v/>
      </c>
    </row>
    <row r="50">
      <c r="A50" s="15">
        <f>IF(AND(F49&gt;0.005,A49&lt;&gt;""),12,"")</f>
        <v/>
      </c>
      <c r="B50" s="16">
        <f>IF(A50&lt;&gt;"",EDATE(StartDate,11),"")</f>
        <v/>
      </c>
      <c r="C50" s="17">
        <f>IF(A50&lt;&gt;"",MIN(MonthlyPmt,F49+D50),"")</f>
        <v/>
      </c>
      <c r="D50" s="17">
        <f>IF(A50&lt;&gt;"",ROUND(F49*AnnualRate/12,2),"")</f>
        <v/>
      </c>
      <c r="E50" s="17">
        <f>IF(A50&lt;&gt;"",MIN(F49,(C50-D50)+SUMPRODUCT(($B$10:$B$19&lt;&gt;"")*($B$10:$B$19&lt;=B50)*($D$10:$D$19="Monthly")*$C$10:$C$19)+SUMPRODUCT(($B$10:$B$19&lt;&gt;"")*($B$10:$B$19&lt;=B50)*($D$10:$D$19="Annual")*(MONTH($B$10:$B$19)=MONTH(B50))*$C$10:$C$19)+SUMPRODUCT(($B$22:$B$36&lt;&gt;"")*(YEAR($B$22:$B$36)=YEAR(B50))*(MONTH($B$22:$B$36)=MONTH(B50))*$C$22:$C$36)),"")</f>
        <v/>
      </c>
      <c r="F50" s="17">
        <f>IF(A50&lt;&gt;"",ROUND(F49-E50,2),"")</f>
        <v/>
      </c>
    </row>
    <row r="51">
      <c r="A51" s="7">
        <f>IF(AND(F50&gt;0.005,A50&lt;&gt;""),13,"")</f>
        <v/>
      </c>
      <c r="B51" s="4">
        <f>IF(A51&lt;&gt;"",EDATE(StartDate,12),"")</f>
        <v/>
      </c>
      <c r="C51" s="9">
        <f>IF(A51&lt;&gt;"",MIN(MonthlyPmt,F50+D51),"")</f>
        <v/>
      </c>
      <c r="D51" s="9">
        <f>IF(A51&lt;&gt;"",ROUND(F50*AnnualRate/12,2),"")</f>
        <v/>
      </c>
      <c r="E51" s="9">
        <f>IF(A51&lt;&gt;"",MIN(F50,(C51-D51)+SUMPRODUCT(($B$10:$B$19&lt;&gt;"")*($B$10:$B$19&lt;=B51)*($D$10:$D$19="Monthly")*$C$10:$C$19)+SUMPRODUCT(($B$10:$B$19&lt;&gt;"")*($B$10:$B$19&lt;=B51)*($D$10:$D$19="Annual")*(MONTH($B$10:$B$19)=MONTH(B51))*$C$10:$C$19)+SUMPRODUCT(($B$22:$B$36&lt;&gt;"")*(YEAR($B$22:$B$36)=YEAR(B51))*(MONTH($B$22:$B$36)=MONTH(B51))*$C$22:$C$36)),"")</f>
        <v/>
      </c>
      <c r="F51" s="9">
        <f>IF(A51&lt;&gt;"",ROUND(F50-E51,2),"")</f>
        <v/>
      </c>
    </row>
    <row r="52">
      <c r="A52" s="15">
        <f>IF(AND(F51&gt;0.005,A51&lt;&gt;""),14,"")</f>
        <v/>
      </c>
      <c r="B52" s="16">
        <f>IF(A52&lt;&gt;"",EDATE(StartDate,13),"")</f>
        <v/>
      </c>
      <c r="C52" s="17">
        <f>IF(A52&lt;&gt;"",MIN(MonthlyPmt,F51+D52),"")</f>
        <v/>
      </c>
      <c r="D52" s="17">
        <f>IF(A52&lt;&gt;"",ROUND(F51*AnnualRate/12,2),"")</f>
        <v/>
      </c>
      <c r="E52" s="17">
        <f>IF(A52&lt;&gt;"",MIN(F51,(C52-D52)+SUMPRODUCT(($B$10:$B$19&lt;&gt;"")*($B$10:$B$19&lt;=B52)*($D$10:$D$19="Monthly")*$C$10:$C$19)+SUMPRODUCT(($B$10:$B$19&lt;&gt;"")*($B$10:$B$19&lt;=B52)*($D$10:$D$19="Annual")*(MONTH($B$10:$B$19)=MONTH(B52))*$C$10:$C$19)+SUMPRODUCT(($B$22:$B$36&lt;&gt;"")*(YEAR($B$22:$B$36)=YEAR(B52))*(MONTH($B$22:$B$36)=MONTH(B52))*$C$22:$C$36)),"")</f>
        <v/>
      </c>
      <c r="F52" s="17">
        <f>IF(A52&lt;&gt;"",ROUND(F51-E52,2),"")</f>
        <v/>
      </c>
    </row>
    <row r="53">
      <c r="A53" s="7">
        <f>IF(AND(F52&gt;0.005,A52&lt;&gt;""),15,"")</f>
        <v/>
      </c>
      <c r="B53" s="4">
        <f>IF(A53&lt;&gt;"",EDATE(StartDate,14),"")</f>
        <v/>
      </c>
      <c r="C53" s="9">
        <f>IF(A53&lt;&gt;"",MIN(MonthlyPmt,F52+D53),"")</f>
        <v/>
      </c>
      <c r="D53" s="9">
        <f>IF(A53&lt;&gt;"",ROUND(F52*AnnualRate/12,2),"")</f>
        <v/>
      </c>
      <c r="E53" s="9">
        <f>IF(A53&lt;&gt;"",MIN(F52,(C53-D53)+SUMPRODUCT(($B$10:$B$19&lt;&gt;"")*($B$10:$B$19&lt;=B53)*($D$10:$D$19="Monthly")*$C$10:$C$19)+SUMPRODUCT(($B$10:$B$19&lt;&gt;"")*($B$10:$B$19&lt;=B53)*($D$10:$D$19="Annual")*(MONTH($B$10:$B$19)=MONTH(B53))*$C$10:$C$19)+SUMPRODUCT(($B$22:$B$36&lt;&gt;"")*(YEAR($B$22:$B$36)=YEAR(B53))*(MONTH($B$22:$B$36)=MONTH(B53))*$C$22:$C$36)),"")</f>
        <v/>
      </c>
      <c r="F53" s="9">
        <f>IF(A53&lt;&gt;"",ROUND(F52-E53,2),"")</f>
        <v/>
      </c>
    </row>
    <row r="54">
      <c r="A54" s="15">
        <f>IF(AND(F53&gt;0.005,A53&lt;&gt;""),16,"")</f>
        <v/>
      </c>
      <c r="B54" s="16">
        <f>IF(A54&lt;&gt;"",EDATE(StartDate,15),"")</f>
        <v/>
      </c>
      <c r="C54" s="17">
        <f>IF(A54&lt;&gt;"",MIN(MonthlyPmt,F53+D54),"")</f>
        <v/>
      </c>
      <c r="D54" s="17">
        <f>IF(A54&lt;&gt;"",ROUND(F53*AnnualRate/12,2),"")</f>
        <v/>
      </c>
      <c r="E54" s="17">
        <f>IF(A54&lt;&gt;"",MIN(F53,(C54-D54)+SUMPRODUCT(($B$10:$B$19&lt;&gt;"")*($B$10:$B$19&lt;=B54)*($D$10:$D$19="Monthly")*$C$10:$C$19)+SUMPRODUCT(($B$10:$B$19&lt;&gt;"")*($B$10:$B$19&lt;=B54)*($D$10:$D$19="Annual")*(MONTH($B$10:$B$19)=MONTH(B54))*$C$10:$C$19)+SUMPRODUCT(($B$22:$B$36&lt;&gt;"")*(YEAR($B$22:$B$36)=YEAR(B54))*(MONTH($B$22:$B$36)=MONTH(B54))*$C$22:$C$36)),"")</f>
        <v/>
      </c>
      <c r="F54" s="17">
        <f>IF(A54&lt;&gt;"",ROUND(F53-E54,2),"")</f>
        <v/>
      </c>
    </row>
    <row r="55">
      <c r="A55" s="7">
        <f>IF(AND(F54&gt;0.005,A54&lt;&gt;""),17,"")</f>
        <v/>
      </c>
      <c r="B55" s="4">
        <f>IF(A55&lt;&gt;"",EDATE(StartDate,16),"")</f>
        <v/>
      </c>
      <c r="C55" s="9">
        <f>IF(A55&lt;&gt;"",MIN(MonthlyPmt,F54+D55),"")</f>
        <v/>
      </c>
      <c r="D55" s="9">
        <f>IF(A55&lt;&gt;"",ROUND(F54*AnnualRate/12,2),"")</f>
        <v/>
      </c>
      <c r="E55" s="9">
        <f>IF(A55&lt;&gt;"",MIN(F54,(C55-D55)+SUMPRODUCT(($B$10:$B$19&lt;&gt;"")*($B$10:$B$19&lt;=B55)*($D$10:$D$19="Monthly")*$C$10:$C$19)+SUMPRODUCT(($B$10:$B$19&lt;&gt;"")*($B$10:$B$19&lt;=B55)*($D$10:$D$19="Annual")*(MONTH($B$10:$B$19)=MONTH(B55))*$C$10:$C$19)+SUMPRODUCT(($B$22:$B$36&lt;&gt;"")*(YEAR($B$22:$B$36)=YEAR(B55))*(MONTH($B$22:$B$36)=MONTH(B55))*$C$22:$C$36)),"")</f>
        <v/>
      </c>
      <c r="F55" s="9">
        <f>IF(A55&lt;&gt;"",ROUND(F54-E55,2),"")</f>
        <v/>
      </c>
    </row>
    <row r="56">
      <c r="A56" s="15">
        <f>IF(AND(F55&gt;0.005,A55&lt;&gt;""),18,"")</f>
        <v/>
      </c>
      <c r="B56" s="16">
        <f>IF(A56&lt;&gt;"",EDATE(StartDate,17),"")</f>
        <v/>
      </c>
      <c r="C56" s="17">
        <f>IF(A56&lt;&gt;"",MIN(MonthlyPmt,F55+D56),"")</f>
        <v/>
      </c>
      <c r="D56" s="17">
        <f>IF(A56&lt;&gt;"",ROUND(F55*AnnualRate/12,2),"")</f>
        <v/>
      </c>
      <c r="E56" s="17">
        <f>IF(A56&lt;&gt;"",MIN(F55,(C56-D56)+SUMPRODUCT(($B$10:$B$19&lt;&gt;"")*($B$10:$B$19&lt;=B56)*($D$10:$D$19="Monthly")*$C$10:$C$19)+SUMPRODUCT(($B$10:$B$19&lt;&gt;"")*($B$10:$B$19&lt;=B56)*($D$10:$D$19="Annual")*(MONTH($B$10:$B$19)=MONTH(B56))*$C$10:$C$19)+SUMPRODUCT(($B$22:$B$36&lt;&gt;"")*(YEAR($B$22:$B$36)=YEAR(B56))*(MONTH($B$22:$B$36)=MONTH(B56))*$C$22:$C$36)),"")</f>
        <v/>
      </c>
      <c r="F56" s="17">
        <f>IF(A56&lt;&gt;"",ROUND(F55-E56,2),"")</f>
        <v/>
      </c>
    </row>
    <row r="57">
      <c r="A57" s="7">
        <f>IF(AND(F56&gt;0.005,A56&lt;&gt;""),19,"")</f>
        <v/>
      </c>
      <c r="B57" s="4">
        <f>IF(A57&lt;&gt;"",EDATE(StartDate,18),"")</f>
        <v/>
      </c>
      <c r="C57" s="9">
        <f>IF(A57&lt;&gt;"",MIN(MonthlyPmt,F56+D57),"")</f>
        <v/>
      </c>
      <c r="D57" s="9">
        <f>IF(A57&lt;&gt;"",ROUND(F56*AnnualRate/12,2),"")</f>
        <v/>
      </c>
      <c r="E57" s="9">
        <f>IF(A57&lt;&gt;"",MIN(F56,(C57-D57)+SUMPRODUCT(($B$10:$B$19&lt;&gt;"")*($B$10:$B$19&lt;=B57)*($D$10:$D$19="Monthly")*$C$10:$C$19)+SUMPRODUCT(($B$10:$B$19&lt;&gt;"")*($B$10:$B$19&lt;=B57)*($D$10:$D$19="Annual")*(MONTH($B$10:$B$19)=MONTH(B57))*$C$10:$C$19)+SUMPRODUCT(($B$22:$B$36&lt;&gt;"")*(YEAR($B$22:$B$36)=YEAR(B57))*(MONTH($B$22:$B$36)=MONTH(B57))*$C$22:$C$36)),"")</f>
        <v/>
      </c>
      <c r="F57" s="9">
        <f>IF(A57&lt;&gt;"",ROUND(F56-E57,2),"")</f>
        <v/>
      </c>
    </row>
    <row r="58">
      <c r="A58" s="15">
        <f>IF(AND(F57&gt;0.005,A57&lt;&gt;""),20,"")</f>
        <v/>
      </c>
      <c r="B58" s="16">
        <f>IF(A58&lt;&gt;"",EDATE(StartDate,19),"")</f>
        <v/>
      </c>
      <c r="C58" s="17">
        <f>IF(A58&lt;&gt;"",MIN(MonthlyPmt,F57+D58),"")</f>
        <v/>
      </c>
      <c r="D58" s="17">
        <f>IF(A58&lt;&gt;"",ROUND(F57*AnnualRate/12,2),"")</f>
        <v/>
      </c>
      <c r="E58" s="17">
        <f>IF(A58&lt;&gt;"",MIN(F57,(C58-D58)+SUMPRODUCT(($B$10:$B$19&lt;&gt;"")*($B$10:$B$19&lt;=B58)*($D$10:$D$19="Monthly")*$C$10:$C$19)+SUMPRODUCT(($B$10:$B$19&lt;&gt;"")*($B$10:$B$19&lt;=B58)*($D$10:$D$19="Annual")*(MONTH($B$10:$B$19)=MONTH(B58))*$C$10:$C$19)+SUMPRODUCT(($B$22:$B$36&lt;&gt;"")*(YEAR($B$22:$B$36)=YEAR(B58))*(MONTH($B$22:$B$36)=MONTH(B58))*$C$22:$C$36)),"")</f>
        <v/>
      </c>
      <c r="F58" s="17">
        <f>IF(A58&lt;&gt;"",ROUND(F57-E58,2),"")</f>
        <v/>
      </c>
    </row>
    <row r="59">
      <c r="A59" s="7">
        <f>IF(AND(F58&gt;0.005,A58&lt;&gt;""),21,"")</f>
        <v/>
      </c>
      <c r="B59" s="4">
        <f>IF(A59&lt;&gt;"",EDATE(StartDate,20),"")</f>
        <v/>
      </c>
      <c r="C59" s="9">
        <f>IF(A59&lt;&gt;"",MIN(MonthlyPmt,F58+D59),"")</f>
        <v/>
      </c>
      <c r="D59" s="9">
        <f>IF(A59&lt;&gt;"",ROUND(F58*AnnualRate/12,2),"")</f>
        <v/>
      </c>
      <c r="E59" s="9">
        <f>IF(A59&lt;&gt;"",MIN(F58,(C59-D59)+SUMPRODUCT(($B$10:$B$19&lt;&gt;"")*($B$10:$B$19&lt;=B59)*($D$10:$D$19="Monthly")*$C$10:$C$19)+SUMPRODUCT(($B$10:$B$19&lt;&gt;"")*($B$10:$B$19&lt;=B59)*($D$10:$D$19="Annual")*(MONTH($B$10:$B$19)=MONTH(B59))*$C$10:$C$19)+SUMPRODUCT(($B$22:$B$36&lt;&gt;"")*(YEAR($B$22:$B$36)=YEAR(B59))*(MONTH($B$22:$B$36)=MONTH(B59))*$C$22:$C$36)),"")</f>
        <v/>
      </c>
      <c r="F59" s="9">
        <f>IF(A59&lt;&gt;"",ROUND(F58-E59,2),"")</f>
        <v/>
      </c>
    </row>
    <row r="60">
      <c r="A60" s="15">
        <f>IF(AND(F59&gt;0.005,A59&lt;&gt;""),22,"")</f>
        <v/>
      </c>
      <c r="B60" s="16">
        <f>IF(A60&lt;&gt;"",EDATE(StartDate,21),"")</f>
        <v/>
      </c>
      <c r="C60" s="17">
        <f>IF(A60&lt;&gt;"",MIN(MonthlyPmt,F59+D60),"")</f>
        <v/>
      </c>
      <c r="D60" s="17">
        <f>IF(A60&lt;&gt;"",ROUND(F59*AnnualRate/12,2),"")</f>
        <v/>
      </c>
      <c r="E60" s="17">
        <f>IF(A60&lt;&gt;"",MIN(F59,(C60-D60)+SUMPRODUCT(($B$10:$B$19&lt;&gt;"")*($B$10:$B$19&lt;=B60)*($D$10:$D$19="Monthly")*$C$10:$C$19)+SUMPRODUCT(($B$10:$B$19&lt;&gt;"")*($B$10:$B$19&lt;=B60)*($D$10:$D$19="Annual")*(MONTH($B$10:$B$19)=MONTH(B60))*$C$10:$C$19)+SUMPRODUCT(($B$22:$B$36&lt;&gt;"")*(YEAR($B$22:$B$36)=YEAR(B60))*(MONTH($B$22:$B$36)=MONTH(B60))*$C$22:$C$36)),"")</f>
        <v/>
      </c>
      <c r="F60" s="17">
        <f>IF(A60&lt;&gt;"",ROUND(F59-E60,2),"")</f>
        <v/>
      </c>
    </row>
    <row r="61">
      <c r="A61" s="7">
        <f>IF(AND(F60&gt;0.005,A60&lt;&gt;""),23,"")</f>
        <v/>
      </c>
      <c r="B61" s="4">
        <f>IF(A61&lt;&gt;"",EDATE(StartDate,22),"")</f>
        <v/>
      </c>
      <c r="C61" s="9">
        <f>IF(A61&lt;&gt;"",MIN(MonthlyPmt,F60+D61),"")</f>
        <v/>
      </c>
      <c r="D61" s="9">
        <f>IF(A61&lt;&gt;"",ROUND(F60*AnnualRate/12,2),"")</f>
        <v/>
      </c>
      <c r="E61" s="9">
        <f>IF(A61&lt;&gt;"",MIN(F60,(C61-D61)+SUMPRODUCT(($B$10:$B$19&lt;&gt;"")*($B$10:$B$19&lt;=B61)*($D$10:$D$19="Monthly")*$C$10:$C$19)+SUMPRODUCT(($B$10:$B$19&lt;&gt;"")*($B$10:$B$19&lt;=B61)*($D$10:$D$19="Annual")*(MONTH($B$10:$B$19)=MONTH(B61))*$C$10:$C$19)+SUMPRODUCT(($B$22:$B$36&lt;&gt;"")*(YEAR($B$22:$B$36)=YEAR(B61))*(MONTH($B$22:$B$36)=MONTH(B61))*$C$22:$C$36)),"")</f>
        <v/>
      </c>
      <c r="F61" s="9">
        <f>IF(A61&lt;&gt;"",ROUND(F60-E61,2),"")</f>
        <v/>
      </c>
    </row>
    <row r="62">
      <c r="A62" s="15">
        <f>IF(AND(F61&gt;0.005,A61&lt;&gt;""),24,"")</f>
        <v/>
      </c>
      <c r="B62" s="16">
        <f>IF(A62&lt;&gt;"",EDATE(StartDate,23),"")</f>
        <v/>
      </c>
      <c r="C62" s="17">
        <f>IF(A62&lt;&gt;"",MIN(MonthlyPmt,F61+D62),"")</f>
        <v/>
      </c>
      <c r="D62" s="17">
        <f>IF(A62&lt;&gt;"",ROUND(F61*AnnualRate/12,2),"")</f>
        <v/>
      </c>
      <c r="E62" s="17">
        <f>IF(A62&lt;&gt;"",MIN(F61,(C62-D62)+SUMPRODUCT(($B$10:$B$19&lt;&gt;"")*($B$10:$B$19&lt;=B62)*($D$10:$D$19="Monthly")*$C$10:$C$19)+SUMPRODUCT(($B$10:$B$19&lt;&gt;"")*($B$10:$B$19&lt;=B62)*($D$10:$D$19="Annual")*(MONTH($B$10:$B$19)=MONTH(B62))*$C$10:$C$19)+SUMPRODUCT(($B$22:$B$36&lt;&gt;"")*(YEAR($B$22:$B$36)=YEAR(B62))*(MONTH($B$22:$B$36)=MONTH(B62))*$C$22:$C$36)),"")</f>
        <v/>
      </c>
      <c r="F62" s="17">
        <f>IF(A62&lt;&gt;"",ROUND(F61-E62,2),"")</f>
        <v/>
      </c>
    </row>
    <row r="63">
      <c r="A63" s="7">
        <f>IF(AND(F62&gt;0.005,A62&lt;&gt;""),25,"")</f>
        <v/>
      </c>
      <c r="B63" s="4">
        <f>IF(A63&lt;&gt;"",EDATE(StartDate,24),"")</f>
        <v/>
      </c>
      <c r="C63" s="9">
        <f>IF(A63&lt;&gt;"",MIN(MonthlyPmt,F62+D63),"")</f>
        <v/>
      </c>
      <c r="D63" s="9">
        <f>IF(A63&lt;&gt;"",ROUND(F62*AnnualRate/12,2),"")</f>
        <v/>
      </c>
      <c r="E63" s="9">
        <f>IF(A63&lt;&gt;"",MIN(F62,(C63-D63)+SUMPRODUCT(($B$10:$B$19&lt;&gt;"")*($B$10:$B$19&lt;=B63)*($D$10:$D$19="Monthly")*$C$10:$C$19)+SUMPRODUCT(($B$10:$B$19&lt;&gt;"")*($B$10:$B$19&lt;=B63)*($D$10:$D$19="Annual")*(MONTH($B$10:$B$19)=MONTH(B63))*$C$10:$C$19)+SUMPRODUCT(($B$22:$B$36&lt;&gt;"")*(YEAR($B$22:$B$36)=YEAR(B63))*(MONTH($B$22:$B$36)=MONTH(B63))*$C$22:$C$36)),"")</f>
        <v/>
      </c>
      <c r="F63" s="9">
        <f>IF(A63&lt;&gt;"",ROUND(F62-E63,2),"")</f>
        <v/>
      </c>
    </row>
    <row r="64">
      <c r="A64" s="15">
        <f>IF(AND(F63&gt;0.005,A63&lt;&gt;""),26,"")</f>
        <v/>
      </c>
      <c r="B64" s="16">
        <f>IF(A64&lt;&gt;"",EDATE(StartDate,25),"")</f>
        <v/>
      </c>
      <c r="C64" s="17">
        <f>IF(A64&lt;&gt;"",MIN(MonthlyPmt,F63+D64),"")</f>
        <v/>
      </c>
      <c r="D64" s="17">
        <f>IF(A64&lt;&gt;"",ROUND(F63*AnnualRate/12,2),"")</f>
        <v/>
      </c>
      <c r="E64" s="17">
        <f>IF(A64&lt;&gt;"",MIN(F63,(C64-D64)+SUMPRODUCT(($B$10:$B$19&lt;&gt;"")*($B$10:$B$19&lt;=B64)*($D$10:$D$19="Monthly")*$C$10:$C$19)+SUMPRODUCT(($B$10:$B$19&lt;&gt;"")*($B$10:$B$19&lt;=B64)*($D$10:$D$19="Annual")*(MONTH($B$10:$B$19)=MONTH(B64))*$C$10:$C$19)+SUMPRODUCT(($B$22:$B$36&lt;&gt;"")*(YEAR($B$22:$B$36)=YEAR(B64))*(MONTH($B$22:$B$36)=MONTH(B64))*$C$22:$C$36)),"")</f>
        <v/>
      </c>
      <c r="F64" s="17">
        <f>IF(A64&lt;&gt;"",ROUND(F63-E64,2),"")</f>
        <v/>
      </c>
    </row>
    <row r="65">
      <c r="A65" s="7">
        <f>IF(AND(F64&gt;0.005,A64&lt;&gt;""),27,"")</f>
        <v/>
      </c>
      <c r="B65" s="4">
        <f>IF(A65&lt;&gt;"",EDATE(StartDate,26),"")</f>
        <v/>
      </c>
      <c r="C65" s="9">
        <f>IF(A65&lt;&gt;"",MIN(MonthlyPmt,F64+D65),"")</f>
        <v/>
      </c>
      <c r="D65" s="9">
        <f>IF(A65&lt;&gt;"",ROUND(F64*AnnualRate/12,2),"")</f>
        <v/>
      </c>
      <c r="E65" s="9">
        <f>IF(A65&lt;&gt;"",MIN(F64,(C65-D65)+SUMPRODUCT(($B$10:$B$19&lt;&gt;"")*($B$10:$B$19&lt;=B65)*($D$10:$D$19="Monthly")*$C$10:$C$19)+SUMPRODUCT(($B$10:$B$19&lt;&gt;"")*($B$10:$B$19&lt;=B65)*($D$10:$D$19="Annual")*(MONTH($B$10:$B$19)=MONTH(B65))*$C$10:$C$19)+SUMPRODUCT(($B$22:$B$36&lt;&gt;"")*(YEAR($B$22:$B$36)=YEAR(B65))*(MONTH($B$22:$B$36)=MONTH(B65))*$C$22:$C$36)),"")</f>
        <v/>
      </c>
      <c r="F65" s="9">
        <f>IF(A65&lt;&gt;"",ROUND(F64-E65,2),"")</f>
        <v/>
      </c>
    </row>
    <row r="66">
      <c r="A66" s="15">
        <f>IF(AND(F65&gt;0.005,A65&lt;&gt;""),28,"")</f>
        <v/>
      </c>
      <c r="B66" s="16">
        <f>IF(A66&lt;&gt;"",EDATE(StartDate,27),"")</f>
        <v/>
      </c>
      <c r="C66" s="17">
        <f>IF(A66&lt;&gt;"",MIN(MonthlyPmt,F65+D66),"")</f>
        <v/>
      </c>
      <c r="D66" s="17">
        <f>IF(A66&lt;&gt;"",ROUND(F65*AnnualRate/12,2),"")</f>
        <v/>
      </c>
      <c r="E66" s="17">
        <f>IF(A66&lt;&gt;"",MIN(F65,(C66-D66)+SUMPRODUCT(($B$10:$B$19&lt;&gt;"")*($B$10:$B$19&lt;=B66)*($D$10:$D$19="Monthly")*$C$10:$C$19)+SUMPRODUCT(($B$10:$B$19&lt;&gt;"")*($B$10:$B$19&lt;=B66)*($D$10:$D$19="Annual")*(MONTH($B$10:$B$19)=MONTH(B66))*$C$10:$C$19)+SUMPRODUCT(($B$22:$B$36&lt;&gt;"")*(YEAR($B$22:$B$36)=YEAR(B66))*(MONTH($B$22:$B$36)=MONTH(B66))*$C$22:$C$36)),"")</f>
        <v/>
      </c>
      <c r="F66" s="17">
        <f>IF(A66&lt;&gt;"",ROUND(F65-E66,2),"")</f>
        <v/>
      </c>
    </row>
    <row r="67">
      <c r="A67" s="7">
        <f>IF(AND(F66&gt;0.005,A66&lt;&gt;""),29,"")</f>
        <v/>
      </c>
      <c r="B67" s="4">
        <f>IF(A67&lt;&gt;"",EDATE(StartDate,28),"")</f>
        <v/>
      </c>
      <c r="C67" s="9">
        <f>IF(A67&lt;&gt;"",MIN(MonthlyPmt,F66+D67),"")</f>
        <v/>
      </c>
      <c r="D67" s="9">
        <f>IF(A67&lt;&gt;"",ROUND(F66*AnnualRate/12,2),"")</f>
        <v/>
      </c>
      <c r="E67" s="9">
        <f>IF(A67&lt;&gt;"",MIN(F66,(C67-D67)+SUMPRODUCT(($B$10:$B$19&lt;&gt;"")*($B$10:$B$19&lt;=B67)*($D$10:$D$19="Monthly")*$C$10:$C$19)+SUMPRODUCT(($B$10:$B$19&lt;&gt;"")*($B$10:$B$19&lt;=B67)*($D$10:$D$19="Annual")*(MONTH($B$10:$B$19)=MONTH(B67))*$C$10:$C$19)+SUMPRODUCT(($B$22:$B$36&lt;&gt;"")*(YEAR($B$22:$B$36)=YEAR(B67))*(MONTH($B$22:$B$36)=MONTH(B67))*$C$22:$C$36)),"")</f>
        <v/>
      </c>
      <c r="F67" s="9">
        <f>IF(A67&lt;&gt;"",ROUND(F66-E67,2),"")</f>
        <v/>
      </c>
    </row>
    <row r="68">
      <c r="A68" s="15">
        <f>IF(AND(F67&gt;0.005,A67&lt;&gt;""),30,"")</f>
        <v/>
      </c>
      <c r="B68" s="16">
        <f>IF(A68&lt;&gt;"",EDATE(StartDate,29),"")</f>
        <v/>
      </c>
      <c r="C68" s="17">
        <f>IF(A68&lt;&gt;"",MIN(MonthlyPmt,F67+D68),"")</f>
        <v/>
      </c>
      <c r="D68" s="17">
        <f>IF(A68&lt;&gt;"",ROUND(F67*AnnualRate/12,2),"")</f>
        <v/>
      </c>
      <c r="E68" s="17">
        <f>IF(A68&lt;&gt;"",MIN(F67,(C68-D68)+SUMPRODUCT(($B$10:$B$19&lt;&gt;"")*($B$10:$B$19&lt;=B68)*($D$10:$D$19="Monthly")*$C$10:$C$19)+SUMPRODUCT(($B$10:$B$19&lt;&gt;"")*($B$10:$B$19&lt;=B68)*($D$10:$D$19="Annual")*(MONTH($B$10:$B$19)=MONTH(B68))*$C$10:$C$19)+SUMPRODUCT(($B$22:$B$36&lt;&gt;"")*(YEAR($B$22:$B$36)=YEAR(B68))*(MONTH($B$22:$B$36)=MONTH(B68))*$C$22:$C$36)),"")</f>
        <v/>
      </c>
      <c r="F68" s="17">
        <f>IF(A68&lt;&gt;"",ROUND(F67-E68,2),"")</f>
        <v/>
      </c>
    </row>
    <row r="69">
      <c r="A69" s="7">
        <f>IF(AND(F68&gt;0.005,A68&lt;&gt;""),31,"")</f>
        <v/>
      </c>
      <c r="B69" s="4">
        <f>IF(A69&lt;&gt;"",EDATE(StartDate,30),"")</f>
        <v/>
      </c>
      <c r="C69" s="9">
        <f>IF(A69&lt;&gt;"",MIN(MonthlyPmt,F68+D69),"")</f>
        <v/>
      </c>
      <c r="D69" s="9">
        <f>IF(A69&lt;&gt;"",ROUND(F68*AnnualRate/12,2),"")</f>
        <v/>
      </c>
      <c r="E69" s="9">
        <f>IF(A69&lt;&gt;"",MIN(F68,(C69-D69)+SUMPRODUCT(($B$10:$B$19&lt;&gt;"")*($B$10:$B$19&lt;=B69)*($D$10:$D$19="Monthly")*$C$10:$C$19)+SUMPRODUCT(($B$10:$B$19&lt;&gt;"")*($B$10:$B$19&lt;=B69)*($D$10:$D$19="Annual")*(MONTH($B$10:$B$19)=MONTH(B69))*$C$10:$C$19)+SUMPRODUCT(($B$22:$B$36&lt;&gt;"")*(YEAR($B$22:$B$36)=YEAR(B69))*(MONTH($B$22:$B$36)=MONTH(B69))*$C$22:$C$36)),"")</f>
        <v/>
      </c>
      <c r="F69" s="9">
        <f>IF(A69&lt;&gt;"",ROUND(F68-E69,2),"")</f>
        <v/>
      </c>
    </row>
    <row r="70">
      <c r="A70" s="15">
        <f>IF(AND(F69&gt;0.005,A69&lt;&gt;""),32,"")</f>
        <v/>
      </c>
      <c r="B70" s="16">
        <f>IF(A70&lt;&gt;"",EDATE(StartDate,31),"")</f>
        <v/>
      </c>
      <c r="C70" s="17">
        <f>IF(A70&lt;&gt;"",MIN(MonthlyPmt,F69+D70),"")</f>
        <v/>
      </c>
      <c r="D70" s="17">
        <f>IF(A70&lt;&gt;"",ROUND(F69*AnnualRate/12,2),"")</f>
        <v/>
      </c>
      <c r="E70" s="17">
        <f>IF(A70&lt;&gt;"",MIN(F69,(C70-D70)+SUMPRODUCT(($B$10:$B$19&lt;&gt;"")*($B$10:$B$19&lt;=B70)*($D$10:$D$19="Monthly")*$C$10:$C$19)+SUMPRODUCT(($B$10:$B$19&lt;&gt;"")*($B$10:$B$19&lt;=B70)*($D$10:$D$19="Annual")*(MONTH($B$10:$B$19)=MONTH(B70))*$C$10:$C$19)+SUMPRODUCT(($B$22:$B$36&lt;&gt;"")*(YEAR($B$22:$B$36)=YEAR(B70))*(MONTH($B$22:$B$36)=MONTH(B70))*$C$22:$C$36)),"")</f>
        <v/>
      </c>
      <c r="F70" s="17">
        <f>IF(A70&lt;&gt;"",ROUND(F69-E70,2),"")</f>
        <v/>
      </c>
    </row>
    <row r="71">
      <c r="A71" s="7">
        <f>IF(AND(F70&gt;0.005,A70&lt;&gt;""),33,"")</f>
        <v/>
      </c>
      <c r="B71" s="4">
        <f>IF(A71&lt;&gt;"",EDATE(StartDate,32),"")</f>
        <v/>
      </c>
      <c r="C71" s="9">
        <f>IF(A71&lt;&gt;"",MIN(MonthlyPmt,F70+D71),"")</f>
        <v/>
      </c>
      <c r="D71" s="9">
        <f>IF(A71&lt;&gt;"",ROUND(F70*AnnualRate/12,2),"")</f>
        <v/>
      </c>
      <c r="E71" s="9">
        <f>IF(A71&lt;&gt;"",MIN(F70,(C71-D71)+SUMPRODUCT(($B$10:$B$19&lt;&gt;"")*($B$10:$B$19&lt;=B71)*($D$10:$D$19="Monthly")*$C$10:$C$19)+SUMPRODUCT(($B$10:$B$19&lt;&gt;"")*($B$10:$B$19&lt;=B71)*($D$10:$D$19="Annual")*(MONTH($B$10:$B$19)=MONTH(B71))*$C$10:$C$19)+SUMPRODUCT(($B$22:$B$36&lt;&gt;"")*(YEAR($B$22:$B$36)=YEAR(B71))*(MONTH($B$22:$B$36)=MONTH(B71))*$C$22:$C$36)),"")</f>
        <v/>
      </c>
      <c r="F71" s="9">
        <f>IF(A71&lt;&gt;"",ROUND(F70-E71,2),"")</f>
        <v/>
      </c>
    </row>
    <row r="72">
      <c r="A72" s="15">
        <f>IF(AND(F71&gt;0.005,A71&lt;&gt;""),34,"")</f>
        <v/>
      </c>
      <c r="B72" s="16">
        <f>IF(A72&lt;&gt;"",EDATE(StartDate,33),"")</f>
        <v/>
      </c>
      <c r="C72" s="17">
        <f>IF(A72&lt;&gt;"",MIN(MonthlyPmt,F71+D72),"")</f>
        <v/>
      </c>
      <c r="D72" s="17">
        <f>IF(A72&lt;&gt;"",ROUND(F71*AnnualRate/12,2),"")</f>
        <v/>
      </c>
      <c r="E72" s="17">
        <f>IF(A72&lt;&gt;"",MIN(F71,(C72-D72)+SUMPRODUCT(($B$10:$B$19&lt;&gt;"")*($B$10:$B$19&lt;=B72)*($D$10:$D$19="Monthly")*$C$10:$C$19)+SUMPRODUCT(($B$10:$B$19&lt;&gt;"")*($B$10:$B$19&lt;=B72)*($D$10:$D$19="Annual")*(MONTH($B$10:$B$19)=MONTH(B72))*$C$10:$C$19)+SUMPRODUCT(($B$22:$B$36&lt;&gt;"")*(YEAR($B$22:$B$36)=YEAR(B72))*(MONTH($B$22:$B$36)=MONTH(B72))*$C$22:$C$36)),"")</f>
        <v/>
      </c>
      <c r="F72" s="17">
        <f>IF(A72&lt;&gt;"",ROUND(F71-E72,2),"")</f>
        <v/>
      </c>
    </row>
    <row r="73">
      <c r="A73" s="7">
        <f>IF(AND(F72&gt;0.005,A72&lt;&gt;""),35,"")</f>
        <v/>
      </c>
      <c r="B73" s="4">
        <f>IF(A73&lt;&gt;"",EDATE(StartDate,34),"")</f>
        <v/>
      </c>
      <c r="C73" s="9">
        <f>IF(A73&lt;&gt;"",MIN(MonthlyPmt,F72+D73),"")</f>
        <v/>
      </c>
      <c r="D73" s="9">
        <f>IF(A73&lt;&gt;"",ROUND(F72*AnnualRate/12,2),"")</f>
        <v/>
      </c>
      <c r="E73" s="9">
        <f>IF(A73&lt;&gt;"",MIN(F72,(C73-D73)+SUMPRODUCT(($B$10:$B$19&lt;&gt;"")*($B$10:$B$19&lt;=B73)*($D$10:$D$19="Monthly")*$C$10:$C$19)+SUMPRODUCT(($B$10:$B$19&lt;&gt;"")*($B$10:$B$19&lt;=B73)*($D$10:$D$19="Annual")*(MONTH($B$10:$B$19)=MONTH(B73))*$C$10:$C$19)+SUMPRODUCT(($B$22:$B$36&lt;&gt;"")*(YEAR($B$22:$B$36)=YEAR(B73))*(MONTH($B$22:$B$36)=MONTH(B73))*$C$22:$C$36)),"")</f>
        <v/>
      </c>
      <c r="F73" s="9">
        <f>IF(A73&lt;&gt;"",ROUND(F72-E73,2),"")</f>
        <v/>
      </c>
    </row>
    <row r="74">
      <c r="A74" s="15">
        <f>IF(AND(F73&gt;0.005,A73&lt;&gt;""),36,"")</f>
        <v/>
      </c>
      <c r="B74" s="16">
        <f>IF(A74&lt;&gt;"",EDATE(StartDate,35),"")</f>
        <v/>
      </c>
      <c r="C74" s="17">
        <f>IF(A74&lt;&gt;"",MIN(MonthlyPmt,F73+D74),"")</f>
        <v/>
      </c>
      <c r="D74" s="17">
        <f>IF(A74&lt;&gt;"",ROUND(F73*AnnualRate/12,2),"")</f>
        <v/>
      </c>
      <c r="E74" s="17">
        <f>IF(A74&lt;&gt;"",MIN(F73,(C74-D74)+SUMPRODUCT(($B$10:$B$19&lt;&gt;"")*($B$10:$B$19&lt;=B74)*($D$10:$D$19="Monthly")*$C$10:$C$19)+SUMPRODUCT(($B$10:$B$19&lt;&gt;"")*($B$10:$B$19&lt;=B74)*($D$10:$D$19="Annual")*(MONTH($B$10:$B$19)=MONTH(B74))*$C$10:$C$19)+SUMPRODUCT(($B$22:$B$36&lt;&gt;"")*(YEAR($B$22:$B$36)=YEAR(B74))*(MONTH($B$22:$B$36)=MONTH(B74))*$C$22:$C$36)),"")</f>
        <v/>
      </c>
      <c r="F74" s="17">
        <f>IF(A74&lt;&gt;"",ROUND(F73-E74,2),"")</f>
        <v/>
      </c>
    </row>
    <row r="75">
      <c r="A75" s="7">
        <f>IF(AND(F74&gt;0.005,A74&lt;&gt;""),37,"")</f>
        <v/>
      </c>
      <c r="B75" s="4">
        <f>IF(A75&lt;&gt;"",EDATE(StartDate,36),"")</f>
        <v/>
      </c>
      <c r="C75" s="9">
        <f>IF(A75&lt;&gt;"",MIN(MonthlyPmt,F74+D75),"")</f>
        <v/>
      </c>
      <c r="D75" s="9">
        <f>IF(A75&lt;&gt;"",ROUND(F74*AnnualRate/12,2),"")</f>
        <v/>
      </c>
      <c r="E75" s="9">
        <f>IF(A75&lt;&gt;"",MIN(F74,(C75-D75)+SUMPRODUCT(($B$10:$B$19&lt;&gt;"")*($B$10:$B$19&lt;=B75)*($D$10:$D$19="Monthly")*$C$10:$C$19)+SUMPRODUCT(($B$10:$B$19&lt;&gt;"")*($B$10:$B$19&lt;=B75)*($D$10:$D$19="Annual")*(MONTH($B$10:$B$19)=MONTH(B75))*$C$10:$C$19)+SUMPRODUCT(($B$22:$B$36&lt;&gt;"")*(YEAR($B$22:$B$36)=YEAR(B75))*(MONTH($B$22:$B$36)=MONTH(B75))*$C$22:$C$36)),"")</f>
        <v/>
      </c>
      <c r="F75" s="9">
        <f>IF(A75&lt;&gt;"",ROUND(F74-E75,2),"")</f>
        <v/>
      </c>
    </row>
    <row r="76">
      <c r="A76" s="15">
        <f>IF(AND(F75&gt;0.005,A75&lt;&gt;""),38,"")</f>
        <v/>
      </c>
      <c r="B76" s="16">
        <f>IF(A76&lt;&gt;"",EDATE(StartDate,37),"")</f>
        <v/>
      </c>
      <c r="C76" s="17">
        <f>IF(A76&lt;&gt;"",MIN(MonthlyPmt,F75+D76),"")</f>
        <v/>
      </c>
      <c r="D76" s="17">
        <f>IF(A76&lt;&gt;"",ROUND(F75*AnnualRate/12,2),"")</f>
        <v/>
      </c>
      <c r="E76" s="17">
        <f>IF(A76&lt;&gt;"",MIN(F75,(C76-D76)+SUMPRODUCT(($B$10:$B$19&lt;&gt;"")*($B$10:$B$19&lt;=B76)*($D$10:$D$19="Monthly")*$C$10:$C$19)+SUMPRODUCT(($B$10:$B$19&lt;&gt;"")*($B$10:$B$19&lt;=B76)*($D$10:$D$19="Annual")*(MONTH($B$10:$B$19)=MONTH(B76))*$C$10:$C$19)+SUMPRODUCT(($B$22:$B$36&lt;&gt;"")*(YEAR($B$22:$B$36)=YEAR(B76))*(MONTH($B$22:$B$36)=MONTH(B76))*$C$22:$C$36)),"")</f>
        <v/>
      </c>
      <c r="F76" s="17">
        <f>IF(A76&lt;&gt;"",ROUND(F75-E76,2),"")</f>
        <v/>
      </c>
    </row>
    <row r="77">
      <c r="A77" s="7">
        <f>IF(AND(F76&gt;0.005,A76&lt;&gt;""),39,"")</f>
        <v/>
      </c>
      <c r="B77" s="4">
        <f>IF(A77&lt;&gt;"",EDATE(StartDate,38),"")</f>
        <v/>
      </c>
      <c r="C77" s="9">
        <f>IF(A77&lt;&gt;"",MIN(MonthlyPmt,F76+D77),"")</f>
        <v/>
      </c>
      <c r="D77" s="9">
        <f>IF(A77&lt;&gt;"",ROUND(F76*AnnualRate/12,2),"")</f>
        <v/>
      </c>
      <c r="E77" s="9">
        <f>IF(A77&lt;&gt;"",MIN(F76,(C77-D77)+SUMPRODUCT(($B$10:$B$19&lt;&gt;"")*($B$10:$B$19&lt;=B77)*($D$10:$D$19="Monthly")*$C$10:$C$19)+SUMPRODUCT(($B$10:$B$19&lt;&gt;"")*($B$10:$B$19&lt;=B77)*($D$10:$D$19="Annual")*(MONTH($B$10:$B$19)=MONTH(B77))*$C$10:$C$19)+SUMPRODUCT(($B$22:$B$36&lt;&gt;"")*(YEAR($B$22:$B$36)=YEAR(B77))*(MONTH($B$22:$B$36)=MONTH(B77))*$C$22:$C$36)),"")</f>
        <v/>
      </c>
      <c r="F77" s="9">
        <f>IF(A77&lt;&gt;"",ROUND(F76-E77,2),"")</f>
        <v/>
      </c>
    </row>
    <row r="78">
      <c r="A78" s="15">
        <f>IF(AND(F77&gt;0.005,A77&lt;&gt;""),40,"")</f>
        <v/>
      </c>
      <c r="B78" s="16">
        <f>IF(A78&lt;&gt;"",EDATE(StartDate,39),"")</f>
        <v/>
      </c>
      <c r="C78" s="17">
        <f>IF(A78&lt;&gt;"",MIN(MonthlyPmt,F77+D78),"")</f>
        <v/>
      </c>
      <c r="D78" s="17">
        <f>IF(A78&lt;&gt;"",ROUND(F77*AnnualRate/12,2),"")</f>
        <v/>
      </c>
      <c r="E78" s="17">
        <f>IF(A78&lt;&gt;"",MIN(F77,(C78-D78)+SUMPRODUCT(($B$10:$B$19&lt;&gt;"")*($B$10:$B$19&lt;=B78)*($D$10:$D$19="Monthly")*$C$10:$C$19)+SUMPRODUCT(($B$10:$B$19&lt;&gt;"")*($B$10:$B$19&lt;=B78)*($D$10:$D$19="Annual")*(MONTH($B$10:$B$19)=MONTH(B78))*$C$10:$C$19)+SUMPRODUCT(($B$22:$B$36&lt;&gt;"")*(YEAR($B$22:$B$36)=YEAR(B78))*(MONTH($B$22:$B$36)=MONTH(B78))*$C$22:$C$36)),"")</f>
        <v/>
      </c>
      <c r="F78" s="17">
        <f>IF(A78&lt;&gt;"",ROUND(F77-E78,2),"")</f>
        <v/>
      </c>
    </row>
    <row r="79">
      <c r="A79" s="7">
        <f>IF(AND(F78&gt;0.005,A78&lt;&gt;""),41,"")</f>
        <v/>
      </c>
      <c r="B79" s="4">
        <f>IF(A79&lt;&gt;"",EDATE(StartDate,40),"")</f>
        <v/>
      </c>
      <c r="C79" s="9">
        <f>IF(A79&lt;&gt;"",MIN(MonthlyPmt,F78+D79),"")</f>
        <v/>
      </c>
      <c r="D79" s="9">
        <f>IF(A79&lt;&gt;"",ROUND(F78*AnnualRate/12,2),"")</f>
        <v/>
      </c>
      <c r="E79" s="9">
        <f>IF(A79&lt;&gt;"",MIN(F78,(C79-D79)+SUMPRODUCT(($B$10:$B$19&lt;&gt;"")*($B$10:$B$19&lt;=B79)*($D$10:$D$19="Monthly")*$C$10:$C$19)+SUMPRODUCT(($B$10:$B$19&lt;&gt;"")*($B$10:$B$19&lt;=B79)*($D$10:$D$19="Annual")*(MONTH($B$10:$B$19)=MONTH(B79))*$C$10:$C$19)+SUMPRODUCT(($B$22:$B$36&lt;&gt;"")*(YEAR($B$22:$B$36)=YEAR(B79))*(MONTH($B$22:$B$36)=MONTH(B79))*$C$22:$C$36)),"")</f>
        <v/>
      </c>
      <c r="F79" s="9">
        <f>IF(A79&lt;&gt;"",ROUND(F78-E79,2),"")</f>
        <v/>
      </c>
    </row>
    <row r="80">
      <c r="A80" s="15">
        <f>IF(AND(F79&gt;0.005,A79&lt;&gt;""),42,"")</f>
        <v/>
      </c>
      <c r="B80" s="16">
        <f>IF(A80&lt;&gt;"",EDATE(StartDate,41),"")</f>
        <v/>
      </c>
      <c r="C80" s="17">
        <f>IF(A80&lt;&gt;"",MIN(MonthlyPmt,F79+D80),"")</f>
        <v/>
      </c>
      <c r="D80" s="17">
        <f>IF(A80&lt;&gt;"",ROUND(F79*AnnualRate/12,2),"")</f>
        <v/>
      </c>
      <c r="E80" s="17">
        <f>IF(A80&lt;&gt;"",MIN(F79,(C80-D80)+SUMPRODUCT(($B$10:$B$19&lt;&gt;"")*($B$10:$B$19&lt;=B80)*($D$10:$D$19="Monthly")*$C$10:$C$19)+SUMPRODUCT(($B$10:$B$19&lt;&gt;"")*($B$10:$B$19&lt;=B80)*($D$10:$D$19="Annual")*(MONTH($B$10:$B$19)=MONTH(B80))*$C$10:$C$19)+SUMPRODUCT(($B$22:$B$36&lt;&gt;"")*(YEAR($B$22:$B$36)=YEAR(B80))*(MONTH($B$22:$B$36)=MONTH(B80))*$C$22:$C$36)),"")</f>
        <v/>
      </c>
      <c r="F80" s="17">
        <f>IF(A80&lt;&gt;"",ROUND(F79-E80,2),"")</f>
        <v/>
      </c>
    </row>
    <row r="81">
      <c r="A81" s="7">
        <f>IF(AND(F80&gt;0.005,A80&lt;&gt;""),43,"")</f>
        <v/>
      </c>
      <c r="B81" s="4">
        <f>IF(A81&lt;&gt;"",EDATE(StartDate,42),"")</f>
        <v/>
      </c>
      <c r="C81" s="9">
        <f>IF(A81&lt;&gt;"",MIN(MonthlyPmt,F80+D81),"")</f>
        <v/>
      </c>
      <c r="D81" s="9">
        <f>IF(A81&lt;&gt;"",ROUND(F80*AnnualRate/12,2),"")</f>
        <v/>
      </c>
      <c r="E81" s="9">
        <f>IF(A81&lt;&gt;"",MIN(F80,(C81-D81)+SUMPRODUCT(($B$10:$B$19&lt;&gt;"")*($B$10:$B$19&lt;=B81)*($D$10:$D$19="Monthly")*$C$10:$C$19)+SUMPRODUCT(($B$10:$B$19&lt;&gt;"")*($B$10:$B$19&lt;=B81)*($D$10:$D$19="Annual")*(MONTH($B$10:$B$19)=MONTH(B81))*$C$10:$C$19)+SUMPRODUCT(($B$22:$B$36&lt;&gt;"")*(YEAR($B$22:$B$36)=YEAR(B81))*(MONTH($B$22:$B$36)=MONTH(B81))*$C$22:$C$36)),"")</f>
        <v/>
      </c>
      <c r="F81" s="9">
        <f>IF(A81&lt;&gt;"",ROUND(F80-E81,2),"")</f>
        <v/>
      </c>
    </row>
    <row r="82">
      <c r="A82" s="15">
        <f>IF(AND(F81&gt;0.005,A81&lt;&gt;""),44,"")</f>
        <v/>
      </c>
      <c r="B82" s="16">
        <f>IF(A82&lt;&gt;"",EDATE(StartDate,43),"")</f>
        <v/>
      </c>
      <c r="C82" s="17">
        <f>IF(A82&lt;&gt;"",MIN(MonthlyPmt,F81+D82),"")</f>
        <v/>
      </c>
      <c r="D82" s="17">
        <f>IF(A82&lt;&gt;"",ROUND(F81*AnnualRate/12,2),"")</f>
        <v/>
      </c>
      <c r="E82" s="17">
        <f>IF(A82&lt;&gt;"",MIN(F81,(C82-D82)+SUMPRODUCT(($B$10:$B$19&lt;&gt;"")*($B$10:$B$19&lt;=B82)*($D$10:$D$19="Monthly")*$C$10:$C$19)+SUMPRODUCT(($B$10:$B$19&lt;&gt;"")*($B$10:$B$19&lt;=B82)*($D$10:$D$19="Annual")*(MONTH($B$10:$B$19)=MONTH(B82))*$C$10:$C$19)+SUMPRODUCT(($B$22:$B$36&lt;&gt;"")*(YEAR($B$22:$B$36)=YEAR(B82))*(MONTH($B$22:$B$36)=MONTH(B82))*$C$22:$C$36)),"")</f>
        <v/>
      </c>
      <c r="F82" s="17">
        <f>IF(A82&lt;&gt;"",ROUND(F81-E82,2),"")</f>
        <v/>
      </c>
    </row>
    <row r="83">
      <c r="A83" s="7">
        <f>IF(AND(F82&gt;0.005,A82&lt;&gt;""),45,"")</f>
        <v/>
      </c>
      <c r="B83" s="4">
        <f>IF(A83&lt;&gt;"",EDATE(StartDate,44),"")</f>
        <v/>
      </c>
      <c r="C83" s="9">
        <f>IF(A83&lt;&gt;"",MIN(MonthlyPmt,F82+D83),"")</f>
        <v/>
      </c>
      <c r="D83" s="9">
        <f>IF(A83&lt;&gt;"",ROUND(F82*AnnualRate/12,2),"")</f>
        <v/>
      </c>
      <c r="E83" s="9">
        <f>IF(A83&lt;&gt;"",MIN(F82,(C83-D83)+SUMPRODUCT(($B$10:$B$19&lt;&gt;"")*($B$10:$B$19&lt;=B83)*($D$10:$D$19="Monthly")*$C$10:$C$19)+SUMPRODUCT(($B$10:$B$19&lt;&gt;"")*($B$10:$B$19&lt;=B83)*($D$10:$D$19="Annual")*(MONTH($B$10:$B$19)=MONTH(B83))*$C$10:$C$19)+SUMPRODUCT(($B$22:$B$36&lt;&gt;"")*(YEAR($B$22:$B$36)=YEAR(B83))*(MONTH($B$22:$B$36)=MONTH(B83))*$C$22:$C$36)),"")</f>
        <v/>
      </c>
      <c r="F83" s="9">
        <f>IF(A83&lt;&gt;"",ROUND(F82-E83,2),"")</f>
        <v/>
      </c>
    </row>
    <row r="84">
      <c r="A84" s="15">
        <f>IF(AND(F83&gt;0.005,A83&lt;&gt;""),46,"")</f>
        <v/>
      </c>
      <c r="B84" s="16">
        <f>IF(A84&lt;&gt;"",EDATE(StartDate,45),"")</f>
        <v/>
      </c>
      <c r="C84" s="17">
        <f>IF(A84&lt;&gt;"",MIN(MonthlyPmt,F83+D84),"")</f>
        <v/>
      </c>
      <c r="D84" s="17">
        <f>IF(A84&lt;&gt;"",ROUND(F83*AnnualRate/12,2),"")</f>
        <v/>
      </c>
      <c r="E84" s="17">
        <f>IF(A84&lt;&gt;"",MIN(F83,(C84-D84)+SUMPRODUCT(($B$10:$B$19&lt;&gt;"")*($B$10:$B$19&lt;=B84)*($D$10:$D$19="Monthly")*$C$10:$C$19)+SUMPRODUCT(($B$10:$B$19&lt;&gt;"")*($B$10:$B$19&lt;=B84)*($D$10:$D$19="Annual")*(MONTH($B$10:$B$19)=MONTH(B84))*$C$10:$C$19)+SUMPRODUCT(($B$22:$B$36&lt;&gt;"")*(YEAR($B$22:$B$36)=YEAR(B84))*(MONTH($B$22:$B$36)=MONTH(B84))*$C$22:$C$36)),"")</f>
        <v/>
      </c>
      <c r="F84" s="17">
        <f>IF(A84&lt;&gt;"",ROUND(F83-E84,2),"")</f>
        <v/>
      </c>
    </row>
    <row r="85">
      <c r="A85" s="7">
        <f>IF(AND(F84&gt;0.005,A84&lt;&gt;""),47,"")</f>
        <v/>
      </c>
      <c r="B85" s="4">
        <f>IF(A85&lt;&gt;"",EDATE(StartDate,46),"")</f>
        <v/>
      </c>
      <c r="C85" s="9">
        <f>IF(A85&lt;&gt;"",MIN(MonthlyPmt,F84+D85),"")</f>
        <v/>
      </c>
      <c r="D85" s="9">
        <f>IF(A85&lt;&gt;"",ROUND(F84*AnnualRate/12,2),"")</f>
        <v/>
      </c>
      <c r="E85" s="9">
        <f>IF(A85&lt;&gt;"",MIN(F84,(C85-D85)+SUMPRODUCT(($B$10:$B$19&lt;&gt;"")*($B$10:$B$19&lt;=B85)*($D$10:$D$19="Monthly")*$C$10:$C$19)+SUMPRODUCT(($B$10:$B$19&lt;&gt;"")*($B$10:$B$19&lt;=B85)*($D$10:$D$19="Annual")*(MONTH($B$10:$B$19)=MONTH(B85))*$C$10:$C$19)+SUMPRODUCT(($B$22:$B$36&lt;&gt;"")*(YEAR($B$22:$B$36)=YEAR(B85))*(MONTH($B$22:$B$36)=MONTH(B85))*$C$22:$C$36)),"")</f>
        <v/>
      </c>
      <c r="F85" s="9">
        <f>IF(A85&lt;&gt;"",ROUND(F84-E85,2),"")</f>
        <v/>
      </c>
    </row>
    <row r="86">
      <c r="A86" s="15">
        <f>IF(AND(F85&gt;0.005,A85&lt;&gt;""),48,"")</f>
        <v/>
      </c>
      <c r="B86" s="16">
        <f>IF(A86&lt;&gt;"",EDATE(StartDate,47),"")</f>
        <v/>
      </c>
      <c r="C86" s="17">
        <f>IF(A86&lt;&gt;"",MIN(MonthlyPmt,F85+D86),"")</f>
        <v/>
      </c>
      <c r="D86" s="17">
        <f>IF(A86&lt;&gt;"",ROUND(F85*AnnualRate/12,2),"")</f>
        <v/>
      </c>
      <c r="E86" s="17">
        <f>IF(A86&lt;&gt;"",MIN(F85,(C86-D86)+SUMPRODUCT(($B$10:$B$19&lt;&gt;"")*($B$10:$B$19&lt;=B86)*($D$10:$D$19="Monthly")*$C$10:$C$19)+SUMPRODUCT(($B$10:$B$19&lt;&gt;"")*($B$10:$B$19&lt;=B86)*($D$10:$D$19="Annual")*(MONTH($B$10:$B$19)=MONTH(B86))*$C$10:$C$19)+SUMPRODUCT(($B$22:$B$36&lt;&gt;"")*(YEAR($B$22:$B$36)=YEAR(B86))*(MONTH($B$22:$B$36)=MONTH(B86))*$C$22:$C$36)),"")</f>
        <v/>
      </c>
      <c r="F86" s="17">
        <f>IF(A86&lt;&gt;"",ROUND(F85-E86,2),"")</f>
        <v/>
      </c>
    </row>
    <row r="87">
      <c r="A87" s="7">
        <f>IF(AND(F86&gt;0.005,A86&lt;&gt;""),49,"")</f>
        <v/>
      </c>
      <c r="B87" s="4">
        <f>IF(A87&lt;&gt;"",EDATE(StartDate,48),"")</f>
        <v/>
      </c>
      <c r="C87" s="9">
        <f>IF(A87&lt;&gt;"",MIN(MonthlyPmt,F86+D87),"")</f>
        <v/>
      </c>
      <c r="D87" s="9">
        <f>IF(A87&lt;&gt;"",ROUND(F86*AnnualRate/12,2),"")</f>
        <v/>
      </c>
      <c r="E87" s="9">
        <f>IF(A87&lt;&gt;"",MIN(F86,(C87-D87)+SUMPRODUCT(($B$10:$B$19&lt;&gt;"")*($B$10:$B$19&lt;=B87)*($D$10:$D$19="Monthly")*$C$10:$C$19)+SUMPRODUCT(($B$10:$B$19&lt;&gt;"")*($B$10:$B$19&lt;=B87)*($D$10:$D$19="Annual")*(MONTH($B$10:$B$19)=MONTH(B87))*$C$10:$C$19)+SUMPRODUCT(($B$22:$B$36&lt;&gt;"")*(YEAR($B$22:$B$36)=YEAR(B87))*(MONTH($B$22:$B$36)=MONTH(B87))*$C$22:$C$36)),"")</f>
        <v/>
      </c>
      <c r="F87" s="9">
        <f>IF(A87&lt;&gt;"",ROUND(F86-E87,2),"")</f>
        <v/>
      </c>
    </row>
    <row r="88">
      <c r="A88" s="15">
        <f>IF(AND(F87&gt;0.005,A87&lt;&gt;""),50,"")</f>
        <v/>
      </c>
      <c r="B88" s="16">
        <f>IF(A88&lt;&gt;"",EDATE(StartDate,49),"")</f>
        <v/>
      </c>
      <c r="C88" s="17">
        <f>IF(A88&lt;&gt;"",MIN(MonthlyPmt,F87+D88),"")</f>
        <v/>
      </c>
      <c r="D88" s="17">
        <f>IF(A88&lt;&gt;"",ROUND(F87*AnnualRate/12,2),"")</f>
        <v/>
      </c>
      <c r="E88" s="17">
        <f>IF(A88&lt;&gt;"",MIN(F87,(C88-D88)+SUMPRODUCT(($B$10:$B$19&lt;&gt;"")*($B$10:$B$19&lt;=B88)*($D$10:$D$19="Monthly")*$C$10:$C$19)+SUMPRODUCT(($B$10:$B$19&lt;&gt;"")*($B$10:$B$19&lt;=B88)*($D$10:$D$19="Annual")*(MONTH($B$10:$B$19)=MONTH(B88))*$C$10:$C$19)+SUMPRODUCT(($B$22:$B$36&lt;&gt;"")*(YEAR($B$22:$B$36)=YEAR(B88))*(MONTH($B$22:$B$36)=MONTH(B88))*$C$22:$C$36)),"")</f>
        <v/>
      </c>
      <c r="F88" s="17">
        <f>IF(A88&lt;&gt;"",ROUND(F87-E88,2),"")</f>
        <v/>
      </c>
    </row>
    <row r="89">
      <c r="A89" s="7">
        <f>IF(AND(F88&gt;0.005,A88&lt;&gt;""),51,"")</f>
        <v/>
      </c>
      <c r="B89" s="4">
        <f>IF(A89&lt;&gt;"",EDATE(StartDate,50),"")</f>
        <v/>
      </c>
      <c r="C89" s="9">
        <f>IF(A89&lt;&gt;"",MIN(MonthlyPmt,F88+D89),"")</f>
        <v/>
      </c>
      <c r="D89" s="9">
        <f>IF(A89&lt;&gt;"",ROUND(F88*AnnualRate/12,2),"")</f>
        <v/>
      </c>
      <c r="E89" s="9">
        <f>IF(A89&lt;&gt;"",MIN(F88,(C89-D89)+SUMPRODUCT(($B$10:$B$19&lt;&gt;"")*($B$10:$B$19&lt;=B89)*($D$10:$D$19="Monthly")*$C$10:$C$19)+SUMPRODUCT(($B$10:$B$19&lt;&gt;"")*($B$10:$B$19&lt;=B89)*($D$10:$D$19="Annual")*(MONTH($B$10:$B$19)=MONTH(B89))*$C$10:$C$19)+SUMPRODUCT(($B$22:$B$36&lt;&gt;"")*(YEAR($B$22:$B$36)=YEAR(B89))*(MONTH($B$22:$B$36)=MONTH(B89))*$C$22:$C$36)),"")</f>
        <v/>
      </c>
      <c r="F89" s="9">
        <f>IF(A89&lt;&gt;"",ROUND(F88-E89,2),"")</f>
        <v/>
      </c>
    </row>
    <row r="90">
      <c r="A90" s="15">
        <f>IF(AND(F89&gt;0.005,A89&lt;&gt;""),52,"")</f>
        <v/>
      </c>
      <c r="B90" s="16">
        <f>IF(A90&lt;&gt;"",EDATE(StartDate,51),"")</f>
        <v/>
      </c>
      <c r="C90" s="17">
        <f>IF(A90&lt;&gt;"",MIN(MonthlyPmt,F89+D90),"")</f>
        <v/>
      </c>
      <c r="D90" s="17">
        <f>IF(A90&lt;&gt;"",ROUND(F89*AnnualRate/12,2),"")</f>
        <v/>
      </c>
      <c r="E90" s="17">
        <f>IF(A90&lt;&gt;"",MIN(F89,(C90-D90)+SUMPRODUCT(($B$10:$B$19&lt;&gt;"")*($B$10:$B$19&lt;=B90)*($D$10:$D$19="Monthly")*$C$10:$C$19)+SUMPRODUCT(($B$10:$B$19&lt;&gt;"")*($B$10:$B$19&lt;=B90)*($D$10:$D$19="Annual")*(MONTH($B$10:$B$19)=MONTH(B90))*$C$10:$C$19)+SUMPRODUCT(($B$22:$B$36&lt;&gt;"")*(YEAR($B$22:$B$36)=YEAR(B90))*(MONTH($B$22:$B$36)=MONTH(B90))*$C$22:$C$36)),"")</f>
        <v/>
      </c>
      <c r="F90" s="17">
        <f>IF(A90&lt;&gt;"",ROUND(F89-E90,2),"")</f>
        <v/>
      </c>
    </row>
    <row r="91">
      <c r="A91" s="7">
        <f>IF(AND(F90&gt;0.005,A90&lt;&gt;""),53,"")</f>
        <v/>
      </c>
      <c r="B91" s="4">
        <f>IF(A91&lt;&gt;"",EDATE(StartDate,52),"")</f>
        <v/>
      </c>
      <c r="C91" s="9">
        <f>IF(A91&lt;&gt;"",MIN(MonthlyPmt,F90+D91),"")</f>
        <v/>
      </c>
      <c r="D91" s="9">
        <f>IF(A91&lt;&gt;"",ROUND(F90*AnnualRate/12,2),"")</f>
        <v/>
      </c>
      <c r="E91" s="9">
        <f>IF(A91&lt;&gt;"",MIN(F90,(C91-D91)+SUMPRODUCT(($B$10:$B$19&lt;&gt;"")*($B$10:$B$19&lt;=B91)*($D$10:$D$19="Monthly")*$C$10:$C$19)+SUMPRODUCT(($B$10:$B$19&lt;&gt;"")*($B$10:$B$19&lt;=B91)*($D$10:$D$19="Annual")*(MONTH($B$10:$B$19)=MONTH(B91))*$C$10:$C$19)+SUMPRODUCT(($B$22:$B$36&lt;&gt;"")*(YEAR($B$22:$B$36)=YEAR(B91))*(MONTH($B$22:$B$36)=MONTH(B91))*$C$22:$C$36)),"")</f>
        <v/>
      </c>
      <c r="F91" s="9">
        <f>IF(A91&lt;&gt;"",ROUND(F90-E91,2),"")</f>
        <v/>
      </c>
    </row>
    <row r="92">
      <c r="A92" s="15">
        <f>IF(AND(F91&gt;0.005,A91&lt;&gt;""),54,"")</f>
        <v/>
      </c>
      <c r="B92" s="16">
        <f>IF(A92&lt;&gt;"",EDATE(StartDate,53),"")</f>
        <v/>
      </c>
      <c r="C92" s="17">
        <f>IF(A92&lt;&gt;"",MIN(MonthlyPmt,F91+D92),"")</f>
        <v/>
      </c>
      <c r="D92" s="17">
        <f>IF(A92&lt;&gt;"",ROUND(F91*AnnualRate/12,2),"")</f>
        <v/>
      </c>
      <c r="E92" s="17">
        <f>IF(A92&lt;&gt;"",MIN(F91,(C92-D92)+SUMPRODUCT(($B$10:$B$19&lt;&gt;"")*($B$10:$B$19&lt;=B92)*($D$10:$D$19="Monthly")*$C$10:$C$19)+SUMPRODUCT(($B$10:$B$19&lt;&gt;"")*($B$10:$B$19&lt;=B92)*($D$10:$D$19="Annual")*(MONTH($B$10:$B$19)=MONTH(B92))*$C$10:$C$19)+SUMPRODUCT(($B$22:$B$36&lt;&gt;"")*(YEAR($B$22:$B$36)=YEAR(B92))*(MONTH($B$22:$B$36)=MONTH(B92))*$C$22:$C$36)),"")</f>
        <v/>
      </c>
      <c r="F92" s="17">
        <f>IF(A92&lt;&gt;"",ROUND(F91-E92,2),"")</f>
        <v/>
      </c>
    </row>
    <row r="93">
      <c r="A93" s="7">
        <f>IF(AND(F92&gt;0.005,A92&lt;&gt;""),55,"")</f>
        <v/>
      </c>
      <c r="B93" s="4">
        <f>IF(A93&lt;&gt;"",EDATE(StartDate,54),"")</f>
        <v/>
      </c>
      <c r="C93" s="9">
        <f>IF(A93&lt;&gt;"",MIN(MonthlyPmt,F92+D93),"")</f>
        <v/>
      </c>
      <c r="D93" s="9">
        <f>IF(A93&lt;&gt;"",ROUND(F92*AnnualRate/12,2),"")</f>
        <v/>
      </c>
      <c r="E93" s="9">
        <f>IF(A93&lt;&gt;"",MIN(F92,(C93-D93)+SUMPRODUCT(($B$10:$B$19&lt;&gt;"")*($B$10:$B$19&lt;=B93)*($D$10:$D$19="Monthly")*$C$10:$C$19)+SUMPRODUCT(($B$10:$B$19&lt;&gt;"")*($B$10:$B$19&lt;=B93)*($D$10:$D$19="Annual")*(MONTH($B$10:$B$19)=MONTH(B93))*$C$10:$C$19)+SUMPRODUCT(($B$22:$B$36&lt;&gt;"")*(YEAR($B$22:$B$36)=YEAR(B93))*(MONTH($B$22:$B$36)=MONTH(B93))*$C$22:$C$36)),"")</f>
        <v/>
      </c>
      <c r="F93" s="9">
        <f>IF(A93&lt;&gt;"",ROUND(F92-E93,2),"")</f>
        <v/>
      </c>
    </row>
    <row r="94">
      <c r="A94" s="15">
        <f>IF(AND(F93&gt;0.005,A93&lt;&gt;""),56,"")</f>
        <v/>
      </c>
      <c r="B94" s="16">
        <f>IF(A94&lt;&gt;"",EDATE(StartDate,55),"")</f>
        <v/>
      </c>
      <c r="C94" s="17">
        <f>IF(A94&lt;&gt;"",MIN(MonthlyPmt,F93+D94),"")</f>
        <v/>
      </c>
      <c r="D94" s="17">
        <f>IF(A94&lt;&gt;"",ROUND(F93*AnnualRate/12,2),"")</f>
        <v/>
      </c>
      <c r="E94" s="17">
        <f>IF(A94&lt;&gt;"",MIN(F93,(C94-D94)+SUMPRODUCT(($B$10:$B$19&lt;&gt;"")*($B$10:$B$19&lt;=B94)*($D$10:$D$19="Monthly")*$C$10:$C$19)+SUMPRODUCT(($B$10:$B$19&lt;&gt;"")*($B$10:$B$19&lt;=B94)*($D$10:$D$19="Annual")*(MONTH($B$10:$B$19)=MONTH(B94))*$C$10:$C$19)+SUMPRODUCT(($B$22:$B$36&lt;&gt;"")*(YEAR($B$22:$B$36)=YEAR(B94))*(MONTH($B$22:$B$36)=MONTH(B94))*$C$22:$C$36)),"")</f>
        <v/>
      </c>
      <c r="F94" s="17">
        <f>IF(A94&lt;&gt;"",ROUND(F93-E94,2),"")</f>
        <v/>
      </c>
    </row>
    <row r="95">
      <c r="A95" s="7">
        <f>IF(AND(F94&gt;0.005,A94&lt;&gt;""),57,"")</f>
        <v/>
      </c>
      <c r="B95" s="4">
        <f>IF(A95&lt;&gt;"",EDATE(StartDate,56),"")</f>
        <v/>
      </c>
      <c r="C95" s="9">
        <f>IF(A95&lt;&gt;"",MIN(MonthlyPmt,F94+D95),"")</f>
        <v/>
      </c>
      <c r="D95" s="9">
        <f>IF(A95&lt;&gt;"",ROUND(F94*AnnualRate/12,2),"")</f>
        <v/>
      </c>
      <c r="E95" s="9">
        <f>IF(A95&lt;&gt;"",MIN(F94,(C95-D95)+SUMPRODUCT(($B$10:$B$19&lt;&gt;"")*($B$10:$B$19&lt;=B95)*($D$10:$D$19="Monthly")*$C$10:$C$19)+SUMPRODUCT(($B$10:$B$19&lt;&gt;"")*($B$10:$B$19&lt;=B95)*($D$10:$D$19="Annual")*(MONTH($B$10:$B$19)=MONTH(B95))*$C$10:$C$19)+SUMPRODUCT(($B$22:$B$36&lt;&gt;"")*(YEAR($B$22:$B$36)=YEAR(B95))*(MONTH($B$22:$B$36)=MONTH(B95))*$C$22:$C$36)),"")</f>
        <v/>
      </c>
      <c r="F95" s="9">
        <f>IF(A95&lt;&gt;"",ROUND(F94-E95,2),"")</f>
        <v/>
      </c>
    </row>
    <row r="96">
      <c r="A96" s="15">
        <f>IF(AND(F95&gt;0.005,A95&lt;&gt;""),58,"")</f>
        <v/>
      </c>
      <c r="B96" s="16">
        <f>IF(A96&lt;&gt;"",EDATE(StartDate,57),"")</f>
        <v/>
      </c>
      <c r="C96" s="17">
        <f>IF(A96&lt;&gt;"",MIN(MonthlyPmt,F95+D96),"")</f>
        <v/>
      </c>
      <c r="D96" s="17">
        <f>IF(A96&lt;&gt;"",ROUND(F95*AnnualRate/12,2),"")</f>
        <v/>
      </c>
      <c r="E96" s="17">
        <f>IF(A96&lt;&gt;"",MIN(F95,(C96-D96)+SUMPRODUCT(($B$10:$B$19&lt;&gt;"")*($B$10:$B$19&lt;=B96)*($D$10:$D$19="Monthly")*$C$10:$C$19)+SUMPRODUCT(($B$10:$B$19&lt;&gt;"")*($B$10:$B$19&lt;=B96)*($D$10:$D$19="Annual")*(MONTH($B$10:$B$19)=MONTH(B96))*$C$10:$C$19)+SUMPRODUCT(($B$22:$B$36&lt;&gt;"")*(YEAR($B$22:$B$36)=YEAR(B96))*(MONTH($B$22:$B$36)=MONTH(B96))*$C$22:$C$36)),"")</f>
        <v/>
      </c>
      <c r="F96" s="17">
        <f>IF(A96&lt;&gt;"",ROUND(F95-E96,2),"")</f>
        <v/>
      </c>
    </row>
    <row r="97">
      <c r="A97" s="7">
        <f>IF(AND(F96&gt;0.005,A96&lt;&gt;""),59,"")</f>
        <v/>
      </c>
      <c r="B97" s="4">
        <f>IF(A97&lt;&gt;"",EDATE(StartDate,58),"")</f>
        <v/>
      </c>
      <c r="C97" s="9">
        <f>IF(A97&lt;&gt;"",MIN(MonthlyPmt,F96+D97),"")</f>
        <v/>
      </c>
      <c r="D97" s="9">
        <f>IF(A97&lt;&gt;"",ROUND(F96*AnnualRate/12,2),"")</f>
        <v/>
      </c>
      <c r="E97" s="9">
        <f>IF(A97&lt;&gt;"",MIN(F96,(C97-D97)+SUMPRODUCT(($B$10:$B$19&lt;&gt;"")*($B$10:$B$19&lt;=B97)*($D$10:$D$19="Monthly")*$C$10:$C$19)+SUMPRODUCT(($B$10:$B$19&lt;&gt;"")*($B$10:$B$19&lt;=B97)*($D$10:$D$19="Annual")*(MONTH($B$10:$B$19)=MONTH(B97))*$C$10:$C$19)+SUMPRODUCT(($B$22:$B$36&lt;&gt;"")*(YEAR($B$22:$B$36)=YEAR(B97))*(MONTH($B$22:$B$36)=MONTH(B97))*$C$22:$C$36)),"")</f>
        <v/>
      </c>
      <c r="F97" s="9">
        <f>IF(A97&lt;&gt;"",ROUND(F96-E97,2),"")</f>
        <v/>
      </c>
    </row>
    <row r="98">
      <c r="A98" s="15">
        <f>IF(AND(F97&gt;0.005,A97&lt;&gt;""),60,"")</f>
        <v/>
      </c>
      <c r="B98" s="16">
        <f>IF(A98&lt;&gt;"",EDATE(StartDate,59),"")</f>
        <v/>
      </c>
      <c r="C98" s="17">
        <f>IF(A98&lt;&gt;"",MIN(MonthlyPmt,F97+D98),"")</f>
        <v/>
      </c>
      <c r="D98" s="17">
        <f>IF(A98&lt;&gt;"",ROUND(F97*AnnualRate/12,2),"")</f>
        <v/>
      </c>
      <c r="E98" s="17">
        <f>IF(A98&lt;&gt;"",MIN(F97,(C98-D98)+SUMPRODUCT(($B$10:$B$19&lt;&gt;"")*($B$10:$B$19&lt;=B98)*($D$10:$D$19="Monthly")*$C$10:$C$19)+SUMPRODUCT(($B$10:$B$19&lt;&gt;"")*($B$10:$B$19&lt;=B98)*($D$10:$D$19="Annual")*(MONTH($B$10:$B$19)=MONTH(B98))*$C$10:$C$19)+SUMPRODUCT(($B$22:$B$36&lt;&gt;"")*(YEAR($B$22:$B$36)=YEAR(B98))*(MONTH($B$22:$B$36)=MONTH(B98))*$C$22:$C$36)),"")</f>
        <v/>
      </c>
      <c r="F98" s="17">
        <f>IF(A98&lt;&gt;"",ROUND(F97-E98,2),"")</f>
        <v/>
      </c>
    </row>
    <row r="99">
      <c r="A99" s="7">
        <f>IF(AND(F98&gt;0.005,A98&lt;&gt;""),61,"")</f>
        <v/>
      </c>
      <c r="B99" s="4">
        <f>IF(A99&lt;&gt;"",EDATE(StartDate,60),"")</f>
        <v/>
      </c>
      <c r="C99" s="9">
        <f>IF(A99&lt;&gt;"",MIN(MonthlyPmt,F98+D99),"")</f>
        <v/>
      </c>
      <c r="D99" s="9">
        <f>IF(A99&lt;&gt;"",ROUND(F98*AnnualRate/12,2),"")</f>
        <v/>
      </c>
      <c r="E99" s="9">
        <f>IF(A99&lt;&gt;"",MIN(F98,(C99-D99)+SUMPRODUCT(($B$10:$B$19&lt;&gt;"")*($B$10:$B$19&lt;=B99)*($D$10:$D$19="Monthly")*$C$10:$C$19)+SUMPRODUCT(($B$10:$B$19&lt;&gt;"")*($B$10:$B$19&lt;=B99)*($D$10:$D$19="Annual")*(MONTH($B$10:$B$19)=MONTH(B99))*$C$10:$C$19)+SUMPRODUCT(($B$22:$B$36&lt;&gt;"")*(YEAR($B$22:$B$36)=YEAR(B99))*(MONTH($B$22:$B$36)=MONTH(B99))*$C$22:$C$36)),"")</f>
        <v/>
      </c>
      <c r="F99" s="9">
        <f>IF(A99&lt;&gt;"",ROUND(F98-E99,2),"")</f>
        <v/>
      </c>
    </row>
    <row r="100">
      <c r="A100" s="15">
        <f>IF(AND(F99&gt;0.005,A99&lt;&gt;""),62,"")</f>
        <v/>
      </c>
      <c r="B100" s="16">
        <f>IF(A100&lt;&gt;"",EDATE(StartDate,61),"")</f>
        <v/>
      </c>
      <c r="C100" s="17">
        <f>IF(A100&lt;&gt;"",MIN(MonthlyPmt,F99+D100),"")</f>
        <v/>
      </c>
      <c r="D100" s="17">
        <f>IF(A100&lt;&gt;"",ROUND(F99*AnnualRate/12,2),"")</f>
        <v/>
      </c>
      <c r="E100" s="17">
        <f>IF(A100&lt;&gt;"",MIN(F99,(C100-D100)+SUMPRODUCT(($B$10:$B$19&lt;&gt;"")*($B$10:$B$19&lt;=B100)*($D$10:$D$19="Monthly")*$C$10:$C$19)+SUMPRODUCT(($B$10:$B$19&lt;&gt;"")*($B$10:$B$19&lt;=B100)*($D$10:$D$19="Annual")*(MONTH($B$10:$B$19)=MONTH(B100))*$C$10:$C$19)+SUMPRODUCT(($B$22:$B$36&lt;&gt;"")*(YEAR($B$22:$B$36)=YEAR(B100))*(MONTH($B$22:$B$36)=MONTH(B100))*$C$22:$C$36)),"")</f>
        <v/>
      </c>
      <c r="F100" s="17">
        <f>IF(A100&lt;&gt;"",ROUND(F99-E100,2),"")</f>
        <v/>
      </c>
    </row>
    <row r="101">
      <c r="A101" s="7">
        <f>IF(AND(F100&gt;0.005,A100&lt;&gt;""),63,"")</f>
        <v/>
      </c>
      <c r="B101" s="4">
        <f>IF(A101&lt;&gt;"",EDATE(StartDate,62),"")</f>
        <v/>
      </c>
      <c r="C101" s="9">
        <f>IF(A101&lt;&gt;"",MIN(MonthlyPmt,F100+D101),"")</f>
        <v/>
      </c>
      <c r="D101" s="9">
        <f>IF(A101&lt;&gt;"",ROUND(F100*AnnualRate/12,2),"")</f>
        <v/>
      </c>
      <c r="E101" s="9">
        <f>IF(A101&lt;&gt;"",MIN(F100,(C101-D101)+SUMPRODUCT(($B$10:$B$19&lt;&gt;"")*($B$10:$B$19&lt;=B101)*($D$10:$D$19="Monthly")*$C$10:$C$19)+SUMPRODUCT(($B$10:$B$19&lt;&gt;"")*($B$10:$B$19&lt;=B101)*($D$10:$D$19="Annual")*(MONTH($B$10:$B$19)=MONTH(B101))*$C$10:$C$19)+SUMPRODUCT(($B$22:$B$36&lt;&gt;"")*(YEAR($B$22:$B$36)=YEAR(B101))*(MONTH($B$22:$B$36)=MONTH(B101))*$C$22:$C$36)),"")</f>
        <v/>
      </c>
      <c r="F101" s="9">
        <f>IF(A101&lt;&gt;"",ROUND(F100-E101,2),"")</f>
        <v/>
      </c>
    </row>
    <row r="102">
      <c r="A102" s="15">
        <f>IF(AND(F101&gt;0.005,A101&lt;&gt;""),64,"")</f>
        <v/>
      </c>
      <c r="B102" s="16">
        <f>IF(A102&lt;&gt;"",EDATE(StartDate,63),"")</f>
        <v/>
      </c>
      <c r="C102" s="17">
        <f>IF(A102&lt;&gt;"",MIN(MonthlyPmt,F101+D102),"")</f>
        <v/>
      </c>
      <c r="D102" s="17">
        <f>IF(A102&lt;&gt;"",ROUND(F101*AnnualRate/12,2),"")</f>
        <v/>
      </c>
      <c r="E102" s="17">
        <f>IF(A102&lt;&gt;"",MIN(F101,(C102-D102)+SUMPRODUCT(($B$10:$B$19&lt;&gt;"")*($B$10:$B$19&lt;=B102)*($D$10:$D$19="Monthly")*$C$10:$C$19)+SUMPRODUCT(($B$10:$B$19&lt;&gt;"")*($B$10:$B$19&lt;=B102)*($D$10:$D$19="Annual")*(MONTH($B$10:$B$19)=MONTH(B102))*$C$10:$C$19)+SUMPRODUCT(($B$22:$B$36&lt;&gt;"")*(YEAR($B$22:$B$36)=YEAR(B102))*(MONTH($B$22:$B$36)=MONTH(B102))*$C$22:$C$36)),"")</f>
        <v/>
      </c>
      <c r="F102" s="17">
        <f>IF(A102&lt;&gt;"",ROUND(F101-E102,2),"")</f>
        <v/>
      </c>
    </row>
    <row r="103">
      <c r="A103" s="7">
        <f>IF(AND(F102&gt;0.005,A102&lt;&gt;""),65,"")</f>
        <v/>
      </c>
      <c r="B103" s="4">
        <f>IF(A103&lt;&gt;"",EDATE(StartDate,64),"")</f>
        <v/>
      </c>
      <c r="C103" s="9">
        <f>IF(A103&lt;&gt;"",MIN(MonthlyPmt,F102+D103),"")</f>
        <v/>
      </c>
      <c r="D103" s="9">
        <f>IF(A103&lt;&gt;"",ROUND(F102*AnnualRate/12,2),"")</f>
        <v/>
      </c>
      <c r="E103" s="9">
        <f>IF(A103&lt;&gt;"",MIN(F102,(C103-D103)+SUMPRODUCT(($B$10:$B$19&lt;&gt;"")*($B$10:$B$19&lt;=B103)*($D$10:$D$19="Monthly")*$C$10:$C$19)+SUMPRODUCT(($B$10:$B$19&lt;&gt;"")*($B$10:$B$19&lt;=B103)*($D$10:$D$19="Annual")*(MONTH($B$10:$B$19)=MONTH(B103))*$C$10:$C$19)+SUMPRODUCT(($B$22:$B$36&lt;&gt;"")*(YEAR($B$22:$B$36)=YEAR(B103))*(MONTH($B$22:$B$36)=MONTH(B103))*$C$22:$C$36)),"")</f>
        <v/>
      </c>
      <c r="F103" s="9">
        <f>IF(A103&lt;&gt;"",ROUND(F102-E103,2),"")</f>
        <v/>
      </c>
    </row>
    <row r="104">
      <c r="A104" s="15">
        <f>IF(AND(F103&gt;0.005,A103&lt;&gt;""),66,"")</f>
        <v/>
      </c>
      <c r="B104" s="16">
        <f>IF(A104&lt;&gt;"",EDATE(StartDate,65),"")</f>
        <v/>
      </c>
      <c r="C104" s="17">
        <f>IF(A104&lt;&gt;"",MIN(MonthlyPmt,F103+D104),"")</f>
        <v/>
      </c>
      <c r="D104" s="17">
        <f>IF(A104&lt;&gt;"",ROUND(F103*AnnualRate/12,2),"")</f>
        <v/>
      </c>
      <c r="E104" s="17">
        <f>IF(A104&lt;&gt;"",MIN(F103,(C104-D104)+SUMPRODUCT(($B$10:$B$19&lt;&gt;"")*($B$10:$B$19&lt;=B104)*($D$10:$D$19="Monthly")*$C$10:$C$19)+SUMPRODUCT(($B$10:$B$19&lt;&gt;"")*($B$10:$B$19&lt;=B104)*($D$10:$D$19="Annual")*(MONTH($B$10:$B$19)=MONTH(B104))*$C$10:$C$19)+SUMPRODUCT(($B$22:$B$36&lt;&gt;"")*(YEAR($B$22:$B$36)=YEAR(B104))*(MONTH($B$22:$B$36)=MONTH(B104))*$C$22:$C$36)),"")</f>
        <v/>
      </c>
      <c r="F104" s="17">
        <f>IF(A104&lt;&gt;"",ROUND(F103-E104,2),"")</f>
        <v/>
      </c>
    </row>
    <row r="105">
      <c r="A105" s="7">
        <f>IF(AND(F104&gt;0.005,A104&lt;&gt;""),67,"")</f>
        <v/>
      </c>
      <c r="B105" s="4">
        <f>IF(A105&lt;&gt;"",EDATE(StartDate,66),"")</f>
        <v/>
      </c>
      <c r="C105" s="9">
        <f>IF(A105&lt;&gt;"",MIN(MonthlyPmt,F104+D105),"")</f>
        <v/>
      </c>
      <c r="D105" s="9">
        <f>IF(A105&lt;&gt;"",ROUND(F104*AnnualRate/12,2),"")</f>
        <v/>
      </c>
      <c r="E105" s="9">
        <f>IF(A105&lt;&gt;"",MIN(F104,(C105-D105)+SUMPRODUCT(($B$10:$B$19&lt;&gt;"")*($B$10:$B$19&lt;=B105)*($D$10:$D$19="Monthly")*$C$10:$C$19)+SUMPRODUCT(($B$10:$B$19&lt;&gt;"")*($B$10:$B$19&lt;=B105)*($D$10:$D$19="Annual")*(MONTH($B$10:$B$19)=MONTH(B105))*$C$10:$C$19)+SUMPRODUCT(($B$22:$B$36&lt;&gt;"")*(YEAR($B$22:$B$36)=YEAR(B105))*(MONTH($B$22:$B$36)=MONTH(B105))*$C$22:$C$36)),"")</f>
        <v/>
      </c>
      <c r="F105" s="9">
        <f>IF(A105&lt;&gt;"",ROUND(F104-E105,2),"")</f>
        <v/>
      </c>
    </row>
    <row r="106">
      <c r="A106" s="15">
        <f>IF(AND(F105&gt;0.005,A105&lt;&gt;""),68,"")</f>
        <v/>
      </c>
      <c r="B106" s="16">
        <f>IF(A106&lt;&gt;"",EDATE(StartDate,67),"")</f>
        <v/>
      </c>
      <c r="C106" s="17">
        <f>IF(A106&lt;&gt;"",MIN(MonthlyPmt,F105+D106),"")</f>
        <v/>
      </c>
      <c r="D106" s="17">
        <f>IF(A106&lt;&gt;"",ROUND(F105*AnnualRate/12,2),"")</f>
        <v/>
      </c>
      <c r="E106" s="17">
        <f>IF(A106&lt;&gt;"",MIN(F105,(C106-D106)+SUMPRODUCT(($B$10:$B$19&lt;&gt;"")*($B$10:$B$19&lt;=B106)*($D$10:$D$19="Monthly")*$C$10:$C$19)+SUMPRODUCT(($B$10:$B$19&lt;&gt;"")*($B$10:$B$19&lt;=B106)*($D$10:$D$19="Annual")*(MONTH($B$10:$B$19)=MONTH(B106))*$C$10:$C$19)+SUMPRODUCT(($B$22:$B$36&lt;&gt;"")*(YEAR($B$22:$B$36)=YEAR(B106))*(MONTH($B$22:$B$36)=MONTH(B106))*$C$22:$C$36)),"")</f>
        <v/>
      </c>
      <c r="F106" s="17">
        <f>IF(A106&lt;&gt;"",ROUND(F105-E106,2),"")</f>
        <v/>
      </c>
    </row>
    <row r="107">
      <c r="A107" s="7">
        <f>IF(AND(F106&gt;0.005,A106&lt;&gt;""),69,"")</f>
        <v/>
      </c>
      <c r="B107" s="4">
        <f>IF(A107&lt;&gt;"",EDATE(StartDate,68),"")</f>
        <v/>
      </c>
      <c r="C107" s="9">
        <f>IF(A107&lt;&gt;"",MIN(MonthlyPmt,F106+D107),"")</f>
        <v/>
      </c>
      <c r="D107" s="9">
        <f>IF(A107&lt;&gt;"",ROUND(F106*AnnualRate/12,2),"")</f>
        <v/>
      </c>
      <c r="E107" s="9">
        <f>IF(A107&lt;&gt;"",MIN(F106,(C107-D107)+SUMPRODUCT(($B$10:$B$19&lt;&gt;"")*($B$10:$B$19&lt;=B107)*($D$10:$D$19="Monthly")*$C$10:$C$19)+SUMPRODUCT(($B$10:$B$19&lt;&gt;"")*($B$10:$B$19&lt;=B107)*($D$10:$D$19="Annual")*(MONTH($B$10:$B$19)=MONTH(B107))*$C$10:$C$19)+SUMPRODUCT(($B$22:$B$36&lt;&gt;"")*(YEAR($B$22:$B$36)=YEAR(B107))*(MONTH($B$22:$B$36)=MONTH(B107))*$C$22:$C$36)),"")</f>
        <v/>
      </c>
      <c r="F107" s="9">
        <f>IF(A107&lt;&gt;"",ROUND(F106-E107,2),"")</f>
        <v/>
      </c>
    </row>
    <row r="108">
      <c r="A108" s="15">
        <f>IF(AND(F107&gt;0.005,A107&lt;&gt;""),70,"")</f>
        <v/>
      </c>
      <c r="B108" s="16">
        <f>IF(A108&lt;&gt;"",EDATE(StartDate,69),"")</f>
        <v/>
      </c>
      <c r="C108" s="17">
        <f>IF(A108&lt;&gt;"",MIN(MonthlyPmt,F107+D108),"")</f>
        <v/>
      </c>
      <c r="D108" s="17">
        <f>IF(A108&lt;&gt;"",ROUND(F107*AnnualRate/12,2),"")</f>
        <v/>
      </c>
      <c r="E108" s="17">
        <f>IF(A108&lt;&gt;"",MIN(F107,(C108-D108)+SUMPRODUCT(($B$10:$B$19&lt;&gt;"")*($B$10:$B$19&lt;=B108)*($D$10:$D$19="Monthly")*$C$10:$C$19)+SUMPRODUCT(($B$10:$B$19&lt;&gt;"")*($B$10:$B$19&lt;=B108)*($D$10:$D$19="Annual")*(MONTH($B$10:$B$19)=MONTH(B108))*$C$10:$C$19)+SUMPRODUCT(($B$22:$B$36&lt;&gt;"")*(YEAR($B$22:$B$36)=YEAR(B108))*(MONTH($B$22:$B$36)=MONTH(B108))*$C$22:$C$36)),"")</f>
        <v/>
      </c>
      <c r="F108" s="17">
        <f>IF(A108&lt;&gt;"",ROUND(F107-E108,2),"")</f>
        <v/>
      </c>
    </row>
    <row r="109">
      <c r="A109" s="7">
        <f>IF(AND(F108&gt;0.005,A108&lt;&gt;""),71,"")</f>
        <v/>
      </c>
      <c r="B109" s="4">
        <f>IF(A109&lt;&gt;"",EDATE(StartDate,70),"")</f>
        <v/>
      </c>
      <c r="C109" s="9">
        <f>IF(A109&lt;&gt;"",MIN(MonthlyPmt,F108+D109),"")</f>
        <v/>
      </c>
      <c r="D109" s="9">
        <f>IF(A109&lt;&gt;"",ROUND(F108*AnnualRate/12,2),"")</f>
        <v/>
      </c>
      <c r="E109" s="9">
        <f>IF(A109&lt;&gt;"",MIN(F108,(C109-D109)+SUMPRODUCT(($B$10:$B$19&lt;&gt;"")*($B$10:$B$19&lt;=B109)*($D$10:$D$19="Monthly")*$C$10:$C$19)+SUMPRODUCT(($B$10:$B$19&lt;&gt;"")*($B$10:$B$19&lt;=B109)*($D$10:$D$19="Annual")*(MONTH($B$10:$B$19)=MONTH(B109))*$C$10:$C$19)+SUMPRODUCT(($B$22:$B$36&lt;&gt;"")*(YEAR($B$22:$B$36)=YEAR(B109))*(MONTH($B$22:$B$36)=MONTH(B109))*$C$22:$C$36)),"")</f>
        <v/>
      </c>
      <c r="F109" s="9">
        <f>IF(A109&lt;&gt;"",ROUND(F108-E109,2),"")</f>
        <v/>
      </c>
    </row>
    <row r="110">
      <c r="A110" s="15">
        <f>IF(AND(F109&gt;0.005,A109&lt;&gt;""),72,"")</f>
        <v/>
      </c>
      <c r="B110" s="16">
        <f>IF(A110&lt;&gt;"",EDATE(StartDate,71),"")</f>
        <v/>
      </c>
      <c r="C110" s="17">
        <f>IF(A110&lt;&gt;"",MIN(MonthlyPmt,F109+D110),"")</f>
        <v/>
      </c>
      <c r="D110" s="17">
        <f>IF(A110&lt;&gt;"",ROUND(F109*AnnualRate/12,2),"")</f>
        <v/>
      </c>
      <c r="E110" s="17">
        <f>IF(A110&lt;&gt;"",MIN(F109,(C110-D110)+SUMPRODUCT(($B$10:$B$19&lt;&gt;"")*($B$10:$B$19&lt;=B110)*($D$10:$D$19="Monthly")*$C$10:$C$19)+SUMPRODUCT(($B$10:$B$19&lt;&gt;"")*($B$10:$B$19&lt;=B110)*($D$10:$D$19="Annual")*(MONTH($B$10:$B$19)=MONTH(B110))*$C$10:$C$19)+SUMPRODUCT(($B$22:$B$36&lt;&gt;"")*(YEAR($B$22:$B$36)=YEAR(B110))*(MONTH($B$22:$B$36)=MONTH(B110))*$C$22:$C$36)),"")</f>
        <v/>
      </c>
      <c r="F110" s="17">
        <f>IF(A110&lt;&gt;"",ROUND(F109-E110,2),"")</f>
        <v/>
      </c>
    </row>
    <row r="111">
      <c r="A111" s="7">
        <f>IF(AND(F110&gt;0.005,A110&lt;&gt;""),73,"")</f>
        <v/>
      </c>
      <c r="B111" s="4">
        <f>IF(A111&lt;&gt;"",EDATE(StartDate,72),"")</f>
        <v/>
      </c>
      <c r="C111" s="9">
        <f>IF(A111&lt;&gt;"",MIN(MonthlyPmt,F110+D111),"")</f>
        <v/>
      </c>
      <c r="D111" s="9">
        <f>IF(A111&lt;&gt;"",ROUND(F110*AnnualRate/12,2),"")</f>
        <v/>
      </c>
      <c r="E111" s="9">
        <f>IF(A111&lt;&gt;"",MIN(F110,(C111-D111)+SUMPRODUCT(($B$10:$B$19&lt;&gt;"")*($B$10:$B$19&lt;=B111)*($D$10:$D$19="Monthly")*$C$10:$C$19)+SUMPRODUCT(($B$10:$B$19&lt;&gt;"")*($B$10:$B$19&lt;=B111)*($D$10:$D$19="Annual")*(MONTH($B$10:$B$19)=MONTH(B111))*$C$10:$C$19)+SUMPRODUCT(($B$22:$B$36&lt;&gt;"")*(YEAR($B$22:$B$36)=YEAR(B111))*(MONTH($B$22:$B$36)=MONTH(B111))*$C$22:$C$36)),"")</f>
        <v/>
      </c>
      <c r="F111" s="9">
        <f>IF(A111&lt;&gt;"",ROUND(F110-E111,2),"")</f>
        <v/>
      </c>
    </row>
    <row r="112">
      <c r="A112" s="15">
        <f>IF(AND(F111&gt;0.005,A111&lt;&gt;""),74,"")</f>
        <v/>
      </c>
      <c r="B112" s="16">
        <f>IF(A112&lt;&gt;"",EDATE(StartDate,73),"")</f>
        <v/>
      </c>
      <c r="C112" s="17">
        <f>IF(A112&lt;&gt;"",MIN(MonthlyPmt,F111+D112),"")</f>
        <v/>
      </c>
      <c r="D112" s="17">
        <f>IF(A112&lt;&gt;"",ROUND(F111*AnnualRate/12,2),"")</f>
        <v/>
      </c>
      <c r="E112" s="17">
        <f>IF(A112&lt;&gt;"",MIN(F111,(C112-D112)+SUMPRODUCT(($B$10:$B$19&lt;&gt;"")*($B$10:$B$19&lt;=B112)*($D$10:$D$19="Monthly")*$C$10:$C$19)+SUMPRODUCT(($B$10:$B$19&lt;&gt;"")*($B$10:$B$19&lt;=B112)*($D$10:$D$19="Annual")*(MONTH($B$10:$B$19)=MONTH(B112))*$C$10:$C$19)+SUMPRODUCT(($B$22:$B$36&lt;&gt;"")*(YEAR($B$22:$B$36)=YEAR(B112))*(MONTH($B$22:$B$36)=MONTH(B112))*$C$22:$C$36)),"")</f>
        <v/>
      </c>
      <c r="F112" s="17">
        <f>IF(A112&lt;&gt;"",ROUND(F111-E112,2),"")</f>
        <v/>
      </c>
    </row>
    <row r="113">
      <c r="A113" s="7">
        <f>IF(AND(F112&gt;0.005,A112&lt;&gt;""),75,"")</f>
        <v/>
      </c>
      <c r="B113" s="4">
        <f>IF(A113&lt;&gt;"",EDATE(StartDate,74),"")</f>
        <v/>
      </c>
      <c r="C113" s="9">
        <f>IF(A113&lt;&gt;"",MIN(MonthlyPmt,F112+D113),"")</f>
        <v/>
      </c>
      <c r="D113" s="9">
        <f>IF(A113&lt;&gt;"",ROUND(F112*AnnualRate/12,2),"")</f>
        <v/>
      </c>
      <c r="E113" s="9">
        <f>IF(A113&lt;&gt;"",MIN(F112,(C113-D113)+SUMPRODUCT(($B$10:$B$19&lt;&gt;"")*($B$10:$B$19&lt;=B113)*($D$10:$D$19="Monthly")*$C$10:$C$19)+SUMPRODUCT(($B$10:$B$19&lt;&gt;"")*($B$10:$B$19&lt;=B113)*($D$10:$D$19="Annual")*(MONTH($B$10:$B$19)=MONTH(B113))*$C$10:$C$19)+SUMPRODUCT(($B$22:$B$36&lt;&gt;"")*(YEAR($B$22:$B$36)=YEAR(B113))*(MONTH($B$22:$B$36)=MONTH(B113))*$C$22:$C$36)),"")</f>
        <v/>
      </c>
      <c r="F113" s="9">
        <f>IF(A113&lt;&gt;"",ROUND(F112-E113,2),"")</f>
        <v/>
      </c>
    </row>
    <row r="114">
      <c r="A114" s="15">
        <f>IF(AND(F113&gt;0.005,A113&lt;&gt;""),76,"")</f>
        <v/>
      </c>
      <c r="B114" s="16">
        <f>IF(A114&lt;&gt;"",EDATE(StartDate,75),"")</f>
        <v/>
      </c>
      <c r="C114" s="17">
        <f>IF(A114&lt;&gt;"",MIN(MonthlyPmt,F113+D114),"")</f>
        <v/>
      </c>
      <c r="D114" s="17">
        <f>IF(A114&lt;&gt;"",ROUND(F113*AnnualRate/12,2),"")</f>
        <v/>
      </c>
      <c r="E114" s="17">
        <f>IF(A114&lt;&gt;"",MIN(F113,(C114-D114)+SUMPRODUCT(($B$10:$B$19&lt;&gt;"")*($B$10:$B$19&lt;=B114)*($D$10:$D$19="Monthly")*$C$10:$C$19)+SUMPRODUCT(($B$10:$B$19&lt;&gt;"")*($B$10:$B$19&lt;=B114)*($D$10:$D$19="Annual")*(MONTH($B$10:$B$19)=MONTH(B114))*$C$10:$C$19)+SUMPRODUCT(($B$22:$B$36&lt;&gt;"")*(YEAR($B$22:$B$36)=YEAR(B114))*(MONTH($B$22:$B$36)=MONTH(B114))*$C$22:$C$36)),"")</f>
        <v/>
      </c>
      <c r="F114" s="17">
        <f>IF(A114&lt;&gt;"",ROUND(F113-E114,2),"")</f>
        <v/>
      </c>
    </row>
    <row r="115">
      <c r="A115" s="7">
        <f>IF(AND(F114&gt;0.005,A114&lt;&gt;""),77,"")</f>
        <v/>
      </c>
      <c r="B115" s="4">
        <f>IF(A115&lt;&gt;"",EDATE(StartDate,76),"")</f>
        <v/>
      </c>
      <c r="C115" s="9">
        <f>IF(A115&lt;&gt;"",MIN(MonthlyPmt,F114+D115),"")</f>
        <v/>
      </c>
      <c r="D115" s="9">
        <f>IF(A115&lt;&gt;"",ROUND(F114*AnnualRate/12,2),"")</f>
        <v/>
      </c>
      <c r="E115" s="9">
        <f>IF(A115&lt;&gt;"",MIN(F114,(C115-D115)+SUMPRODUCT(($B$10:$B$19&lt;&gt;"")*($B$10:$B$19&lt;=B115)*($D$10:$D$19="Monthly")*$C$10:$C$19)+SUMPRODUCT(($B$10:$B$19&lt;&gt;"")*($B$10:$B$19&lt;=B115)*($D$10:$D$19="Annual")*(MONTH($B$10:$B$19)=MONTH(B115))*$C$10:$C$19)+SUMPRODUCT(($B$22:$B$36&lt;&gt;"")*(YEAR($B$22:$B$36)=YEAR(B115))*(MONTH($B$22:$B$36)=MONTH(B115))*$C$22:$C$36)),"")</f>
        <v/>
      </c>
      <c r="F115" s="9">
        <f>IF(A115&lt;&gt;"",ROUND(F114-E115,2),"")</f>
        <v/>
      </c>
    </row>
    <row r="116">
      <c r="A116" s="15">
        <f>IF(AND(F115&gt;0.005,A115&lt;&gt;""),78,"")</f>
        <v/>
      </c>
      <c r="B116" s="16">
        <f>IF(A116&lt;&gt;"",EDATE(StartDate,77),"")</f>
        <v/>
      </c>
      <c r="C116" s="17">
        <f>IF(A116&lt;&gt;"",MIN(MonthlyPmt,F115+D116),"")</f>
        <v/>
      </c>
      <c r="D116" s="17">
        <f>IF(A116&lt;&gt;"",ROUND(F115*AnnualRate/12,2),"")</f>
        <v/>
      </c>
      <c r="E116" s="17">
        <f>IF(A116&lt;&gt;"",MIN(F115,(C116-D116)+SUMPRODUCT(($B$10:$B$19&lt;&gt;"")*($B$10:$B$19&lt;=B116)*($D$10:$D$19="Monthly")*$C$10:$C$19)+SUMPRODUCT(($B$10:$B$19&lt;&gt;"")*($B$10:$B$19&lt;=B116)*($D$10:$D$19="Annual")*(MONTH($B$10:$B$19)=MONTH(B116))*$C$10:$C$19)+SUMPRODUCT(($B$22:$B$36&lt;&gt;"")*(YEAR($B$22:$B$36)=YEAR(B116))*(MONTH($B$22:$B$36)=MONTH(B116))*$C$22:$C$36)),"")</f>
        <v/>
      </c>
      <c r="F116" s="17">
        <f>IF(A116&lt;&gt;"",ROUND(F115-E116,2),"")</f>
        <v/>
      </c>
    </row>
    <row r="117">
      <c r="A117" s="7">
        <f>IF(AND(F116&gt;0.005,A116&lt;&gt;""),79,"")</f>
        <v/>
      </c>
      <c r="B117" s="4">
        <f>IF(A117&lt;&gt;"",EDATE(StartDate,78),"")</f>
        <v/>
      </c>
      <c r="C117" s="9">
        <f>IF(A117&lt;&gt;"",MIN(MonthlyPmt,F116+D117),"")</f>
        <v/>
      </c>
      <c r="D117" s="9">
        <f>IF(A117&lt;&gt;"",ROUND(F116*AnnualRate/12,2),"")</f>
        <v/>
      </c>
      <c r="E117" s="9">
        <f>IF(A117&lt;&gt;"",MIN(F116,(C117-D117)+SUMPRODUCT(($B$10:$B$19&lt;&gt;"")*($B$10:$B$19&lt;=B117)*($D$10:$D$19="Monthly")*$C$10:$C$19)+SUMPRODUCT(($B$10:$B$19&lt;&gt;"")*($B$10:$B$19&lt;=B117)*($D$10:$D$19="Annual")*(MONTH($B$10:$B$19)=MONTH(B117))*$C$10:$C$19)+SUMPRODUCT(($B$22:$B$36&lt;&gt;"")*(YEAR($B$22:$B$36)=YEAR(B117))*(MONTH($B$22:$B$36)=MONTH(B117))*$C$22:$C$36)),"")</f>
        <v/>
      </c>
      <c r="F117" s="9">
        <f>IF(A117&lt;&gt;"",ROUND(F116-E117,2),"")</f>
        <v/>
      </c>
    </row>
    <row r="118">
      <c r="A118" s="15">
        <f>IF(AND(F117&gt;0.005,A117&lt;&gt;""),80,"")</f>
        <v/>
      </c>
      <c r="B118" s="16">
        <f>IF(A118&lt;&gt;"",EDATE(StartDate,79),"")</f>
        <v/>
      </c>
      <c r="C118" s="17">
        <f>IF(A118&lt;&gt;"",MIN(MonthlyPmt,F117+D118),"")</f>
        <v/>
      </c>
      <c r="D118" s="17">
        <f>IF(A118&lt;&gt;"",ROUND(F117*AnnualRate/12,2),"")</f>
        <v/>
      </c>
      <c r="E118" s="17">
        <f>IF(A118&lt;&gt;"",MIN(F117,(C118-D118)+SUMPRODUCT(($B$10:$B$19&lt;&gt;"")*($B$10:$B$19&lt;=B118)*($D$10:$D$19="Monthly")*$C$10:$C$19)+SUMPRODUCT(($B$10:$B$19&lt;&gt;"")*($B$10:$B$19&lt;=B118)*($D$10:$D$19="Annual")*(MONTH($B$10:$B$19)=MONTH(B118))*$C$10:$C$19)+SUMPRODUCT(($B$22:$B$36&lt;&gt;"")*(YEAR($B$22:$B$36)=YEAR(B118))*(MONTH($B$22:$B$36)=MONTH(B118))*$C$22:$C$36)),"")</f>
        <v/>
      </c>
      <c r="F118" s="17">
        <f>IF(A118&lt;&gt;"",ROUND(F117-E118,2),"")</f>
        <v/>
      </c>
    </row>
    <row r="119">
      <c r="A119" s="7">
        <f>IF(AND(F118&gt;0.005,A118&lt;&gt;""),81,"")</f>
        <v/>
      </c>
      <c r="B119" s="4">
        <f>IF(A119&lt;&gt;"",EDATE(StartDate,80),"")</f>
        <v/>
      </c>
      <c r="C119" s="9">
        <f>IF(A119&lt;&gt;"",MIN(MonthlyPmt,F118+D119),"")</f>
        <v/>
      </c>
      <c r="D119" s="9">
        <f>IF(A119&lt;&gt;"",ROUND(F118*AnnualRate/12,2),"")</f>
        <v/>
      </c>
      <c r="E119" s="9">
        <f>IF(A119&lt;&gt;"",MIN(F118,(C119-D119)+SUMPRODUCT(($B$10:$B$19&lt;&gt;"")*($B$10:$B$19&lt;=B119)*($D$10:$D$19="Monthly")*$C$10:$C$19)+SUMPRODUCT(($B$10:$B$19&lt;&gt;"")*($B$10:$B$19&lt;=B119)*($D$10:$D$19="Annual")*(MONTH($B$10:$B$19)=MONTH(B119))*$C$10:$C$19)+SUMPRODUCT(($B$22:$B$36&lt;&gt;"")*(YEAR($B$22:$B$36)=YEAR(B119))*(MONTH($B$22:$B$36)=MONTH(B119))*$C$22:$C$36)),"")</f>
        <v/>
      </c>
      <c r="F119" s="9">
        <f>IF(A119&lt;&gt;"",ROUND(F118-E119,2),"")</f>
        <v/>
      </c>
    </row>
    <row r="120">
      <c r="A120" s="15">
        <f>IF(AND(F119&gt;0.005,A119&lt;&gt;""),82,"")</f>
        <v/>
      </c>
      <c r="B120" s="16">
        <f>IF(A120&lt;&gt;"",EDATE(StartDate,81),"")</f>
        <v/>
      </c>
      <c r="C120" s="17">
        <f>IF(A120&lt;&gt;"",MIN(MonthlyPmt,F119+D120),"")</f>
        <v/>
      </c>
      <c r="D120" s="17">
        <f>IF(A120&lt;&gt;"",ROUND(F119*AnnualRate/12,2),"")</f>
        <v/>
      </c>
      <c r="E120" s="17">
        <f>IF(A120&lt;&gt;"",MIN(F119,(C120-D120)+SUMPRODUCT(($B$10:$B$19&lt;&gt;"")*($B$10:$B$19&lt;=B120)*($D$10:$D$19="Monthly")*$C$10:$C$19)+SUMPRODUCT(($B$10:$B$19&lt;&gt;"")*($B$10:$B$19&lt;=B120)*($D$10:$D$19="Annual")*(MONTH($B$10:$B$19)=MONTH(B120))*$C$10:$C$19)+SUMPRODUCT(($B$22:$B$36&lt;&gt;"")*(YEAR($B$22:$B$36)=YEAR(B120))*(MONTH($B$22:$B$36)=MONTH(B120))*$C$22:$C$36)),"")</f>
        <v/>
      </c>
      <c r="F120" s="17">
        <f>IF(A120&lt;&gt;"",ROUND(F119-E120,2),"")</f>
        <v/>
      </c>
    </row>
    <row r="121">
      <c r="A121" s="7">
        <f>IF(AND(F120&gt;0.005,A120&lt;&gt;""),83,"")</f>
        <v/>
      </c>
      <c r="B121" s="4">
        <f>IF(A121&lt;&gt;"",EDATE(StartDate,82),"")</f>
        <v/>
      </c>
      <c r="C121" s="9">
        <f>IF(A121&lt;&gt;"",MIN(MonthlyPmt,F120+D121),"")</f>
        <v/>
      </c>
      <c r="D121" s="9">
        <f>IF(A121&lt;&gt;"",ROUND(F120*AnnualRate/12,2),"")</f>
        <v/>
      </c>
      <c r="E121" s="9">
        <f>IF(A121&lt;&gt;"",MIN(F120,(C121-D121)+SUMPRODUCT(($B$10:$B$19&lt;&gt;"")*($B$10:$B$19&lt;=B121)*($D$10:$D$19="Monthly")*$C$10:$C$19)+SUMPRODUCT(($B$10:$B$19&lt;&gt;"")*($B$10:$B$19&lt;=B121)*($D$10:$D$19="Annual")*(MONTH($B$10:$B$19)=MONTH(B121))*$C$10:$C$19)+SUMPRODUCT(($B$22:$B$36&lt;&gt;"")*(YEAR($B$22:$B$36)=YEAR(B121))*(MONTH($B$22:$B$36)=MONTH(B121))*$C$22:$C$36)),"")</f>
        <v/>
      </c>
      <c r="F121" s="9">
        <f>IF(A121&lt;&gt;"",ROUND(F120-E121,2),"")</f>
        <v/>
      </c>
    </row>
    <row r="122">
      <c r="A122" s="15">
        <f>IF(AND(F121&gt;0.005,A121&lt;&gt;""),84,"")</f>
        <v/>
      </c>
      <c r="B122" s="16">
        <f>IF(A122&lt;&gt;"",EDATE(StartDate,83),"")</f>
        <v/>
      </c>
      <c r="C122" s="17">
        <f>IF(A122&lt;&gt;"",MIN(MonthlyPmt,F121+D122),"")</f>
        <v/>
      </c>
      <c r="D122" s="17">
        <f>IF(A122&lt;&gt;"",ROUND(F121*AnnualRate/12,2),"")</f>
        <v/>
      </c>
      <c r="E122" s="17">
        <f>IF(A122&lt;&gt;"",MIN(F121,(C122-D122)+SUMPRODUCT(($B$10:$B$19&lt;&gt;"")*($B$10:$B$19&lt;=B122)*($D$10:$D$19="Monthly")*$C$10:$C$19)+SUMPRODUCT(($B$10:$B$19&lt;&gt;"")*($B$10:$B$19&lt;=B122)*($D$10:$D$19="Annual")*(MONTH($B$10:$B$19)=MONTH(B122))*$C$10:$C$19)+SUMPRODUCT(($B$22:$B$36&lt;&gt;"")*(YEAR($B$22:$B$36)=YEAR(B122))*(MONTH($B$22:$B$36)=MONTH(B122))*$C$22:$C$36)),"")</f>
        <v/>
      </c>
      <c r="F122" s="17">
        <f>IF(A122&lt;&gt;"",ROUND(F121-E122,2),"")</f>
        <v/>
      </c>
    </row>
    <row r="123">
      <c r="A123" s="7">
        <f>IF(AND(F122&gt;0.005,A122&lt;&gt;""),85,"")</f>
        <v/>
      </c>
      <c r="B123" s="4">
        <f>IF(A123&lt;&gt;"",EDATE(StartDate,84),"")</f>
        <v/>
      </c>
      <c r="C123" s="9">
        <f>IF(A123&lt;&gt;"",MIN(MonthlyPmt,F122+D123),"")</f>
        <v/>
      </c>
      <c r="D123" s="9">
        <f>IF(A123&lt;&gt;"",ROUND(F122*AnnualRate/12,2),"")</f>
        <v/>
      </c>
      <c r="E123" s="9">
        <f>IF(A123&lt;&gt;"",MIN(F122,(C123-D123)+SUMPRODUCT(($B$10:$B$19&lt;&gt;"")*($B$10:$B$19&lt;=B123)*($D$10:$D$19="Monthly")*$C$10:$C$19)+SUMPRODUCT(($B$10:$B$19&lt;&gt;"")*($B$10:$B$19&lt;=B123)*($D$10:$D$19="Annual")*(MONTH($B$10:$B$19)=MONTH(B123))*$C$10:$C$19)+SUMPRODUCT(($B$22:$B$36&lt;&gt;"")*(YEAR($B$22:$B$36)=YEAR(B123))*(MONTH($B$22:$B$36)=MONTH(B123))*$C$22:$C$36)),"")</f>
        <v/>
      </c>
      <c r="F123" s="9">
        <f>IF(A123&lt;&gt;"",ROUND(F122-E123,2),"")</f>
        <v/>
      </c>
    </row>
    <row r="124">
      <c r="A124" s="15">
        <f>IF(AND(F123&gt;0.005,A123&lt;&gt;""),86,"")</f>
        <v/>
      </c>
      <c r="B124" s="16">
        <f>IF(A124&lt;&gt;"",EDATE(StartDate,85),"")</f>
        <v/>
      </c>
      <c r="C124" s="17">
        <f>IF(A124&lt;&gt;"",MIN(MonthlyPmt,F123+D124),"")</f>
        <v/>
      </c>
      <c r="D124" s="17">
        <f>IF(A124&lt;&gt;"",ROUND(F123*AnnualRate/12,2),"")</f>
        <v/>
      </c>
      <c r="E124" s="17">
        <f>IF(A124&lt;&gt;"",MIN(F123,(C124-D124)+SUMPRODUCT(($B$10:$B$19&lt;&gt;"")*($B$10:$B$19&lt;=B124)*($D$10:$D$19="Monthly")*$C$10:$C$19)+SUMPRODUCT(($B$10:$B$19&lt;&gt;"")*($B$10:$B$19&lt;=B124)*($D$10:$D$19="Annual")*(MONTH($B$10:$B$19)=MONTH(B124))*$C$10:$C$19)+SUMPRODUCT(($B$22:$B$36&lt;&gt;"")*(YEAR($B$22:$B$36)=YEAR(B124))*(MONTH($B$22:$B$36)=MONTH(B124))*$C$22:$C$36)),"")</f>
        <v/>
      </c>
      <c r="F124" s="17">
        <f>IF(A124&lt;&gt;"",ROUND(F123-E124,2),"")</f>
        <v/>
      </c>
    </row>
    <row r="125">
      <c r="A125" s="7">
        <f>IF(AND(F124&gt;0.005,A124&lt;&gt;""),87,"")</f>
        <v/>
      </c>
      <c r="B125" s="4">
        <f>IF(A125&lt;&gt;"",EDATE(StartDate,86),"")</f>
        <v/>
      </c>
      <c r="C125" s="9">
        <f>IF(A125&lt;&gt;"",MIN(MonthlyPmt,F124+D125),"")</f>
        <v/>
      </c>
      <c r="D125" s="9">
        <f>IF(A125&lt;&gt;"",ROUND(F124*AnnualRate/12,2),"")</f>
        <v/>
      </c>
      <c r="E125" s="9">
        <f>IF(A125&lt;&gt;"",MIN(F124,(C125-D125)+SUMPRODUCT(($B$10:$B$19&lt;&gt;"")*($B$10:$B$19&lt;=B125)*($D$10:$D$19="Monthly")*$C$10:$C$19)+SUMPRODUCT(($B$10:$B$19&lt;&gt;"")*($B$10:$B$19&lt;=B125)*($D$10:$D$19="Annual")*(MONTH($B$10:$B$19)=MONTH(B125))*$C$10:$C$19)+SUMPRODUCT(($B$22:$B$36&lt;&gt;"")*(YEAR($B$22:$B$36)=YEAR(B125))*(MONTH($B$22:$B$36)=MONTH(B125))*$C$22:$C$36)),"")</f>
        <v/>
      </c>
      <c r="F125" s="9">
        <f>IF(A125&lt;&gt;"",ROUND(F124-E125,2),"")</f>
        <v/>
      </c>
    </row>
    <row r="126">
      <c r="A126" s="15">
        <f>IF(AND(F125&gt;0.005,A125&lt;&gt;""),88,"")</f>
        <v/>
      </c>
      <c r="B126" s="16">
        <f>IF(A126&lt;&gt;"",EDATE(StartDate,87),"")</f>
        <v/>
      </c>
      <c r="C126" s="17">
        <f>IF(A126&lt;&gt;"",MIN(MonthlyPmt,F125+D126),"")</f>
        <v/>
      </c>
      <c r="D126" s="17">
        <f>IF(A126&lt;&gt;"",ROUND(F125*AnnualRate/12,2),"")</f>
        <v/>
      </c>
      <c r="E126" s="17">
        <f>IF(A126&lt;&gt;"",MIN(F125,(C126-D126)+SUMPRODUCT(($B$10:$B$19&lt;&gt;"")*($B$10:$B$19&lt;=B126)*($D$10:$D$19="Monthly")*$C$10:$C$19)+SUMPRODUCT(($B$10:$B$19&lt;&gt;"")*($B$10:$B$19&lt;=B126)*($D$10:$D$19="Annual")*(MONTH($B$10:$B$19)=MONTH(B126))*$C$10:$C$19)+SUMPRODUCT(($B$22:$B$36&lt;&gt;"")*(YEAR($B$22:$B$36)=YEAR(B126))*(MONTH($B$22:$B$36)=MONTH(B126))*$C$22:$C$36)),"")</f>
        <v/>
      </c>
      <c r="F126" s="17">
        <f>IF(A126&lt;&gt;"",ROUND(F125-E126,2),"")</f>
        <v/>
      </c>
    </row>
    <row r="127">
      <c r="A127" s="7">
        <f>IF(AND(F126&gt;0.005,A126&lt;&gt;""),89,"")</f>
        <v/>
      </c>
      <c r="B127" s="4">
        <f>IF(A127&lt;&gt;"",EDATE(StartDate,88),"")</f>
        <v/>
      </c>
      <c r="C127" s="9">
        <f>IF(A127&lt;&gt;"",MIN(MonthlyPmt,F126+D127),"")</f>
        <v/>
      </c>
      <c r="D127" s="9">
        <f>IF(A127&lt;&gt;"",ROUND(F126*AnnualRate/12,2),"")</f>
        <v/>
      </c>
      <c r="E127" s="9">
        <f>IF(A127&lt;&gt;"",MIN(F126,(C127-D127)+SUMPRODUCT(($B$10:$B$19&lt;&gt;"")*($B$10:$B$19&lt;=B127)*($D$10:$D$19="Monthly")*$C$10:$C$19)+SUMPRODUCT(($B$10:$B$19&lt;&gt;"")*($B$10:$B$19&lt;=B127)*($D$10:$D$19="Annual")*(MONTH($B$10:$B$19)=MONTH(B127))*$C$10:$C$19)+SUMPRODUCT(($B$22:$B$36&lt;&gt;"")*(YEAR($B$22:$B$36)=YEAR(B127))*(MONTH($B$22:$B$36)=MONTH(B127))*$C$22:$C$36)),"")</f>
        <v/>
      </c>
      <c r="F127" s="9">
        <f>IF(A127&lt;&gt;"",ROUND(F126-E127,2),"")</f>
        <v/>
      </c>
    </row>
    <row r="128">
      <c r="A128" s="15">
        <f>IF(AND(F127&gt;0.005,A127&lt;&gt;""),90,"")</f>
        <v/>
      </c>
      <c r="B128" s="16">
        <f>IF(A128&lt;&gt;"",EDATE(StartDate,89),"")</f>
        <v/>
      </c>
      <c r="C128" s="17">
        <f>IF(A128&lt;&gt;"",MIN(MonthlyPmt,F127+D128),"")</f>
        <v/>
      </c>
      <c r="D128" s="17">
        <f>IF(A128&lt;&gt;"",ROUND(F127*AnnualRate/12,2),"")</f>
        <v/>
      </c>
      <c r="E128" s="17">
        <f>IF(A128&lt;&gt;"",MIN(F127,(C128-D128)+SUMPRODUCT(($B$10:$B$19&lt;&gt;"")*($B$10:$B$19&lt;=B128)*($D$10:$D$19="Monthly")*$C$10:$C$19)+SUMPRODUCT(($B$10:$B$19&lt;&gt;"")*($B$10:$B$19&lt;=B128)*($D$10:$D$19="Annual")*(MONTH($B$10:$B$19)=MONTH(B128))*$C$10:$C$19)+SUMPRODUCT(($B$22:$B$36&lt;&gt;"")*(YEAR($B$22:$B$36)=YEAR(B128))*(MONTH($B$22:$B$36)=MONTH(B128))*$C$22:$C$36)),"")</f>
        <v/>
      </c>
      <c r="F128" s="17">
        <f>IF(A128&lt;&gt;"",ROUND(F127-E128,2),"")</f>
        <v/>
      </c>
    </row>
    <row r="129">
      <c r="A129" s="7">
        <f>IF(AND(F128&gt;0.005,A128&lt;&gt;""),91,"")</f>
        <v/>
      </c>
      <c r="B129" s="4">
        <f>IF(A129&lt;&gt;"",EDATE(StartDate,90),"")</f>
        <v/>
      </c>
      <c r="C129" s="9">
        <f>IF(A129&lt;&gt;"",MIN(MonthlyPmt,F128+D129),"")</f>
        <v/>
      </c>
      <c r="D129" s="9">
        <f>IF(A129&lt;&gt;"",ROUND(F128*AnnualRate/12,2),"")</f>
        <v/>
      </c>
      <c r="E129" s="9">
        <f>IF(A129&lt;&gt;"",MIN(F128,(C129-D129)+SUMPRODUCT(($B$10:$B$19&lt;&gt;"")*($B$10:$B$19&lt;=B129)*($D$10:$D$19="Monthly")*$C$10:$C$19)+SUMPRODUCT(($B$10:$B$19&lt;&gt;"")*($B$10:$B$19&lt;=B129)*($D$10:$D$19="Annual")*(MONTH($B$10:$B$19)=MONTH(B129))*$C$10:$C$19)+SUMPRODUCT(($B$22:$B$36&lt;&gt;"")*(YEAR($B$22:$B$36)=YEAR(B129))*(MONTH($B$22:$B$36)=MONTH(B129))*$C$22:$C$36)),"")</f>
        <v/>
      </c>
      <c r="F129" s="9">
        <f>IF(A129&lt;&gt;"",ROUND(F128-E129,2),"")</f>
        <v/>
      </c>
    </row>
    <row r="130">
      <c r="A130" s="15">
        <f>IF(AND(F129&gt;0.005,A129&lt;&gt;""),92,"")</f>
        <v/>
      </c>
      <c r="B130" s="16">
        <f>IF(A130&lt;&gt;"",EDATE(StartDate,91),"")</f>
        <v/>
      </c>
      <c r="C130" s="17">
        <f>IF(A130&lt;&gt;"",MIN(MonthlyPmt,F129+D130),"")</f>
        <v/>
      </c>
      <c r="D130" s="17">
        <f>IF(A130&lt;&gt;"",ROUND(F129*AnnualRate/12,2),"")</f>
        <v/>
      </c>
      <c r="E130" s="17">
        <f>IF(A130&lt;&gt;"",MIN(F129,(C130-D130)+SUMPRODUCT(($B$10:$B$19&lt;&gt;"")*($B$10:$B$19&lt;=B130)*($D$10:$D$19="Monthly")*$C$10:$C$19)+SUMPRODUCT(($B$10:$B$19&lt;&gt;"")*($B$10:$B$19&lt;=B130)*($D$10:$D$19="Annual")*(MONTH($B$10:$B$19)=MONTH(B130))*$C$10:$C$19)+SUMPRODUCT(($B$22:$B$36&lt;&gt;"")*(YEAR($B$22:$B$36)=YEAR(B130))*(MONTH($B$22:$B$36)=MONTH(B130))*$C$22:$C$36)),"")</f>
        <v/>
      </c>
      <c r="F130" s="17">
        <f>IF(A130&lt;&gt;"",ROUND(F129-E130,2),"")</f>
        <v/>
      </c>
    </row>
    <row r="131">
      <c r="A131" s="7">
        <f>IF(AND(F130&gt;0.005,A130&lt;&gt;""),93,"")</f>
        <v/>
      </c>
      <c r="B131" s="4">
        <f>IF(A131&lt;&gt;"",EDATE(StartDate,92),"")</f>
        <v/>
      </c>
      <c r="C131" s="9">
        <f>IF(A131&lt;&gt;"",MIN(MonthlyPmt,F130+D131),"")</f>
        <v/>
      </c>
      <c r="D131" s="9">
        <f>IF(A131&lt;&gt;"",ROUND(F130*AnnualRate/12,2),"")</f>
        <v/>
      </c>
      <c r="E131" s="9">
        <f>IF(A131&lt;&gt;"",MIN(F130,(C131-D131)+SUMPRODUCT(($B$10:$B$19&lt;&gt;"")*($B$10:$B$19&lt;=B131)*($D$10:$D$19="Monthly")*$C$10:$C$19)+SUMPRODUCT(($B$10:$B$19&lt;&gt;"")*($B$10:$B$19&lt;=B131)*($D$10:$D$19="Annual")*(MONTH($B$10:$B$19)=MONTH(B131))*$C$10:$C$19)+SUMPRODUCT(($B$22:$B$36&lt;&gt;"")*(YEAR($B$22:$B$36)=YEAR(B131))*(MONTH($B$22:$B$36)=MONTH(B131))*$C$22:$C$36)),"")</f>
        <v/>
      </c>
      <c r="F131" s="9">
        <f>IF(A131&lt;&gt;"",ROUND(F130-E131,2),"")</f>
        <v/>
      </c>
    </row>
    <row r="132">
      <c r="A132" s="15">
        <f>IF(AND(F131&gt;0.005,A131&lt;&gt;""),94,"")</f>
        <v/>
      </c>
      <c r="B132" s="16">
        <f>IF(A132&lt;&gt;"",EDATE(StartDate,93),"")</f>
        <v/>
      </c>
      <c r="C132" s="17">
        <f>IF(A132&lt;&gt;"",MIN(MonthlyPmt,F131+D132),"")</f>
        <v/>
      </c>
      <c r="D132" s="17">
        <f>IF(A132&lt;&gt;"",ROUND(F131*AnnualRate/12,2),"")</f>
        <v/>
      </c>
      <c r="E132" s="17">
        <f>IF(A132&lt;&gt;"",MIN(F131,(C132-D132)+SUMPRODUCT(($B$10:$B$19&lt;&gt;"")*($B$10:$B$19&lt;=B132)*($D$10:$D$19="Monthly")*$C$10:$C$19)+SUMPRODUCT(($B$10:$B$19&lt;&gt;"")*($B$10:$B$19&lt;=B132)*($D$10:$D$19="Annual")*(MONTH($B$10:$B$19)=MONTH(B132))*$C$10:$C$19)+SUMPRODUCT(($B$22:$B$36&lt;&gt;"")*(YEAR($B$22:$B$36)=YEAR(B132))*(MONTH($B$22:$B$36)=MONTH(B132))*$C$22:$C$36)),"")</f>
        <v/>
      </c>
      <c r="F132" s="17">
        <f>IF(A132&lt;&gt;"",ROUND(F131-E132,2),"")</f>
        <v/>
      </c>
    </row>
    <row r="133">
      <c r="A133" s="7">
        <f>IF(AND(F132&gt;0.005,A132&lt;&gt;""),95,"")</f>
        <v/>
      </c>
      <c r="B133" s="4">
        <f>IF(A133&lt;&gt;"",EDATE(StartDate,94),"")</f>
        <v/>
      </c>
      <c r="C133" s="9">
        <f>IF(A133&lt;&gt;"",MIN(MonthlyPmt,F132+D133),"")</f>
        <v/>
      </c>
      <c r="D133" s="9">
        <f>IF(A133&lt;&gt;"",ROUND(F132*AnnualRate/12,2),"")</f>
        <v/>
      </c>
      <c r="E133" s="9">
        <f>IF(A133&lt;&gt;"",MIN(F132,(C133-D133)+SUMPRODUCT(($B$10:$B$19&lt;&gt;"")*($B$10:$B$19&lt;=B133)*($D$10:$D$19="Monthly")*$C$10:$C$19)+SUMPRODUCT(($B$10:$B$19&lt;&gt;"")*($B$10:$B$19&lt;=B133)*($D$10:$D$19="Annual")*(MONTH($B$10:$B$19)=MONTH(B133))*$C$10:$C$19)+SUMPRODUCT(($B$22:$B$36&lt;&gt;"")*(YEAR($B$22:$B$36)=YEAR(B133))*(MONTH($B$22:$B$36)=MONTH(B133))*$C$22:$C$36)),"")</f>
        <v/>
      </c>
      <c r="F133" s="9">
        <f>IF(A133&lt;&gt;"",ROUND(F132-E133,2),"")</f>
        <v/>
      </c>
    </row>
    <row r="134">
      <c r="A134" s="15">
        <f>IF(AND(F133&gt;0.005,A133&lt;&gt;""),96,"")</f>
        <v/>
      </c>
      <c r="B134" s="16">
        <f>IF(A134&lt;&gt;"",EDATE(StartDate,95),"")</f>
        <v/>
      </c>
      <c r="C134" s="17">
        <f>IF(A134&lt;&gt;"",MIN(MonthlyPmt,F133+D134),"")</f>
        <v/>
      </c>
      <c r="D134" s="17">
        <f>IF(A134&lt;&gt;"",ROUND(F133*AnnualRate/12,2),"")</f>
        <v/>
      </c>
      <c r="E134" s="17">
        <f>IF(A134&lt;&gt;"",MIN(F133,(C134-D134)+SUMPRODUCT(($B$10:$B$19&lt;&gt;"")*($B$10:$B$19&lt;=B134)*($D$10:$D$19="Monthly")*$C$10:$C$19)+SUMPRODUCT(($B$10:$B$19&lt;&gt;"")*($B$10:$B$19&lt;=B134)*($D$10:$D$19="Annual")*(MONTH($B$10:$B$19)=MONTH(B134))*$C$10:$C$19)+SUMPRODUCT(($B$22:$B$36&lt;&gt;"")*(YEAR($B$22:$B$36)=YEAR(B134))*(MONTH($B$22:$B$36)=MONTH(B134))*$C$22:$C$36)),"")</f>
        <v/>
      </c>
      <c r="F134" s="17">
        <f>IF(A134&lt;&gt;"",ROUND(F133-E134,2),"")</f>
        <v/>
      </c>
    </row>
    <row r="135">
      <c r="A135" s="7">
        <f>IF(AND(F134&gt;0.005,A134&lt;&gt;""),97,"")</f>
        <v/>
      </c>
      <c r="B135" s="4">
        <f>IF(A135&lt;&gt;"",EDATE(StartDate,96),"")</f>
        <v/>
      </c>
      <c r="C135" s="9">
        <f>IF(A135&lt;&gt;"",MIN(MonthlyPmt,F134+D135),"")</f>
        <v/>
      </c>
      <c r="D135" s="9">
        <f>IF(A135&lt;&gt;"",ROUND(F134*AnnualRate/12,2),"")</f>
        <v/>
      </c>
      <c r="E135" s="9">
        <f>IF(A135&lt;&gt;"",MIN(F134,(C135-D135)+SUMPRODUCT(($B$10:$B$19&lt;&gt;"")*($B$10:$B$19&lt;=B135)*($D$10:$D$19="Monthly")*$C$10:$C$19)+SUMPRODUCT(($B$10:$B$19&lt;&gt;"")*($B$10:$B$19&lt;=B135)*($D$10:$D$19="Annual")*(MONTH($B$10:$B$19)=MONTH(B135))*$C$10:$C$19)+SUMPRODUCT(($B$22:$B$36&lt;&gt;"")*(YEAR($B$22:$B$36)=YEAR(B135))*(MONTH($B$22:$B$36)=MONTH(B135))*$C$22:$C$36)),"")</f>
        <v/>
      </c>
      <c r="F135" s="9">
        <f>IF(A135&lt;&gt;"",ROUND(F134-E135,2),"")</f>
        <v/>
      </c>
    </row>
    <row r="136">
      <c r="A136" s="15">
        <f>IF(AND(F135&gt;0.005,A135&lt;&gt;""),98,"")</f>
        <v/>
      </c>
      <c r="B136" s="16">
        <f>IF(A136&lt;&gt;"",EDATE(StartDate,97),"")</f>
        <v/>
      </c>
      <c r="C136" s="17">
        <f>IF(A136&lt;&gt;"",MIN(MonthlyPmt,F135+D136),"")</f>
        <v/>
      </c>
      <c r="D136" s="17">
        <f>IF(A136&lt;&gt;"",ROUND(F135*AnnualRate/12,2),"")</f>
        <v/>
      </c>
      <c r="E136" s="17">
        <f>IF(A136&lt;&gt;"",MIN(F135,(C136-D136)+SUMPRODUCT(($B$10:$B$19&lt;&gt;"")*($B$10:$B$19&lt;=B136)*($D$10:$D$19="Monthly")*$C$10:$C$19)+SUMPRODUCT(($B$10:$B$19&lt;&gt;"")*($B$10:$B$19&lt;=B136)*($D$10:$D$19="Annual")*(MONTH($B$10:$B$19)=MONTH(B136))*$C$10:$C$19)+SUMPRODUCT(($B$22:$B$36&lt;&gt;"")*(YEAR($B$22:$B$36)=YEAR(B136))*(MONTH($B$22:$B$36)=MONTH(B136))*$C$22:$C$36)),"")</f>
        <v/>
      </c>
      <c r="F136" s="17">
        <f>IF(A136&lt;&gt;"",ROUND(F135-E136,2),"")</f>
        <v/>
      </c>
    </row>
    <row r="137">
      <c r="A137" s="7">
        <f>IF(AND(F136&gt;0.005,A136&lt;&gt;""),99,"")</f>
        <v/>
      </c>
      <c r="B137" s="4">
        <f>IF(A137&lt;&gt;"",EDATE(StartDate,98),"")</f>
        <v/>
      </c>
      <c r="C137" s="9">
        <f>IF(A137&lt;&gt;"",MIN(MonthlyPmt,F136+D137),"")</f>
        <v/>
      </c>
      <c r="D137" s="9">
        <f>IF(A137&lt;&gt;"",ROUND(F136*AnnualRate/12,2),"")</f>
        <v/>
      </c>
      <c r="E137" s="9">
        <f>IF(A137&lt;&gt;"",MIN(F136,(C137-D137)+SUMPRODUCT(($B$10:$B$19&lt;&gt;"")*($B$10:$B$19&lt;=B137)*($D$10:$D$19="Monthly")*$C$10:$C$19)+SUMPRODUCT(($B$10:$B$19&lt;&gt;"")*($B$10:$B$19&lt;=B137)*($D$10:$D$19="Annual")*(MONTH($B$10:$B$19)=MONTH(B137))*$C$10:$C$19)+SUMPRODUCT(($B$22:$B$36&lt;&gt;"")*(YEAR($B$22:$B$36)=YEAR(B137))*(MONTH($B$22:$B$36)=MONTH(B137))*$C$22:$C$36)),"")</f>
        <v/>
      </c>
      <c r="F137" s="9">
        <f>IF(A137&lt;&gt;"",ROUND(F136-E137,2),"")</f>
        <v/>
      </c>
    </row>
    <row r="138">
      <c r="A138" s="15">
        <f>IF(AND(F137&gt;0.005,A137&lt;&gt;""),100,"")</f>
        <v/>
      </c>
      <c r="B138" s="16">
        <f>IF(A138&lt;&gt;"",EDATE(StartDate,99),"")</f>
        <v/>
      </c>
      <c r="C138" s="17">
        <f>IF(A138&lt;&gt;"",MIN(MonthlyPmt,F137+D138),"")</f>
        <v/>
      </c>
      <c r="D138" s="17">
        <f>IF(A138&lt;&gt;"",ROUND(F137*AnnualRate/12,2),"")</f>
        <v/>
      </c>
      <c r="E138" s="17">
        <f>IF(A138&lt;&gt;"",MIN(F137,(C138-D138)+SUMPRODUCT(($B$10:$B$19&lt;&gt;"")*($B$10:$B$19&lt;=B138)*($D$10:$D$19="Monthly")*$C$10:$C$19)+SUMPRODUCT(($B$10:$B$19&lt;&gt;"")*($B$10:$B$19&lt;=B138)*($D$10:$D$19="Annual")*(MONTH($B$10:$B$19)=MONTH(B138))*$C$10:$C$19)+SUMPRODUCT(($B$22:$B$36&lt;&gt;"")*(YEAR($B$22:$B$36)=YEAR(B138))*(MONTH($B$22:$B$36)=MONTH(B138))*$C$22:$C$36)),"")</f>
        <v/>
      </c>
      <c r="F138" s="17">
        <f>IF(A138&lt;&gt;"",ROUND(F137-E138,2),"")</f>
        <v/>
      </c>
    </row>
    <row r="139">
      <c r="A139" s="7">
        <f>IF(AND(F138&gt;0.005,A138&lt;&gt;""),101,"")</f>
        <v/>
      </c>
      <c r="B139" s="4">
        <f>IF(A139&lt;&gt;"",EDATE(StartDate,100),"")</f>
        <v/>
      </c>
      <c r="C139" s="9">
        <f>IF(A139&lt;&gt;"",MIN(MonthlyPmt,F138+D139),"")</f>
        <v/>
      </c>
      <c r="D139" s="9">
        <f>IF(A139&lt;&gt;"",ROUND(F138*AnnualRate/12,2),"")</f>
        <v/>
      </c>
      <c r="E139" s="9">
        <f>IF(A139&lt;&gt;"",MIN(F138,(C139-D139)+SUMPRODUCT(($B$10:$B$19&lt;&gt;"")*($B$10:$B$19&lt;=B139)*($D$10:$D$19="Monthly")*$C$10:$C$19)+SUMPRODUCT(($B$10:$B$19&lt;&gt;"")*($B$10:$B$19&lt;=B139)*($D$10:$D$19="Annual")*(MONTH($B$10:$B$19)=MONTH(B139))*$C$10:$C$19)+SUMPRODUCT(($B$22:$B$36&lt;&gt;"")*(YEAR($B$22:$B$36)=YEAR(B139))*(MONTH($B$22:$B$36)=MONTH(B139))*$C$22:$C$36)),"")</f>
        <v/>
      </c>
      <c r="F139" s="9">
        <f>IF(A139&lt;&gt;"",ROUND(F138-E139,2),"")</f>
        <v/>
      </c>
    </row>
    <row r="140">
      <c r="A140" s="15">
        <f>IF(AND(F139&gt;0.005,A139&lt;&gt;""),102,"")</f>
        <v/>
      </c>
      <c r="B140" s="16">
        <f>IF(A140&lt;&gt;"",EDATE(StartDate,101),"")</f>
        <v/>
      </c>
      <c r="C140" s="17">
        <f>IF(A140&lt;&gt;"",MIN(MonthlyPmt,F139+D140),"")</f>
        <v/>
      </c>
      <c r="D140" s="17">
        <f>IF(A140&lt;&gt;"",ROUND(F139*AnnualRate/12,2),"")</f>
        <v/>
      </c>
      <c r="E140" s="17">
        <f>IF(A140&lt;&gt;"",MIN(F139,(C140-D140)+SUMPRODUCT(($B$10:$B$19&lt;&gt;"")*($B$10:$B$19&lt;=B140)*($D$10:$D$19="Monthly")*$C$10:$C$19)+SUMPRODUCT(($B$10:$B$19&lt;&gt;"")*($B$10:$B$19&lt;=B140)*($D$10:$D$19="Annual")*(MONTH($B$10:$B$19)=MONTH(B140))*$C$10:$C$19)+SUMPRODUCT(($B$22:$B$36&lt;&gt;"")*(YEAR($B$22:$B$36)=YEAR(B140))*(MONTH($B$22:$B$36)=MONTH(B140))*$C$22:$C$36)),"")</f>
        <v/>
      </c>
      <c r="F140" s="17">
        <f>IF(A140&lt;&gt;"",ROUND(F139-E140,2),"")</f>
        <v/>
      </c>
    </row>
    <row r="141">
      <c r="A141" s="7">
        <f>IF(AND(F140&gt;0.005,A140&lt;&gt;""),103,"")</f>
        <v/>
      </c>
      <c r="B141" s="4">
        <f>IF(A141&lt;&gt;"",EDATE(StartDate,102),"")</f>
        <v/>
      </c>
      <c r="C141" s="9">
        <f>IF(A141&lt;&gt;"",MIN(MonthlyPmt,F140+D141),"")</f>
        <v/>
      </c>
      <c r="D141" s="9">
        <f>IF(A141&lt;&gt;"",ROUND(F140*AnnualRate/12,2),"")</f>
        <v/>
      </c>
      <c r="E141" s="9">
        <f>IF(A141&lt;&gt;"",MIN(F140,(C141-D141)+SUMPRODUCT(($B$10:$B$19&lt;&gt;"")*($B$10:$B$19&lt;=B141)*($D$10:$D$19="Monthly")*$C$10:$C$19)+SUMPRODUCT(($B$10:$B$19&lt;&gt;"")*($B$10:$B$19&lt;=B141)*($D$10:$D$19="Annual")*(MONTH($B$10:$B$19)=MONTH(B141))*$C$10:$C$19)+SUMPRODUCT(($B$22:$B$36&lt;&gt;"")*(YEAR($B$22:$B$36)=YEAR(B141))*(MONTH($B$22:$B$36)=MONTH(B141))*$C$22:$C$36)),"")</f>
        <v/>
      </c>
      <c r="F141" s="9">
        <f>IF(A141&lt;&gt;"",ROUND(F140-E141,2),"")</f>
        <v/>
      </c>
    </row>
    <row r="142">
      <c r="A142" s="15">
        <f>IF(AND(F141&gt;0.005,A141&lt;&gt;""),104,"")</f>
        <v/>
      </c>
      <c r="B142" s="16">
        <f>IF(A142&lt;&gt;"",EDATE(StartDate,103),"")</f>
        <v/>
      </c>
      <c r="C142" s="17">
        <f>IF(A142&lt;&gt;"",MIN(MonthlyPmt,F141+D142),"")</f>
        <v/>
      </c>
      <c r="D142" s="17">
        <f>IF(A142&lt;&gt;"",ROUND(F141*AnnualRate/12,2),"")</f>
        <v/>
      </c>
      <c r="E142" s="17">
        <f>IF(A142&lt;&gt;"",MIN(F141,(C142-D142)+SUMPRODUCT(($B$10:$B$19&lt;&gt;"")*($B$10:$B$19&lt;=B142)*($D$10:$D$19="Monthly")*$C$10:$C$19)+SUMPRODUCT(($B$10:$B$19&lt;&gt;"")*($B$10:$B$19&lt;=B142)*($D$10:$D$19="Annual")*(MONTH($B$10:$B$19)=MONTH(B142))*$C$10:$C$19)+SUMPRODUCT(($B$22:$B$36&lt;&gt;"")*(YEAR($B$22:$B$36)=YEAR(B142))*(MONTH($B$22:$B$36)=MONTH(B142))*$C$22:$C$36)),"")</f>
        <v/>
      </c>
      <c r="F142" s="17">
        <f>IF(A142&lt;&gt;"",ROUND(F141-E142,2),"")</f>
        <v/>
      </c>
    </row>
    <row r="143">
      <c r="A143" s="7">
        <f>IF(AND(F142&gt;0.005,A142&lt;&gt;""),105,"")</f>
        <v/>
      </c>
      <c r="B143" s="4">
        <f>IF(A143&lt;&gt;"",EDATE(StartDate,104),"")</f>
        <v/>
      </c>
      <c r="C143" s="9">
        <f>IF(A143&lt;&gt;"",MIN(MonthlyPmt,F142+D143),"")</f>
        <v/>
      </c>
      <c r="D143" s="9">
        <f>IF(A143&lt;&gt;"",ROUND(F142*AnnualRate/12,2),"")</f>
        <v/>
      </c>
      <c r="E143" s="9">
        <f>IF(A143&lt;&gt;"",MIN(F142,(C143-D143)+SUMPRODUCT(($B$10:$B$19&lt;&gt;"")*($B$10:$B$19&lt;=B143)*($D$10:$D$19="Monthly")*$C$10:$C$19)+SUMPRODUCT(($B$10:$B$19&lt;&gt;"")*($B$10:$B$19&lt;=B143)*($D$10:$D$19="Annual")*(MONTH($B$10:$B$19)=MONTH(B143))*$C$10:$C$19)+SUMPRODUCT(($B$22:$B$36&lt;&gt;"")*(YEAR($B$22:$B$36)=YEAR(B143))*(MONTH($B$22:$B$36)=MONTH(B143))*$C$22:$C$36)),"")</f>
        <v/>
      </c>
      <c r="F143" s="9">
        <f>IF(A143&lt;&gt;"",ROUND(F142-E143,2),"")</f>
        <v/>
      </c>
    </row>
    <row r="144">
      <c r="A144" s="15">
        <f>IF(AND(F143&gt;0.005,A143&lt;&gt;""),106,"")</f>
        <v/>
      </c>
      <c r="B144" s="16">
        <f>IF(A144&lt;&gt;"",EDATE(StartDate,105),"")</f>
        <v/>
      </c>
      <c r="C144" s="17">
        <f>IF(A144&lt;&gt;"",MIN(MonthlyPmt,F143+D144),"")</f>
        <v/>
      </c>
      <c r="D144" s="17">
        <f>IF(A144&lt;&gt;"",ROUND(F143*AnnualRate/12,2),"")</f>
        <v/>
      </c>
      <c r="E144" s="17">
        <f>IF(A144&lt;&gt;"",MIN(F143,(C144-D144)+SUMPRODUCT(($B$10:$B$19&lt;&gt;"")*($B$10:$B$19&lt;=B144)*($D$10:$D$19="Monthly")*$C$10:$C$19)+SUMPRODUCT(($B$10:$B$19&lt;&gt;"")*($B$10:$B$19&lt;=B144)*($D$10:$D$19="Annual")*(MONTH($B$10:$B$19)=MONTH(B144))*$C$10:$C$19)+SUMPRODUCT(($B$22:$B$36&lt;&gt;"")*(YEAR($B$22:$B$36)=YEAR(B144))*(MONTH($B$22:$B$36)=MONTH(B144))*$C$22:$C$36)),"")</f>
        <v/>
      </c>
      <c r="F144" s="17">
        <f>IF(A144&lt;&gt;"",ROUND(F143-E144,2),"")</f>
        <v/>
      </c>
    </row>
    <row r="145">
      <c r="A145" s="7">
        <f>IF(AND(F144&gt;0.005,A144&lt;&gt;""),107,"")</f>
        <v/>
      </c>
      <c r="B145" s="4">
        <f>IF(A145&lt;&gt;"",EDATE(StartDate,106),"")</f>
        <v/>
      </c>
      <c r="C145" s="9">
        <f>IF(A145&lt;&gt;"",MIN(MonthlyPmt,F144+D145),"")</f>
        <v/>
      </c>
      <c r="D145" s="9">
        <f>IF(A145&lt;&gt;"",ROUND(F144*AnnualRate/12,2),"")</f>
        <v/>
      </c>
      <c r="E145" s="9">
        <f>IF(A145&lt;&gt;"",MIN(F144,(C145-D145)+SUMPRODUCT(($B$10:$B$19&lt;&gt;"")*($B$10:$B$19&lt;=B145)*($D$10:$D$19="Monthly")*$C$10:$C$19)+SUMPRODUCT(($B$10:$B$19&lt;&gt;"")*($B$10:$B$19&lt;=B145)*($D$10:$D$19="Annual")*(MONTH($B$10:$B$19)=MONTH(B145))*$C$10:$C$19)+SUMPRODUCT(($B$22:$B$36&lt;&gt;"")*(YEAR($B$22:$B$36)=YEAR(B145))*(MONTH($B$22:$B$36)=MONTH(B145))*$C$22:$C$36)),"")</f>
        <v/>
      </c>
      <c r="F145" s="9">
        <f>IF(A145&lt;&gt;"",ROUND(F144-E145,2),"")</f>
        <v/>
      </c>
    </row>
    <row r="146">
      <c r="A146" s="15">
        <f>IF(AND(F145&gt;0.005,A145&lt;&gt;""),108,"")</f>
        <v/>
      </c>
      <c r="B146" s="16">
        <f>IF(A146&lt;&gt;"",EDATE(StartDate,107),"")</f>
        <v/>
      </c>
      <c r="C146" s="17">
        <f>IF(A146&lt;&gt;"",MIN(MonthlyPmt,F145+D146),"")</f>
        <v/>
      </c>
      <c r="D146" s="17">
        <f>IF(A146&lt;&gt;"",ROUND(F145*AnnualRate/12,2),"")</f>
        <v/>
      </c>
      <c r="E146" s="17">
        <f>IF(A146&lt;&gt;"",MIN(F145,(C146-D146)+SUMPRODUCT(($B$10:$B$19&lt;&gt;"")*($B$10:$B$19&lt;=B146)*($D$10:$D$19="Monthly")*$C$10:$C$19)+SUMPRODUCT(($B$10:$B$19&lt;&gt;"")*($B$10:$B$19&lt;=B146)*($D$10:$D$19="Annual")*(MONTH($B$10:$B$19)=MONTH(B146))*$C$10:$C$19)+SUMPRODUCT(($B$22:$B$36&lt;&gt;"")*(YEAR($B$22:$B$36)=YEAR(B146))*(MONTH($B$22:$B$36)=MONTH(B146))*$C$22:$C$36)),"")</f>
        <v/>
      </c>
      <c r="F146" s="17">
        <f>IF(A146&lt;&gt;"",ROUND(F145-E146,2),"")</f>
        <v/>
      </c>
    </row>
    <row r="147">
      <c r="A147" s="7">
        <f>IF(AND(F146&gt;0.005,A146&lt;&gt;""),109,"")</f>
        <v/>
      </c>
      <c r="B147" s="4">
        <f>IF(A147&lt;&gt;"",EDATE(StartDate,108),"")</f>
        <v/>
      </c>
      <c r="C147" s="9">
        <f>IF(A147&lt;&gt;"",MIN(MonthlyPmt,F146+D147),"")</f>
        <v/>
      </c>
      <c r="D147" s="9">
        <f>IF(A147&lt;&gt;"",ROUND(F146*AnnualRate/12,2),"")</f>
        <v/>
      </c>
      <c r="E147" s="9">
        <f>IF(A147&lt;&gt;"",MIN(F146,(C147-D147)+SUMPRODUCT(($B$10:$B$19&lt;&gt;"")*($B$10:$B$19&lt;=B147)*($D$10:$D$19="Monthly")*$C$10:$C$19)+SUMPRODUCT(($B$10:$B$19&lt;&gt;"")*($B$10:$B$19&lt;=B147)*($D$10:$D$19="Annual")*(MONTH($B$10:$B$19)=MONTH(B147))*$C$10:$C$19)+SUMPRODUCT(($B$22:$B$36&lt;&gt;"")*(YEAR($B$22:$B$36)=YEAR(B147))*(MONTH($B$22:$B$36)=MONTH(B147))*$C$22:$C$36)),"")</f>
        <v/>
      </c>
      <c r="F147" s="9">
        <f>IF(A147&lt;&gt;"",ROUND(F146-E147,2),"")</f>
        <v/>
      </c>
    </row>
    <row r="148">
      <c r="A148" s="15">
        <f>IF(AND(F147&gt;0.005,A147&lt;&gt;""),110,"")</f>
        <v/>
      </c>
      <c r="B148" s="16">
        <f>IF(A148&lt;&gt;"",EDATE(StartDate,109),"")</f>
        <v/>
      </c>
      <c r="C148" s="17">
        <f>IF(A148&lt;&gt;"",MIN(MonthlyPmt,F147+D148),"")</f>
        <v/>
      </c>
      <c r="D148" s="17">
        <f>IF(A148&lt;&gt;"",ROUND(F147*AnnualRate/12,2),"")</f>
        <v/>
      </c>
      <c r="E148" s="17">
        <f>IF(A148&lt;&gt;"",MIN(F147,(C148-D148)+SUMPRODUCT(($B$10:$B$19&lt;&gt;"")*($B$10:$B$19&lt;=B148)*($D$10:$D$19="Monthly")*$C$10:$C$19)+SUMPRODUCT(($B$10:$B$19&lt;&gt;"")*($B$10:$B$19&lt;=B148)*($D$10:$D$19="Annual")*(MONTH($B$10:$B$19)=MONTH(B148))*$C$10:$C$19)+SUMPRODUCT(($B$22:$B$36&lt;&gt;"")*(YEAR($B$22:$B$36)=YEAR(B148))*(MONTH($B$22:$B$36)=MONTH(B148))*$C$22:$C$36)),"")</f>
        <v/>
      </c>
      <c r="F148" s="17">
        <f>IF(A148&lt;&gt;"",ROUND(F147-E148,2),"")</f>
        <v/>
      </c>
    </row>
    <row r="149">
      <c r="A149" s="7">
        <f>IF(AND(F148&gt;0.005,A148&lt;&gt;""),111,"")</f>
        <v/>
      </c>
      <c r="B149" s="4">
        <f>IF(A149&lt;&gt;"",EDATE(StartDate,110),"")</f>
        <v/>
      </c>
      <c r="C149" s="9">
        <f>IF(A149&lt;&gt;"",MIN(MonthlyPmt,F148+D149),"")</f>
        <v/>
      </c>
      <c r="D149" s="9">
        <f>IF(A149&lt;&gt;"",ROUND(F148*AnnualRate/12,2),"")</f>
        <v/>
      </c>
      <c r="E149" s="9">
        <f>IF(A149&lt;&gt;"",MIN(F148,(C149-D149)+SUMPRODUCT(($B$10:$B$19&lt;&gt;"")*($B$10:$B$19&lt;=B149)*($D$10:$D$19="Monthly")*$C$10:$C$19)+SUMPRODUCT(($B$10:$B$19&lt;&gt;"")*($B$10:$B$19&lt;=B149)*($D$10:$D$19="Annual")*(MONTH($B$10:$B$19)=MONTH(B149))*$C$10:$C$19)+SUMPRODUCT(($B$22:$B$36&lt;&gt;"")*(YEAR($B$22:$B$36)=YEAR(B149))*(MONTH($B$22:$B$36)=MONTH(B149))*$C$22:$C$36)),"")</f>
        <v/>
      </c>
      <c r="F149" s="9">
        <f>IF(A149&lt;&gt;"",ROUND(F148-E149,2),"")</f>
        <v/>
      </c>
    </row>
    <row r="150">
      <c r="A150" s="15">
        <f>IF(AND(F149&gt;0.005,A149&lt;&gt;""),112,"")</f>
        <v/>
      </c>
      <c r="B150" s="16">
        <f>IF(A150&lt;&gt;"",EDATE(StartDate,111),"")</f>
        <v/>
      </c>
      <c r="C150" s="17">
        <f>IF(A150&lt;&gt;"",MIN(MonthlyPmt,F149+D150),"")</f>
        <v/>
      </c>
      <c r="D150" s="17">
        <f>IF(A150&lt;&gt;"",ROUND(F149*AnnualRate/12,2),"")</f>
        <v/>
      </c>
      <c r="E150" s="17">
        <f>IF(A150&lt;&gt;"",MIN(F149,(C150-D150)+SUMPRODUCT(($B$10:$B$19&lt;&gt;"")*($B$10:$B$19&lt;=B150)*($D$10:$D$19="Monthly")*$C$10:$C$19)+SUMPRODUCT(($B$10:$B$19&lt;&gt;"")*($B$10:$B$19&lt;=B150)*($D$10:$D$19="Annual")*(MONTH($B$10:$B$19)=MONTH(B150))*$C$10:$C$19)+SUMPRODUCT(($B$22:$B$36&lt;&gt;"")*(YEAR($B$22:$B$36)=YEAR(B150))*(MONTH($B$22:$B$36)=MONTH(B150))*$C$22:$C$36)),"")</f>
        <v/>
      </c>
      <c r="F150" s="17">
        <f>IF(A150&lt;&gt;"",ROUND(F149-E150,2),"")</f>
        <v/>
      </c>
    </row>
    <row r="151">
      <c r="A151" s="7">
        <f>IF(AND(F150&gt;0.005,A150&lt;&gt;""),113,"")</f>
        <v/>
      </c>
      <c r="B151" s="4">
        <f>IF(A151&lt;&gt;"",EDATE(StartDate,112),"")</f>
        <v/>
      </c>
      <c r="C151" s="9">
        <f>IF(A151&lt;&gt;"",MIN(MonthlyPmt,F150+D151),"")</f>
        <v/>
      </c>
      <c r="D151" s="9">
        <f>IF(A151&lt;&gt;"",ROUND(F150*AnnualRate/12,2),"")</f>
        <v/>
      </c>
      <c r="E151" s="9">
        <f>IF(A151&lt;&gt;"",MIN(F150,(C151-D151)+SUMPRODUCT(($B$10:$B$19&lt;&gt;"")*($B$10:$B$19&lt;=B151)*($D$10:$D$19="Monthly")*$C$10:$C$19)+SUMPRODUCT(($B$10:$B$19&lt;&gt;"")*($B$10:$B$19&lt;=B151)*($D$10:$D$19="Annual")*(MONTH($B$10:$B$19)=MONTH(B151))*$C$10:$C$19)+SUMPRODUCT(($B$22:$B$36&lt;&gt;"")*(YEAR($B$22:$B$36)=YEAR(B151))*(MONTH($B$22:$B$36)=MONTH(B151))*$C$22:$C$36)),"")</f>
        <v/>
      </c>
      <c r="F151" s="9">
        <f>IF(A151&lt;&gt;"",ROUND(F150-E151,2),"")</f>
        <v/>
      </c>
    </row>
    <row r="152">
      <c r="A152" s="15">
        <f>IF(AND(F151&gt;0.005,A151&lt;&gt;""),114,"")</f>
        <v/>
      </c>
      <c r="B152" s="16">
        <f>IF(A152&lt;&gt;"",EDATE(StartDate,113),"")</f>
        <v/>
      </c>
      <c r="C152" s="17">
        <f>IF(A152&lt;&gt;"",MIN(MonthlyPmt,F151+D152),"")</f>
        <v/>
      </c>
      <c r="D152" s="17">
        <f>IF(A152&lt;&gt;"",ROUND(F151*AnnualRate/12,2),"")</f>
        <v/>
      </c>
      <c r="E152" s="17">
        <f>IF(A152&lt;&gt;"",MIN(F151,(C152-D152)+SUMPRODUCT(($B$10:$B$19&lt;&gt;"")*($B$10:$B$19&lt;=B152)*($D$10:$D$19="Monthly")*$C$10:$C$19)+SUMPRODUCT(($B$10:$B$19&lt;&gt;"")*($B$10:$B$19&lt;=B152)*($D$10:$D$19="Annual")*(MONTH($B$10:$B$19)=MONTH(B152))*$C$10:$C$19)+SUMPRODUCT(($B$22:$B$36&lt;&gt;"")*(YEAR($B$22:$B$36)=YEAR(B152))*(MONTH($B$22:$B$36)=MONTH(B152))*$C$22:$C$36)),"")</f>
        <v/>
      </c>
      <c r="F152" s="17">
        <f>IF(A152&lt;&gt;"",ROUND(F151-E152,2),"")</f>
        <v/>
      </c>
    </row>
    <row r="153">
      <c r="A153" s="7">
        <f>IF(AND(F152&gt;0.005,A152&lt;&gt;""),115,"")</f>
        <v/>
      </c>
      <c r="B153" s="4">
        <f>IF(A153&lt;&gt;"",EDATE(StartDate,114),"")</f>
        <v/>
      </c>
      <c r="C153" s="9">
        <f>IF(A153&lt;&gt;"",MIN(MonthlyPmt,F152+D153),"")</f>
        <v/>
      </c>
      <c r="D153" s="9">
        <f>IF(A153&lt;&gt;"",ROUND(F152*AnnualRate/12,2),"")</f>
        <v/>
      </c>
      <c r="E153" s="9">
        <f>IF(A153&lt;&gt;"",MIN(F152,(C153-D153)+SUMPRODUCT(($B$10:$B$19&lt;&gt;"")*($B$10:$B$19&lt;=B153)*($D$10:$D$19="Monthly")*$C$10:$C$19)+SUMPRODUCT(($B$10:$B$19&lt;&gt;"")*($B$10:$B$19&lt;=B153)*($D$10:$D$19="Annual")*(MONTH($B$10:$B$19)=MONTH(B153))*$C$10:$C$19)+SUMPRODUCT(($B$22:$B$36&lt;&gt;"")*(YEAR($B$22:$B$36)=YEAR(B153))*(MONTH($B$22:$B$36)=MONTH(B153))*$C$22:$C$36)),"")</f>
        <v/>
      </c>
      <c r="F153" s="9">
        <f>IF(A153&lt;&gt;"",ROUND(F152-E153,2),"")</f>
        <v/>
      </c>
    </row>
    <row r="154">
      <c r="A154" s="15">
        <f>IF(AND(F153&gt;0.005,A153&lt;&gt;""),116,"")</f>
        <v/>
      </c>
      <c r="B154" s="16">
        <f>IF(A154&lt;&gt;"",EDATE(StartDate,115),"")</f>
        <v/>
      </c>
      <c r="C154" s="17">
        <f>IF(A154&lt;&gt;"",MIN(MonthlyPmt,F153+D154),"")</f>
        <v/>
      </c>
      <c r="D154" s="17">
        <f>IF(A154&lt;&gt;"",ROUND(F153*AnnualRate/12,2),"")</f>
        <v/>
      </c>
      <c r="E154" s="17">
        <f>IF(A154&lt;&gt;"",MIN(F153,(C154-D154)+SUMPRODUCT(($B$10:$B$19&lt;&gt;"")*($B$10:$B$19&lt;=B154)*($D$10:$D$19="Monthly")*$C$10:$C$19)+SUMPRODUCT(($B$10:$B$19&lt;&gt;"")*($B$10:$B$19&lt;=B154)*($D$10:$D$19="Annual")*(MONTH($B$10:$B$19)=MONTH(B154))*$C$10:$C$19)+SUMPRODUCT(($B$22:$B$36&lt;&gt;"")*(YEAR($B$22:$B$36)=YEAR(B154))*(MONTH($B$22:$B$36)=MONTH(B154))*$C$22:$C$36)),"")</f>
        <v/>
      </c>
      <c r="F154" s="17">
        <f>IF(A154&lt;&gt;"",ROUND(F153-E154,2),"")</f>
        <v/>
      </c>
    </row>
    <row r="155">
      <c r="A155" s="7">
        <f>IF(AND(F154&gt;0.005,A154&lt;&gt;""),117,"")</f>
        <v/>
      </c>
      <c r="B155" s="4">
        <f>IF(A155&lt;&gt;"",EDATE(StartDate,116),"")</f>
        <v/>
      </c>
      <c r="C155" s="9">
        <f>IF(A155&lt;&gt;"",MIN(MonthlyPmt,F154+D155),"")</f>
        <v/>
      </c>
      <c r="D155" s="9">
        <f>IF(A155&lt;&gt;"",ROUND(F154*AnnualRate/12,2),"")</f>
        <v/>
      </c>
      <c r="E155" s="9">
        <f>IF(A155&lt;&gt;"",MIN(F154,(C155-D155)+SUMPRODUCT(($B$10:$B$19&lt;&gt;"")*($B$10:$B$19&lt;=B155)*($D$10:$D$19="Monthly")*$C$10:$C$19)+SUMPRODUCT(($B$10:$B$19&lt;&gt;"")*($B$10:$B$19&lt;=B155)*($D$10:$D$19="Annual")*(MONTH($B$10:$B$19)=MONTH(B155))*$C$10:$C$19)+SUMPRODUCT(($B$22:$B$36&lt;&gt;"")*(YEAR($B$22:$B$36)=YEAR(B155))*(MONTH($B$22:$B$36)=MONTH(B155))*$C$22:$C$36)),"")</f>
        <v/>
      </c>
      <c r="F155" s="9">
        <f>IF(A155&lt;&gt;"",ROUND(F154-E155,2),"")</f>
        <v/>
      </c>
    </row>
    <row r="156">
      <c r="A156" s="15">
        <f>IF(AND(F155&gt;0.005,A155&lt;&gt;""),118,"")</f>
        <v/>
      </c>
      <c r="B156" s="16">
        <f>IF(A156&lt;&gt;"",EDATE(StartDate,117),"")</f>
        <v/>
      </c>
      <c r="C156" s="17">
        <f>IF(A156&lt;&gt;"",MIN(MonthlyPmt,F155+D156),"")</f>
        <v/>
      </c>
      <c r="D156" s="17">
        <f>IF(A156&lt;&gt;"",ROUND(F155*AnnualRate/12,2),"")</f>
        <v/>
      </c>
      <c r="E156" s="17">
        <f>IF(A156&lt;&gt;"",MIN(F155,(C156-D156)+SUMPRODUCT(($B$10:$B$19&lt;&gt;"")*($B$10:$B$19&lt;=B156)*($D$10:$D$19="Monthly")*$C$10:$C$19)+SUMPRODUCT(($B$10:$B$19&lt;&gt;"")*($B$10:$B$19&lt;=B156)*($D$10:$D$19="Annual")*(MONTH($B$10:$B$19)=MONTH(B156))*$C$10:$C$19)+SUMPRODUCT(($B$22:$B$36&lt;&gt;"")*(YEAR($B$22:$B$36)=YEAR(B156))*(MONTH($B$22:$B$36)=MONTH(B156))*$C$22:$C$36)),"")</f>
        <v/>
      </c>
      <c r="F156" s="17">
        <f>IF(A156&lt;&gt;"",ROUND(F155-E156,2),"")</f>
        <v/>
      </c>
    </row>
    <row r="157">
      <c r="A157" s="7">
        <f>IF(AND(F156&gt;0.005,A156&lt;&gt;""),119,"")</f>
        <v/>
      </c>
      <c r="B157" s="4">
        <f>IF(A157&lt;&gt;"",EDATE(StartDate,118),"")</f>
        <v/>
      </c>
      <c r="C157" s="9">
        <f>IF(A157&lt;&gt;"",MIN(MonthlyPmt,F156+D157),"")</f>
        <v/>
      </c>
      <c r="D157" s="9">
        <f>IF(A157&lt;&gt;"",ROUND(F156*AnnualRate/12,2),"")</f>
        <v/>
      </c>
      <c r="E157" s="9">
        <f>IF(A157&lt;&gt;"",MIN(F156,(C157-D157)+SUMPRODUCT(($B$10:$B$19&lt;&gt;"")*($B$10:$B$19&lt;=B157)*($D$10:$D$19="Monthly")*$C$10:$C$19)+SUMPRODUCT(($B$10:$B$19&lt;&gt;"")*($B$10:$B$19&lt;=B157)*($D$10:$D$19="Annual")*(MONTH($B$10:$B$19)=MONTH(B157))*$C$10:$C$19)+SUMPRODUCT(($B$22:$B$36&lt;&gt;"")*(YEAR($B$22:$B$36)=YEAR(B157))*(MONTH($B$22:$B$36)=MONTH(B157))*$C$22:$C$36)),"")</f>
        <v/>
      </c>
      <c r="F157" s="9">
        <f>IF(A157&lt;&gt;"",ROUND(F156-E157,2),"")</f>
        <v/>
      </c>
    </row>
    <row r="158">
      <c r="A158" s="15">
        <f>IF(AND(F157&gt;0.005,A157&lt;&gt;""),120,"")</f>
        <v/>
      </c>
      <c r="B158" s="16">
        <f>IF(A158&lt;&gt;"",EDATE(StartDate,119),"")</f>
        <v/>
      </c>
      <c r="C158" s="17">
        <f>IF(A158&lt;&gt;"",MIN(MonthlyPmt,F157+D158),"")</f>
        <v/>
      </c>
      <c r="D158" s="17">
        <f>IF(A158&lt;&gt;"",ROUND(F157*AnnualRate/12,2),"")</f>
        <v/>
      </c>
      <c r="E158" s="17">
        <f>IF(A158&lt;&gt;"",MIN(F157,(C158-D158)+SUMPRODUCT(($B$10:$B$19&lt;&gt;"")*($B$10:$B$19&lt;=B158)*($D$10:$D$19="Monthly")*$C$10:$C$19)+SUMPRODUCT(($B$10:$B$19&lt;&gt;"")*($B$10:$B$19&lt;=B158)*($D$10:$D$19="Annual")*(MONTH($B$10:$B$19)=MONTH(B158))*$C$10:$C$19)+SUMPRODUCT(($B$22:$B$36&lt;&gt;"")*(YEAR($B$22:$B$36)=YEAR(B158))*(MONTH($B$22:$B$36)=MONTH(B158))*$C$22:$C$36)),"")</f>
        <v/>
      </c>
      <c r="F158" s="17">
        <f>IF(A158&lt;&gt;"",ROUND(F157-E158,2),"")</f>
        <v/>
      </c>
    </row>
    <row r="159">
      <c r="A159" s="7">
        <f>IF(AND(F158&gt;0.005,A158&lt;&gt;""),121,"")</f>
        <v/>
      </c>
      <c r="B159" s="4">
        <f>IF(A159&lt;&gt;"",EDATE(StartDate,120),"")</f>
        <v/>
      </c>
      <c r="C159" s="9">
        <f>IF(A159&lt;&gt;"",MIN(MonthlyPmt,F158+D159),"")</f>
        <v/>
      </c>
      <c r="D159" s="9">
        <f>IF(A159&lt;&gt;"",ROUND(F158*AnnualRate/12,2),"")</f>
        <v/>
      </c>
      <c r="E159" s="9">
        <f>IF(A159&lt;&gt;"",MIN(F158,(C159-D159)+SUMPRODUCT(($B$10:$B$19&lt;&gt;"")*($B$10:$B$19&lt;=B159)*($D$10:$D$19="Monthly")*$C$10:$C$19)+SUMPRODUCT(($B$10:$B$19&lt;&gt;"")*($B$10:$B$19&lt;=B159)*($D$10:$D$19="Annual")*(MONTH($B$10:$B$19)=MONTH(B159))*$C$10:$C$19)+SUMPRODUCT(($B$22:$B$36&lt;&gt;"")*(YEAR($B$22:$B$36)=YEAR(B159))*(MONTH($B$22:$B$36)=MONTH(B159))*$C$22:$C$36)),"")</f>
        <v/>
      </c>
      <c r="F159" s="9">
        <f>IF(A159&lt;&gt;"",ROUND(F158-E159,2),"")</f>
        <v/>
      </c>
    </row>
    <row r="160">
      <c r="A160" s="15">
        <f>IF(AND(F159&gt;0.005,A159&lt;&gt;""),122,"")</f>
        <v/>
      </c>
      <c r="B160" s="16">
        <f>IF(A160&lt;&gt;"",EDATE(StartDate,121),"")</f>
        <v/>
      </c>
      <c r="C160" s="17">
        <f>IF(A160&lt;&gt;"",MIN(MonthlyPmt,F159+D160),"")</f>
        <v/>
      </c>
      <c r="D160" s="17">
        <f>IF(A160&lt;&gt;"",ROUND(F159*AnnualRate/12,2),"")</f>
        <v/>
      </c>
      <c r="E160" s="17">
        <f>IF(A160&lt;&gt;"",MIN(F159,(C160-D160)+SUMPRODUCT(($B$10:$B$19&lt;&gt;"")*($B$10:$B$19&lt;=B160)*($D$10:$D$19="Monthly")*$C$10:$C$19)+SUMPRODUCT(($B$10:$B$19&lt;&gt;"")*($B$10:$B$19&lt;=B160)*($D$10:$D$19="Annual")*(MONTH($B$10:$B$19)=MONTH(B160))*$C$10:$C$19)+SUMPRODUCT(($B$22:$B$36&lt;&gt;"")*(YEAR($B$22:$B$36)=YEAR(B160))*(MONTH($B$22:$B$36)=MONTH(B160))*$C$22:$C$36)),"")</f>
        <v/>
      </c>
      <c r="F160" s="17">
        <f>IF(A160&lt;&gt;"",ROUND(F159-E160,2),"")</f>
        <v/>
      </c>
    </row>
    <row r="161">
      <c r="A161" s="7">
        <f>IF(AND(F160&gt;0.005,A160&lt;&gt;""),123,"")</f>
        <v/>
      </c>
      <c r="B161" s="4">
        <f>IF(A161&lt;&gt;"",EDATE(StartDate,122),"")</f>
        <v/>
      </c>
      <c r="C161" s="9">
        <f>IF(A161&lt;&gt;"",MIN(MonthlyPmt,F160+D161),"")</f>
        <v/>
      </c>
      <c r="D161" s="9">
        <f>IF(A161&lt;&gt;"",ROUND(F160*AnnualRate/12,2),"")</f>
        <v/>
      </c>
      <c r="E161" s="9">
        <f>IF(A161&lt;&gt;"",MIN(F160,(C161-D161)+SUMPRODUCT(($B$10:$B$19&lt;&gt;"")*($B$10:$B$19&lt;=B161)*($D$10:$D$19="Monthly")*$C$10:$C$19)+SUMPRODUCT(($B$10:$B$19&lt;&gt;"")*($B$10:$B$19&lt;=B161)*($D$10:$D$19="Annual")*(MONTH($B$10:$B$19)=MONTH(B161))*$C$10:$C$19)+SUMPRODUCT(($B$22:$B$36&lt;&gt;"")*(YEAR($B$22:$B$36)=YEAR(B161))*(MONTH($B$22:$B$36)=MONTH(B161))*$C$22:$C$36)),"")</f>
        <v/>
      </c>
      <c r="F161" s="9">
        <f>IF(A161&lt;&gt;"",ROUND(F160-E161,2),"")</f>
        <v/>
      </c>
    </row>
    <row r="162">
      <c r="A162" s="15">
        <f>IF(AND(F161&gt;0.005,A161&lt;&gt;""),124,"")</f>
        <v/>
      </c>
      <c r="B162" s="16">
        <f>IF(A162&lt;&gt;"",EDATE(StartDate,123),"")</f>
        <v/>
      </c>
      <c r="C162" s="17">
        <f>IF(A162&lt;&gt;"",MIN(MonthlyPmt,F161+D162),"")</f>
        <v/>
      </c>
      <c r="D162" s="17">
        <f>IF(A162&lt;&gt;"",ROUND(F161*AnnualRate/12,2),"")</f>
        <v/>
      </c>
      <c r="E162" s="17">
        <f>IF(A162&lt;&gt;"",MIN(F161,(C162-D162)+SUMPRODUCT(($B$10:$B$19&lt;&gt;"")*($B$10:$B$19&lt;=B162)*($D$10:$D$19="Monthly")*$C$10:$C$19)+SUMPRODUCT(($B$10:$B$19&lt;&gt;"")*($B$10:$B$19&lt;=B162)*($D$10:$D$19="Annual")*(MONTH($B$10:$B$19)=MONTH(B162))*$C$10:$C$19)+SUMPRODUCT(($B$22:$B$36&lt;&gt;"")*(YEAR($B$22:$B$36)=YEAR(B162))*(MONTH($B$22:$B$36)=MONTH(B162))*$C$22:$C$36)),"")</f>
        <v/>
      </c>
      <c r="F162" s="17">
        <f>IF(A162&lt;&gt;"",ROUND(F161-E162,2),"")</f>
        <v/>
      </c>
    </row>
    <row r="163">
      <c r="A163" s="7">
        <f>IF(AND(F162&gt;0.005,A162&lt;&gt;""),125,"")</f>
        <v/>
      </c>
      <c r="B163" s="4">
        <f>IF(A163&lt;&gt;"",EDATE(StartDate,124),"")</f>
        <v/>
      </c>
      <c r="C163" s="9">
        <f>IF(A163&lt;&gt;"",MIN(MonthlyPmt,F162+D163),"")</f>
        <v/>
      </c>
      <c r="D163" s="9">
        <f>IF(A163&lt;&gt;"",ROUND(F162*AnnualRate/12,2),"")</f>
        <v/>
      </c>
      <c r="E163" s="9">
        <f>IF(A163&lt;&gt;"",MIN(F162,(C163-D163)+SUMPRODUCT(($B$10:$B$19&lt;&gt;"")*($B$10:$B$19&lt;=B163)*($D$10:$D$19="Monthly")*$C$10:$C$19)+SUMPRODUCT(($B$10:$B$19&lt;&gt;"")*($B$10:$B$19&lt;=B163)*($D$10:$D$19="Annual")*(MONTH($B$10:$B$19)=MONTH(B163))*$C$10:$C$19)+SUMPRODUCT(($B$22:$B$36&lt;&gt;"")*(YEAR($B$22:$B$36)=YEAR(B163))*(MONTH($B$22:$B$36)=MONTH(B163))*$C$22:$C$36)),"")</f>
        <v/>
      </c>
      <c r="F163" s="9">
        <f>IF(A163&lt;&gt;"",ROUND(F162-E163,2),"")</f>
        <v/>
      </c>
    </row>
    <row r="164">
      <c r="A164" s="15">
        <f>IF(AND(F163&gt;0.005,A163&lt;&gt;""),126,"")</f>
        <v/>
      </c>
      <c r="B164" s="16">
        <f>IF(A164&lt;&gt;"",EDATE(StartDate,125),"")</f>
        <v/>
      </c>
      <c r="C164" s="17">
        <f>IF(A164&lt;&gt;"",MIN(MonthlyPmt,F163+D164),"")</f>
        <v/>
      </c>
      <c r="D164" s="17">
        <f>IF(A164&lt;&gt;"",ROUND(F163*AnnualRate/12,2),"")</f>
        <v/>
      </c>
      <c r="E164" s="17">
        <f>IF(A164&lt;&gt;"",MIN(F163,(C164-D164)+SUMPRODUCT(($B$10:$B$19&lt;&gt;"")*($B$10:$B$19&lt;=B164)*($D$10:$D$19="Monthly")*$C$10:$C$19)+SUMPRODUCT(($B$10:$B$19&lt;&gt;"")*($B$10:$B$19&lt;=B164)*($D$10:$D$19="Annual")*(MONTH($B$10:$B$19)=MONTH(B164))*$C$10:$C$19)+SUMPRODUCT(($B$22:$B$36&lt;&gt;"")*(YEAR($B$22:$B$36)=YEAR(B164))*(MONTH($B$22:$B$36)=MONTH(B164))*$C$22:$C$36)),"")</f>
        <v/>
      </c>
      <c r="F164" s="17">
        <f>IF(A164&lt;&gt;"",ROUND(F163-E164,2),"")</f>
        <v/>
      </c>
    </row>
    <row r="165">
      <c r="A165" s="7">
        <f>IF(AND(F164&gt;0.005,A164&lt;&gt;""),127,"")</f>
        <v/>
      </c>
      <c r="B165" s="4">
        <f>IF(A165&lt;&gt;"",EDATE(StartDate,126),"")</f>
        <v/>
      </c>
      <c r="C165" s="9">
        <f>IF(A165&lt;&gt;"",MIN(MonthlyPmt,F164+D165),"")</f>
        <v/>
      </c>
      <c r="D165" s="9">
        <f>IF(A165&lt;&gt;"",ROUND(F164*AnnualRate/12,2),"")</f>
        <v/>
      </c>
      <c r="E165" s="9">
        <f>IF(A165&lt;&gt;"",MIN(F164,(C165-D165)+SUMPRODUCT(($B$10:$B$19&lt;&gt;"")*($B$10:$B$19&lt;=B165)*($D$10:$D$19="Monthly")*$C$10:$C$19)+SUMPRODUCT(($B$10:$B$19&lt;&gt;"")*($B$10:$B$19&lt;=B165)*($D$10:$D$19="Annual")*(MONTH($B$10:$B$19)=MONTH(B165))*$C$10:$C$19)+SUMPRODUCT(($B$22:$B$36&lt;&gt;"")*(YEAR($B$22:$B$36)=YEAR(B165))*(MONTH($B$22:$B$36)=MONTH(B165))*$C$22:$C$36)),"")</f>
        <v/>
      </c>
      <c r="F165" s="9">
        <f>IF(A165&lt;&gt;"",ROUND(F164-E165,2),"")</f>
        <v/>
      </c>
    </row>
    <row r="166">
      <c r="A166" s="15">
        <f>IF(AND(F165&gt;0.005,A165&lt;&gt;""),128,"")</f>
        <v/>
      </c>
      <c r="B166" s="16">
        <f>IF(A166&lt;&gt;"",EDATE(StartDate,127),"")</f>
        <v/>
      </c>
      <c r="C166" s="17">
        <f>IF(A166&lt;&gt;"",MIN(MonthlyPmt,F165+D166),"")</f>
        <v/>
      </c>
      <c r="D166" s="17">
        <f>IF(A166&lt;&gt;"",ROUND(F165*AnnualRate/12,2),"")</f>
        <v/>
      </c>
      <c r="E166" s="17">
        <f>IF(A166&lt;&gt;"",MIN(F165,(C166-D166)+SUMPRODUCT(($B$10:$B$19&lt;&gt;"")*($B$10:$B$19&lt;=B166)*($D$10:$D$19="Monthly")*$C$10:$C$19)+SUMPRODUCT(($B$10:$B$19&lt;&gt;"")*($B$10:$B$19&lt;=B166)*($D$10:$D$19="Annual")*(MONTH($B$10:$B$19)=MONTH(B166))*$C$10:$C$19)+SUMPRODUCT(($B$22:$B$36&lt;&gt;"")*(YEAR($B$22:$B$36)=YEAR(B166))*(MONTH($B$22:$B$36)=MONTH(B166))*$C$22:$C$36)),"")</f>
        <v/>
      </c>
      <c r="F166" s="17">
        <f>IF(A166&lt;&gt;"",ROUND(F165-E166,2),"")</f>
        <v/>
      </c>
    </row>
    <row r="167">
      <c r="A167" s="7">
        <f>IF(AND(F166&gt;0.005,A166&lt;&gt;""),129,"")</f>
        <v/>
      </c>
      <c r="B167" s="4">
        <f>IF(A167&lt;&gt;"",EDATE(StartDate,128),"")</f>
        <v/>
      </c>
      <c r="C167" s="9">
        <f>IF(A167&lt;&gt;"",MIN(MonthlyPmt,F166+D167),"")</f>
        <v/>
      </c>
      <c r="D167" s="9">
        <f>IF(A167&lt;&gt;"",ROUND(F166*AnnualRate/12,2),"")</f>
        <v/>
      </c>
      <c r="E167" s="9">
        <f>IF(A167&lt;&gt;"",MIN(F166,(C167-D167)+SUMPRODUCT(($B$10:$B$19&lt;&gt;"")*($B$10:$B$19&lt;=B167)*($D$10:$D$19="Monthly")*$C$10:$C$19)+SUMPRODUCT(($B$10:$B$19&lt;&gt;"")*($B$10:$B$19&lt;=B167)*($D$10:$D$19="Annual")*(MONTH($B$10:$B$19)=MONTH(B167))*$C$10:$C$19)+SUMPRODUCT(($B$22:$B$36&lt;&gt;"")*(YEAR($B$22:$B$36)=YEAR(B167))*(MONTH($B$22:$B$36)=MONTH(B167))*$C$22:$C$36)),"")</f>
        <v/>
      </c>
      <c r="F167" s="9">
        <f>IF(A167&lt;&gt;"",ROUND(F166-E167,2),"")</f>
        <v/>
      </c>
    </row>
    <row r="168">
      <c r="A168" s="15">
        <f>IF(AND(F167&gt;0.005,A167&lt;&gt;""),130,"")</f>
        <v/>
      </c>
      <c r="B168" s="16">
        <f>IF(A168&lt;&gt;"",EDATE(StartDate,129),"")</f>
        <v/>
      </c>
      <c r="C168" s="17">
        <f>IF(A168&lt;&gt;"",MIN(MonthlyPmt,F167+D168),"")</f>
        <v/>
      </c>
      <c r="D168" s="17">
        <f>IF(A168&lt;&gt;"",ROUND(F167*AnnualRate/12,2),"")</f>
        <v/>
      </c>
      <c r="E168" s="17">
        <f>IF(A168&lt;&gt;"",MIN(F167,(C168-D168)+SUMPRODUCT(($B$10:$B$19&lt;&gt;"")*($B$10:$B$19&lt;=B168)*($D$10:$D$19="Monthly")*$C$10:$C$19)+SUMPRODUCT(($B$10:$B$19&lt;&gt;"")*($B$10:$B$19&lt;=B168)*($D$10:$D$19="Annual")*(MONTH($B$10:$B$19)=MONTH(B168))*$C$10:$C$19)+SUMPRODUCT(($B$22:$B$36&lt;&gt;"")*(YEAR($B$22:$B$36)=YEAR(B168))*(MONTH($B$22:$B$36)=MONTH(B168))*$C$22:$C$36)),"")</f>
        <v/>
      </c>
      <c r="F168" s="17">
        <f>IF(A168&lt;&gt;"",ROUND(F167-E168,2),"")</f>
        <v/>
      </c>
    </row>
    <row r="169">
      <c r="A169" s="7">
        <f>IF(AND(F168&gt;0.005,A168&lt;&gt;""),131,"")</f>
        <v/>
      </c>
      <c r="B169" s="4">
        <f>IF(A169&lt;&gt;"",EDATE(StartDate,130),"")</f>
        <v/>
      </c>
      <c r="C169" s="9">
        <f>IF(A169&lt;&gt;"",MIN(MonthlyPmt,F168+D169),"")</f>
        <v/>
      </c>
      <c r="D169" s="9">
        <f>IF(A169&lt;&gt;"",ROUND(F168*AnnualRate/12,2),"")</f>
        <v/>
      </c>
      <c r="E169" s="9">
        <f>IF(A169&lt;&gt;"",MIN(F168,(C169-D169)+SUMPRODUCT(($B$10:$B$19&lt;&gt;"")*($B$10:$B$19&lt;=B169)*($D$10:$D$19="Monthly")*$C$10:$C$19)+SUMPRODUCT(($B$10:$B$19&lt;&gt;"")*($B$10:$B$19&lt;=B169)*($D$10:$D$19="Annual")*(MONTH($B$10:$B$19)=MONTH(B169))*$C$10:$C$19)+SUMPRODUCT(($B$22:$B$36&lt;&gt;"")*(YEAR($B$22:$B$36)=YEAR(B169))*(MONTH($B$22:$B$36)=MONTH(B169))*$C$22:$C$36)),"")</f>
        <v/>
      </c>
      <c r="F169" s="9">
        <f>IF(A169&lt;&gt;"",ROUND(F168-E169,2),"")</f>
        <v/>
      </c>
    </row>
    <row r="170">
      <c r="A170" s="15">
        <f>IF(AND(F169&gt;0.005,A169&lt;&gt;""),132,"")</f>
        <v/>
      </c>
      <c r="B170" s="16">
        <f>IF(A170&lt;&gt;"",EDATE(StartDate,131),"")</f>
        <v/>
      </c>
      <c r="C170" s="17">
        <f>IF(A170&lt;&gt;"",MIN(MonthlyPmt,F169+D170),"")</f>
        <v/>
      </c>
      <c r="D170" s="17">
        <f>IF(A170&lt;&gt;"",ROUND(F169*AnnualRate/12,2),"")</f>
        <v/>
      </c>
      <c r="E170" s="17">
        <f>IF(A170&lt;&gt;"",MIN(F169,(C170-D170)+SUMPRODUCT(($B$10:$B$19&lt;&gt;"")*($B$10:$B$19&lt;=B170)*($D$10:$D$19="Monthly")*$C$10:$C$19)+SUMPRODUCT(($B$10:$B$19&lt;&gt;"")*($B$10:$B$19&lt;=B170)*($D$10:$D$19="Annual")*(MONTH($B$10:$B$19)=MONTH(B170))*$C$10:$C$19)+SUMPRODUCT(($B$22:$B$36&lt;&gt;"")*(YEAR($B$22:$B$36)=YEAR(B170))*(MONTH($B$22:$B$36)=MONTH(B170))*$C$22:$C$36)),"")</f>
        <v/>
      </c>
      <c r="F170" s="17">
        <f>IF(A170&lt;&gt;"",ROUND(F169-E170,2),"")</f>
        <v/>
      </c>
    </row>
    <row r="171">
      <c r="A171" s="7">
        <f>IF(AND(F170&gt;0.005,A170&lt;&gt;""),133,"")</f>
        <v/>
      </c>
      <c r="B171" s="4">
        <f>IF(A171&lt;&gt;"",EDATE(StartDate,132),"")</f>
        <v/>
      </c>
      <c r="C171" s="9">
        <f>IF(A171&lt;&gt;"",MIN(MonthlyPmt,F170+D171),"")</f>
        <v/>
      </c>
      <c r="D171" s="9">
        <f>IF(A171&lt;&gt;"",ROUND(F170*AnnualRate/12,2),"")</f>
        <v/>
      </c>
      <c r="E171" s="9">
        <f>IF(A171&lt;&gt;"",MIN(F170,(C171-D171)+SUMPRODUCT(($B$10:$B$19&lt;&gt;"")*($B$10:$B$19&lt;=B171)*($D$10:$D$19="Monthly")*$C$10:$C$19)+SUMPRODUCT(($B$10:$B$19&lt;&gt;"")*($B$10:$B$19&lt;=B171)*($D$10:$D$19="Annual")*(MONTH($B$10:$B$19)=MONTH(B171))*$C$10:$C$19)+SUMPRODUCT(($B$22:$B$36&lt;&gt;"")*(YEAR($B$22:$B$36)=YEAR(B171))*(MONTH($B$22:$B$36)=MONTH(B171))*$C$22:$C$36)),"")</f>
        <v/>
      </c>
      <c r="F171" s="9">
        <f>IF(A171&lt;&gt;"",ROUND(F170-E171,2),"")</f>
        <v/>
      </c>
    </row>
    <row r="172">
      <c r="A172" s="15">
        <f>IF(AND(F171&gt;0.005,A171&lt;&gt;""),134,"")</f>
        <v/>
      </c>
      <c r="B172" s="16">
        <f>IF(A172&lt;&gt;"",EDATE(StartDate,133),"")</f>
        <v/>
      </c>
      <c r="C172" s="17">
        <f>IF(A172&lt;&gt;"",MIN(MonthlyPmt,F171+D172),"")</f>
        <v/>
      </c>
      <c r="D172" s="17">
        <f>IF(A172&lt;&gt;"",ROUND(F171*AnnualRate/12,2),"")</f>
        <v/>
      </c>
      <c r="E172" s="17">
        <f>IF(A172&lt;&gt;"",MIN(F171,(C172-D172)+SUMPRODUCT(($B$10:$B$19&lt;&gt;"")*($B$10:$B$19&lt;=B172)*($D$10:$D$19="Monthly")*$C$10:$C$19)+SUMPRODUCT(($B$10:$B$19&lt;&gt;"")*($B$10:$B$19&lt;=B172)*($D$10:$D$19="Annual")*(MONTH($B$10:$B$19)=MONTH(B172))*$C$10:$C$19)+SUMPRODUCT(($B$22:$B$36&lt;&gt;"")*(YEAR($B$22:$B$36)=YEAR(B172))*(MONTH($B$22:$B$36)=MONTH(B172))*$C$22:$C$36)),"")</f>
        <v/>
      </c>
      <c r="F172" s="17">
        <f>IF(A172&lt;&gt;"",ROUND(F171-E172,2),"")</f>
        <v/>
      </c>
    </row>
    <row r="173">
      <c r="A173" s="7">
        <f>IF(AND(F172&gt;0.005,A172&lt;&gt;""),135,"")</f>
        <v/>
      </c>
      <c r="B173" s="4">
        <f>IF(A173&lt;&gt;"",EDATE(StartDate,134),"")</f>
        <v/>
      </c>
      <c r="C173" s="9">
        <f>IF(A173&lt;&gt;"",MIN(MonthlyPmt,F172+D173),"")</f>
        <v/>
      </c>
      <c r="D173" s="9">
        <f>IF(A173&lt;&gt;"",ROUND(F172*AnnualRate/12,2),"")</f>
        <v/>
      </c>
      <c r="E173" s="9">
        <f>IF(A173&lt;&gt;"",MIN(F172,(C173-D173)+SUMPRODUCT(($B$10:$B$19&lt;&gt;"")*($B$10:$B$19&lt;=B173)*($D$10:$D$19="Monthly")*$C$10:$C$19)+SUMPRODUCT(($B$10:$B$19&lt;&gt;"")*($B$10:$B$19&lt;=B173)*($D$10:$D$19="Annual")*(MONTH($B$10:$B$19)=MONTH(B173))*$C$10:$C$19)+SUMPRODUCT(($B$22:$B$36&lt;&gt;"")*(YEAR($B$22:$B$36)=YEAR(B173))*(MONTH($B$22:$B$36)=MONTH(B173))*$C$22:$C$36)),"")</f>
        <v/>
      </c>
      <c r="F173" s="9">
        <f>IF(A173&lt;&gt;"",ROUND(F172-E173,2),"")</f>
        <v/>
      </c>
    </row>
    <row r="174">
      <c r="A174" s="15">
        <f>IF(AND(F173&gt;0.005,A173&lt;&gt;""),136,"")</f>
        <v/>
      </c>
      <c r="B174" s="16">
        <f>IF(A174&lt;&gt;"",EDATE(StartDate,135),"")</f>
        <v/>
      </c>
      <c r="C174" s="17">
        <f>IF(A174&lt;&gt;"",MIN(MonthlyPmt,F173+D174),"")</f>
        <v/>
      </c>
      <c r="D174" s="17">
        <f>IF(A174&lt;&gt;"",ROUND(F173*AnnualRate/12,2),"")</f>
        <v/>
      </c>
      <c r="E174" s="17">
        <f>IF(A174&lt;&gt;"",MIN(F173,(C174-D174)+SUMPRODUCT(($B$10:$B$19&lt;&gt;"")*($B$10:$B$19&lt;=B174)*($D$10:$D$19="Monthly")*$C$10:$C$19)+SUMPRODUCT(($B$10:$B$19&lt;&gt;"")*($B$10:$B$19&lt;=B174)*($D$10:$D$19="Annual")*(MONTH($B$10:$B$19)=MONTH(B174))*$C$10:$C$19)+SUMPRODUCT(($B$22:$B$36&lt;&gt;"")*(YEAR($B$22:$B$36)=YEAR(B174))*(MONTH($B$22:$B$36)=MONTH(B174))*$C$22:$C$36)),"")</f>
        <v/>
      </c>
      <c r="F174" s="17">
        <f>IF(A174&lt;&gt;"",ROUND(F173-E174,2),"")</f>
        <v/>
      </c>
    </row>
    <row r="175">
      <c r="A175" s="7">
        <f>IF(AND(F174&gt;0.005,A174&lt;&gt;""),137,"")</f>
        <v/>
      </c>
      <c r="B175" s="4">
        <f>IF(A175&lt;&gt;"",EDATE(StartDate,136),"")</f>
        <v/>
      </c>
      <c r="C175" s="9">
        <f>IF(A175&lt;&gt;"",MIN(MonthlyPmt,F174+D175),"")</f>
        <v/>
      </c>
      <c r="D175" s="9">
        <f>IF(A175&lt;&gt;"",ROUND(F174*AnnualRate/12,2),"")</f>
        <v/>
      </c>
      <c r="E175" s="9">
        <f>IF(A175&lt;&gt;"",MIN(F174,(C175-D175)+SUMPRODUCT(($B$10:$B$19&lt;&gt;"")*($B$10:$B$19&lt;=B175)*($D$10:$D$19="Monthly")*$C$10:$C$19)+SUMPRODUCT(($B$10:$B$19&lt;&gt;"")*($B$10:$B$19&lt;=B175)*($D$10:$D$19="Annual")*(MONTH($B$10:$B$19)=MONTH(B175))*$C$10:$C$19)+SUMPRODUCT(($B$22:$B$36&lt;&gt;"")*(YEAR($B$22:$B$36)=YEAR(B175))*(MONTH($B$22:$B$36)=MONTH(B175))*$C$22:$C$36)),"")</f>
        <v/>
      </c>
      <c r="F175" s="9">
        <f>IF(A175&lt;&gt;"",ROUND(F174-E175,2),"")</f>
        <v/>
      </c>
    </row>
    <row r="176">
      <c r="A176" s="15">
        <f>IF(AND(F175&gt;0.005,A175&lt;&gt;""),138,"")</f>
        <v/>
      </c>
      <c r="B176" s="16">
        <f>IF(A176&lt;&gt;"",EDATE(StartDate,137),"")</f>
        <v/>
      </c>
      <c r="C176" s="17">
        <f>IF(A176&lt;&gt;"",MIN(MonthlyPmt,F175+D176),"")</f>
        <v/>
      </c>
      <c r="D176" s="17">
        <f>IF(A176&lt;&gt;"",ROUND(F175*AnnualRate/12,2),"")</f>
        <v/>
      </c>
      <c r="E176" s="17">
        <f>IF(A176&lt;&gt;"",MIN(F175,(C176-D176)+SUMPRODUCT(($B$10:$B$19&lt;&gt;"")*($B$10:$B$19&lt;=B176)*($D$10:$D$19="Monthly")*$C$10:$C$19)+SUMPRODUCT(($B$10:$B$19&lt;&gt;"")*($B$10:$B$19&lt;=B176)*($D$10:$D$19="Annual")*(MONTH($B$10:$B$19)=MONTH(B176))*$C$10:$C$19)+SUMPRODUCT(($B$22:$B$36&lt;&gt;"")*(YEAR($B$22:$B$36)=YEAR(B176))*(MONTH($B$22:$B$36)=MONTH(B176))*$C$22:$C$36)),"")</f>
        <v/>
      </c>
      <c r="F176" s="17">
        <f>IF(A176&lt;&gt;"",ROUND(F175-E176,2),"")</f>
        <v/>
      </c>
    </row>
    <row r="177">
      <c r="A177" s="7">
        <f>IF(AND(F176&gt;0.005,A176&lt;&gt;""),139,"")</f>
        <v/>
      </c>
      <c r="B177" s="4">
        <f>IF(A177&lt;&gt;"",EDATE(StartDate,138),"")</f>
        <v/>
      </c>
      <c r="C177" s="9">
        <f>IF(A177&lt;&gt;"",MIN(MonthlyPmt,F176+D177),"")</f>
        <v/>
      </c>
      <c r="D177" s="9">
        <f>IF(A177&lt;&gt;"",ROUND(F176*AnnualRate/12,2),"")</f>
        <v/>
      </c>
      <c r="E177" s="9">
        <f>IF(A177&lt;&gt;"",MIN(F176,(C177-D177)+SUMPRODUCT(($B$10:$B$19&lt;&gt;"")*($B$10:$B$19&lt;=B177)*($D$10:$D$19="Monthly")*$C$10:$C$19)+SUMPRODUCT(($B$10:$B$19&lt;&gt;"")*($B$10:$B$19&lt;=B177)*($D$10:$D$19="Annual")*(MONTH($B$10:$B$19)=MONTH(B177))*$C$10:$C$19)+SUMPRODUCT(($B$22:$B$36&lt;&gt;"")*(YEAR($B$22:$B$36)=YEAR(B177))*(MONTH($B$22:$B$36)=MONTH(B177))*$C$22:$C$36)),"")</f>
        <v/>
      </c>
      <c r="F177" s="9">
        <f>IF(A177&lt;&gt;"",ROUND(F176-E177,2),"")</f>
        <v/>
      </c>
    </row>
    <row r="178">
      <c r="A178" s="15">
        <f>IF(AND(F177&gt;0.005,A177&lt;&gt;""),140,"")</f>
        <v/>
      </c>
      <c r="B178" s="16">
        <f>IF(A178&lt;&gt;"",EDATE(StartDate,139),"")</f>
        <v/>
      </c>
      <c r="C178" s="17">
        <f>IF(A178&lt;&gt;"",MIN(MonthlyPmt,F177+D178),"")</f>
        <v/>
      </c>
      <c r="D178" s="17">
        <f>IF(A178&lt;&gt;"",ROUND(F177*AnnualRate/12,2),"")</f>
        <v/>
      </c>
      <c r="E178" s="17">
        <f>IF(A178&lt;&gt;"",MIN(F177,(C178-D178)+SUMPRODUCT(($B$10:$B$19&lt;&gt;"")*($B$10:$B$19&lt;=B178)*($D$10:$D$19="Monthly")*$C$10:$C$19)+SUMPRODUCT(($B$10:$B$19&lt;&gt;"")*($B$10:$B$19&lt;=B178)*($D$10:$D$19="Annual")*(MONTH($B$10:$B$19)=MONTH(B178))*$C$10:$C$19)+SUMPRODUCT(($B$22:$B$36&lt;&gt;"")*(YEAR($B$22:$B$36)=YEAR(B178))*(MONTH($B$22:$B$36)=MONTH(B178))*$C$22:$C$36)),"")</f>
        <v/>
      </c>
      <c r="F178" s="17">
        <f>IF(A178&lt;&gt;"",ROUND(F177-E178,2),"")</f>
        <v/>
      </c>
    </row>
    <row r="179">
      <c r="A179" s="7">
        <f>IF(AND(F178&gt;0.005,A178&lt;&gt;""),141,"")</f>
        <v/>
      </c>
      <c r="B179" s="4">
        <f>IF(A179&lt;&gt;"",EDATE(StartDate,140),"")</f>
        <v/>
      </c>
      <c r="C179" s="9">
        <f>IF(A179&lt;&gt;"",MIN(MonthlyPmt,F178+D179),"")</f>
        <v/>
      </c>
      <c r="D179" s="9">
        <f>IF(A179&lt;&gt;"",ROUND(F178*AnnualRate/12,2),"")</f>
        <v/>
      </c>
      <c r="E179" s="9">
        <f>IF(A179&lt;&gt;"",MIN(F178,(C179-D179)+SUMPRODUCT(($B$10:$B$19&lt;&gt;"")*($B$10:$B$19&lt;=B179)*($D$10:$D$19="Monthly")*$C$10:$C$19)+SUMPRODUCT(($B$10:$B$19&lt;&gt;"")*($B$10:$B$19&lt;=B179)*($D$10:$D$19="Annual")*(MONTH($B$10:$B$19)=MONTH(B179))*$C$10:$C$19)+SUMPRODUCT(($B$22:$B$36&lt;&gt;"")*(YEAR($B$22:$B$36)=YEAR(B179))*(MONTH($B$22:$B$36)=MONTH(B179))*$C$22:$C$36)),"")</f>
        <v/>
      </c>
      <c r="F179" s="9">
        <f>IF(A179&lt;&gt;"",ROUND(F178-E179,2),"")</f>
        <v/>
      </c>
    </row>
    <row r="180">
      <c r="A180" s="15">
        <f>IF(AND(F179&gt;0.005,A179&lt;&gt;""),142,"")</f>
        <v/>
      </c>
      <c r="B180" s="16">
        <f>IF(A180&lt;&gt;"",EDATE(StartDate,141),"")</f>
        <v/>
      </c>
      <c r="C180" s="17">
        <f>IF(A180&lt;&gt;"",MIN(MonthlyPmt,F179+D180),"")</f>
        <v/>
      </c>
      <c r="D180" s="17">
        <f>IF(A180&lt;&gt;"",ROUND(F179*AnnualRate/12,2),"")</f>
        <v/>
      </c>
      <c r="E180" s="17">
        <f>IF(A180&lt;&gt;"",MIN(F179,(C180-D180)+SUMPRODUCT(($B$10:$B$19&lt;&gt;"")*($B$10:$B$19&lt;=B180)*($D$10:$D$19="Monthly")*$C$10:$C$19)+SUMPRODUCT(($B$10:$B$19&lt;&gt;"")*($B$10:$B$19&lt;=B180)*($D$10:$D$19="Annual")*(MONTH($B$10:$B$19)=MONTH(B180))*$C$10:$C$19)+SUMPRODUCT(($B$22:$B$36&lt;&gt;"")*(YEAR($B$22:$B$36)=YEAR(B180))*(MONTH($B$22:$B$36)=MONTH(B180))*$C$22:$C$36)),"")</f>
        <v/>
      </c>
      <c r="F180" s="17">
        <f>IF(A180&lt;&gt;"",ROUND(F179-E180,2),"")</f>
        <v/>
      </c>
    </row>
    <row r="181">
      <c r="A181" s="7">
        <f>IF(AND(F180&gt;0.005,A180&lt;&gt;""),143,"")</f>
        <v/>
      </c>
      <c r="B181" s="4">
        <f>IF(A181&lt;&gt;"",EDATE(StartDate,142),"")</f>
        <v/>
      </c>
      <c r="C181" s="9">
        <f>IF(A181&lt;&gt;"",MIN(MonthlyPmt,F180+D181),"")</f>
        <v/>
      </c>
      <c r="D181" s="9">
        <f>IF(A181&lt;&gt;"",ROUND(F180*AnnualRate/12,2),"")</f>
        <v/>
      </c>
      <c r="E181" s="9">
        <f>IF(A181&lt;&gt;"",MIN(F180,(C181-D181)+SUMPRODUCT(($B$10:$B$19&lt;&gt;"")*($B$10:$B$19&lt;=B181)*($D$10:$D$19="Monthly")*$C$10:$C$19)+SUMPRODUCT(($B$10:$B$19&lt;&gt;"")*($B$10:$B$19&lt;=B181)*($D$10:$D$19="Annual")*(MONTH($B$10:$B$19)=MONTH(B181))*$C$10:$C$19)+SUMPRODUCT(($B$22:$B$36&lt;&gt;"")*(YEAR($B$22:$B$36)=YEAR(B181))*(MONTH($B$22:$B$36)=MONTH(B181))*$C$22:$C$36)),"")</f>
        <v/>
      </c>
      <c r="F181" s="9">
        <f>IF(A181&lt;&gt;"",ROUND(F180-E181,2),"")</f>
        <v/>
      </c>
    </row>
    <row r="182">
      <c r="A182" s="15">
        <f>IF(AND(F181&gt;0.005,A181&lt;&gt;""),144,"")</f>
        <v/>
      </c>
      <c r="B182" s="16">
        <f>IF(A182&lt;&gt;"",EDATE(StartDate,143),"")</f>
        <v/>
      </c>
      <c r="C182" s="17">
        <f>IF(A182&lt;&gt;"",MIN(MonthlyPmt,F181+D182),"")</f>
        <v/>
      </c>
      <c r="D182" s="17">
        <f>IF(A182&lt;&gt;"",ROUND(F181*AnnualRate/12,2),"")</f>
        <v/>
      </c>
      <c r="E182" s="17">
        <f>IF(A182&lt;&gt;"",MIN(F181,(C182-D182)+SUMPRODUCT(($B$10:$B$19&lt;&gt;"")*($B$10:$B$19&lt;=B182)*($D$10:$D$19="Monthly")*$C$10:$C$19)+SUMPRODUCT(($B$10:$B$19&lt;&gt;"")*($B$10:$B$19&lt;=B182)*($D$10:$D$19="Annual")*(MONTH($B$10:$B$19)=MONTH(B182))*$C$10:$C$19)+SUMPRODUCT(($B$22:$B$36&lt;&gt;"")*(YEAR($B$22:$B$36)=YEAR(B182))*(MONTH($B$22:$B$36)=MONTH(B182))*$C$22:$C$36)),"")</f>
        <v/>
      </c>
      <c r="F182" s="17">
        <f>IF(A182&lt;&gt;"",ROUND(F181-E182,2),"")</f>
        <v/>
      </c>
    </row>
    <row r="183">
      <c r="A183" s="7">
        <f>IF(AND(F182&gt;0.005,A182&lt;&gt;""),145,"")</f>
        <v/>
      </c>
      <c r="B183" s="4">
        <f>IF(A183&lt;&gt;"",EDATE(StartDate,144),"")</f>
        <v/>
      </c>
      <c r="C183" s="9">
        <f>IF(A183&lt;&gt;"",MIN(MonthlyPmt,F182+D183),"")</f>
        <v/>
      </c>
      <c r="D183" s="9">
        <f>IF(A183&lt;&gt;"",ROUND(F182*AnnualRate/12,2),"")</f>
        <v/>
      </c>
      <c r="E183" s="9">
        <f>IF(A183&lt;&gt;"",MIN(F182,(C183-D183)+SUMPRODUCT(($B$10:$B$19&lt;&gt;"")*($B$10:$B$19&lt;=B183)*($D$10:$D$19="Monthly")*$C$10:$C$19)+SUMPRODUCT(($B$10:$B$19&lt;&gt;"")*($B$10:$B$19&lt;=B183)*($D$10:$D$19="Annual")*(MONTH($B$10:$B$19)=MONTH(B183))*$C$10:$C$19)+SUMPRODUCT(($B$22:$B$36&lt;&gt;"")*(YEAR($B$22:$B$36)=YEAR(B183))*(MONTH($B$22:$B$36)=MONTH(B183))*$C$22:$C$36)),"")</f>
        <v/>
      </c>
      <c r="F183" s="9">
        <f>IF(A183&lt;&gt;"",ROUND(F182-E183,2),"")</f>
        <v/>
      </c>
    </row>
    <row r="184">
      <c r="A184" s="15">
        <f>IF(AND(F183&gt;0.005,A183&lt;&gt;""),146,"")</f>
        <v/>
      </c>
      <c r="B184" s="16">
        <f>IF(A184&lt;&gt;"",EDATE(StartDate,145),"")</f>
        <v/>
      </c>
      <c r="C184" s="17">
        <f>IF(A184&lt;&gt;"",MIN(MonthlyPmt,F183+D184),"")</f>
        <v/>
      </c>
      <c r="D184" s="17">
        <f>IF(A184&lt;&gt;"",ROUND(F183*AnnualRate/12,2),"")</f>
        <v/>
      </c>
      <c r="E184" s="17">
        <f>IF(A184&lt;&gt;"",MIN(F183,(C184-D184)+SUMPRODUCT(($B$10:$B$19&lt;&gt;"")*($B$10:$B$19&lt;=B184)*($D$10:$D$19="Monthly")*$C$10:$C$19)+SUMPRODUCT(($B$10:$B$19&lt;&gt;"")*($B$10:$B$19&lt;=B184)*($D$10:$D$19="Annual")*(MONTH($B$10:$B$19)=MONTH(B184))*$C$10:$C$19)+SUMPRODUCT(($B$22:$B$36&lt;&gt;"")*(YEAR($B$22:$B$36)=YEAR(B184))*(MONTH($B$22:$B$36)=MONTH(B184))*$C$22:$C$36)),"")</f>
        <v/>
      </c>
      <c r="F184" s="17">
        <f>IF(A184&lt;&gt;"",ROUND(F183-E184,2),"")</f>
        <v/>
      </c>
    </row>
    <row r="185">
      <c r="A185" s="7">
        <f>IF(AND(F184&gt;0.005,A184&lt;&gt;""),147,"")</f>
        <v/>
      </c>
      <c r="B185" s="4">
        <f>IF(A185&lt;&gt;"",EDATE(StartDate,146),"")</f>
        <v/>
      </c>
      <c r="C185" s="9">
        <f>IF(A185&lt;&gt;"",MIN(MonthlyPmt,F184+D185),"")</f>
        <v/>
      </c>
      <c r="D185" s="9">
        <f>IF(A185&lt;&gt;"",ROUND(F184*AnnualRate/12,2),"")</f>
        <v/>
      </c>
      <c r="E185" s="9">
        <f>IF(A185&lt;&gt;"",MIN(F184,(C185-D185)+SUMPRODUCT(($B$10:$B$19&lt;&gt;"")*($B$10:$B$19&lt;=B185)*($D$10:$D$19="Monthly")*$C$10:$C$19)+SUMPRODUCT(($B$10:$B$19&lt;&gt;"")*($B$10:$B$19&lt;=B185)*($D$10:$D$19="Annual")*(MONTH($B$10:$B$19)=MONTH(B185))*$C$10:$C$19)+SUMPRODUCT(($B$22:$B$36&lt;&gt;"")*(YEAR($B$22:$B$36)=YEAR(B185))*(MONTH($B$22:$B$36)=MONTH(B185))*$C$22:$C$36)),"")</f>
        <v/>
      </c>
      <c r="F185" s="9">
        <f>IF(A185&lt;&gt;"",ROUND(F184-E185,2),"")</f>
        <v/>
      </c>
    </row>
    <row r="186">
      <c r="A186" s="15">
        <f>IF(AND(F185&gt;0.005,A185&lt;&gt;""),148,"")</f>
        <v/>
      </c>
      <c r="B186" s="16">
        <f>IF(A186&lt;&gt;"",EDATE(StartDate,147),"")</f>
        <v/>
      </c>
      <c r="C186" s="17">
        <f>IF(A186&lt;&gt;"",MIN(MonthlyPmt,F185+D186),"")</f>
        <v/>
      </c>
      <c r="D186" s="17">
        <f>IF(A186&lt;&gt;"",ROUND(F185*AnnualRate/12,2),"")</f>
        <v/>
      </c>
      <c r="E186" s="17">
        <f>IF(A186&lt;&gt;"",MIN(F185,(C186-D186)+SUMPRODUCT(($B$10:$B$19&lt;&gt;"")*($B$10:$B$19&lt;=B186)*($D$10:$D$19="Monthly")*$C$10:$C$19)+SUMPRODUCT(($B$10:$B$19&lt;&gt;"")*($B$10:$B$19&lt;=B186)*($D$10:$D$19="Annual")*(MONTH($B$10:$B$19)=MONTH(B186))*$C$10:$C$19)+SUMPRODUCT(($B$22:$B$36&lt;&gt;"")*(YEAR($B$22:$B$36)=YEAR(B186))*(MONTH($B$22:$B$36)=MONTH(B186))*$C$22:$C$36)),"")</f>
        <v/>
      </c>
      <c r="F186" s="17">
        <f>IF(A186&lt;&gt;"",ROUND(F185-E186,2),"")</f>
        <v/>
      </c>
    </row>
    <row r="187">
      <c r="A187" s="7">
        <f>IF(AND(F186&gt;0.005,A186&lt;&gt;""),149,"")</f>
        <v/>
      </c>
      <c r="B187" s="4">
        <f>IF(A187&lt;&gt;"",EDATE(StartDate,148),"")</f>
        <v/>
      </c>
      <c r="C187" s="9">
        <f>IF(A187&lt;&gt;"",MIN(MonthlyPmt,F186+D187),"")</f>
        <v/>
      </c>
      <c r="D187" s="9">
        <f>IF(A187&lt;&gt;"",ROUND(F186*AnnualRate/12,2),"")</f>
        <v/>
      </c>
      <c r="E187" s="9">
        <f>IF(A187&lt;&gt;"",MIN(F186,(C187-D187)+SUMPRODUCT(($B$10:$B$19&lt;&gt;"")*($B$10:$B$19&lt;=B187)*($D$10:$D$19="Monthly")*$C$10:$C$19)+SUMPRODUCT(($B$10:$B$19&lt;&gt;"")*($B$10:$B$19&lt;=B187)*($D$10:$D$19="Annual")*(MONTH($B$10:$B$19)=MONTH(B187))*$C$10:$C$19)+SUMPRODUCT(($B$22:$B$36&lt;&gt;"")*(YEAR($B$22:$B$36)=YEAR(B187))*(MONTH($B$22:$B$36)=MONTH(B187))*$C$22:$C$36)),"")</f>
        <v/>
      </c>
      <c r="F187" s="9">
        <f>IF(A187&lt;&gt;"",ROUND(F186-E187,2),"")</f>
        <v/>
      </c>
    </row>
    <row r="188">
      <c r="A188" s="15">
        <f>IF(AND(F187&gt;0.005,A187&lt;&gt;""),150,"")</f>
        <v/>
      </c>
      <c r="B188" s="16">
        <f>IF(A188&lt;&gt;"",EDATE(StartDate,149),"")</f>
        <v/>
      </c>
      <c r="C188" s="17">
        <f>IF(A188&lt;&gt;"",MIN(MonthlyPmt,F187+D188),"")</f>
        <v/>
      </c>
      <c r="D188" s="17">
        <f>IF(A188&lt;&gt;"",ROUND(F187*AnnualRate/12,2),"")</f>
        <v/>
      </c>
      <c r="E188" s="17">
        <f>IF(A188&lt;&gt;"",MIN(F187,(C188-D188)+SUMPRODUCT(($B$10:$B$19&lt;&gt;"")*($B$10:$B$19&lt;=B188)*($D$10:$D$19="Monthly")*$C$10:$C$19)+SUMPRODUCT(($B$10:$B$19&lt;&gt;"")*($B$10:$B$19&lt;=B188)*($D$10:$D$19="Annual")*(MONTH($B$10:$B$19)=MONTH(B188))*$C$10:$C$19)+SUMPRODUCT(($B$22:$B$36&lt;&gt;"")*(YEAR($B$22:$B$36)=YEAR(B188))*(MONTH($B$22:$B$36)=MONTH(B188))*$C$22:$C$36)),"")</f>
        <v/>
      </c>
      <c r="F188" s="17">
        <f>IF(A188&lt;&gt;"",ROUND(F187-E188,2),"")</f>
        <v/>
      </c>
    </row>
    <row r="189">
      <c r="A189" s="7">
        <f>IF(AND(F188&gt;0.005,A188&lt;&gt;""),151,"")</f>
        <v/>
      </c>
      <c r="B189" s="4">
        <f>IF(A189&lt;&gt;"",EDATE(StartDate,150),"")</f>
        <v/>
      </c>
      <c r="C189" s="9">
        <f>IF(A189&lt;&gt;"",MIN(MonthlyPmt,F188+D189),"")</f>
        <v/>
      </c>
      <c r="D189" s="9">
        <f>IF(A189&lt;&gt;"",ROUND(F188*AnnualRate/12,2),"")</f>
        <v/>
      </c>
      <c r="E189" s="9">
        <f>IF(A189&lt;&gt;"",MIN(F188,(C189-D189)+SUMPRODUCT(($B$10:$B$19&lt;&gt;"")*($B$10:$B$19&lt;=B189)*($D$10:$D$19="Monthly")*$C$10:$C$19)+SUMPRODUCT(($B$10:$B$19&lt;&gt;"")*($B$10:$B$19&lt;=B189)*($D$10:$D$19="Annual")*(MONTH($B$10:$B$19)=MONTH(B189))*$C$10:$C$19)+SUMPRODUCT(($B$22:$B$36&lt;&gt;"")*(YEAR($B$22:$B$36)=YEAR(B189))*(MONTH($B$22:$B$36)=MONTH(B189))*$C$22:$C$36)),"")</f>
        <v/>
      </c>
      <c r="F189" s="9">
        <f>IF(A189&lt;&gt;"",ROUND(F188-E189,2),"")</f>
        <v/>
      </c>
    </row>
    <row r="190">
      <c r="A190" s="15">
        <f>IF(AND(F189&gt;0.005,A189&lt;&gt;""),152,"")</f>
        <v/>
      </c>
      <c r="B190" s="16">
        <f>IF(A190&lt;&gt;"",EDATE(StartDate,151),"")</f>
        <v/>
      </c>
      <c r="C190" s="17">
        <f>IF(A190&lt;&gt;"",MIN(MonthlyPmt,F189+D190),"")</f>
        <v/>
      </c>
      <c r="D190" s="17">
        <f>IF(A190&lt;&gt;"",ROUND(F189*AnnualRate/12,2),"")</f>
        <v/>
      </c>
      <c r="E190" s="17">
        <f>IF(A190&lt;&gt;"",MIN(F189,(C190-D190)+SUMPRODUCT(($B$10:$B$19&lt;&gt;"")*($B$10:$B$19&lt;=B190)*($D$10:$D$19="Monthly")*$C$10:$C$19)+SUMPRODUCT(($B$10:$B$19&lt;&gt;"")*($B$10:$B$19&lt;=B190)*($D$10:$D$19="Annual")*(MONTH($B$10:$B$19)=MONTH(B190))*$C$10:$C$19)+SUMPRODUCT(($B$22:$B$36&lt;&gt;"")*(YEAR($B$22:$B$36)=YEAR(B190))*(MONTH($B$22:$B$36)=MONTH(B190))*$C$22:$C$36)),"")</f>
        <v/>
      </c>
      <c r="F190" s="17">
        <f>IF(A190&lt;&gt;"",ROUND(F189-E190,2),"")</f>
        <v/>
      </c>
    </row>
    <row r="191">
      <c r="A191" s="7">
        <f>IF(AND(F190&gt;0.005,A190&lt;&gt;""),153,"")</f>
        <v/>
      </c>
      <c r="B191" s="4">
        <f>IF(A191&lt;&gt;"",EDATE(StartDate,152),"")</f>
        <v/>
      </c>
      <c r="C191" s="9">
        <f>IF(A191&lt;&gt;"",MIN(MonthlyPmt,F190+D191),"")</f>
        <v/>
      </c>
      <c r="D191" s="9">
        <f>IF(A191&lt;&gt;"",ROUND(F190*AnnualRate/12,2),"")</f>
        <v/>
      </c>
      <c r="E191" s="9">
        <f>IF(A191&lt;&gt;"",MIN(F190,(C191-D191)+SUMPRODUCT(($B$10:$B$19&lt;&gt;"")*($B$10:$B$19&lt;=B191)*($D$10:$D$19="Monthly")*$C$10:$C$19)+SUMPRODUCT(($B$10:$B$19&lt;&gt;"")*($B$10:$B$19&lt;=B191)*($D$10:$D$19="Annual")*(MONTH($B$10:$B$19)=MONTH(B191))*$C$10:$C$19)+SUMPRODUCT(($B$22:$B$36&lt;&gt;"")*(YEAR($B$22:$B$36)=YEAR(B191))*(MONTH($B$22:$B$36)=MONTH(B191))*$C$22:$C$36)),"")</f>
        <v/>
      </c>
      <c r="F191" s="9">
        <f>IF(A191&lt;&gt;"",ROUND(F190-E191,2),"")</f>
        <v/>
      </c>
    </row>
    <row r="192">
      <c r="A192" s="15">
        <f>IF(AND(F191&gt;0.005,A191&lt;&gt;""),154,"")</f>
        <v/>
      </c>
      <c r="B192" s="16">
        <f>IF(A192&lt;&gt;"",EDATE(StartDate,153),"")</f>
        <v/>
      </c>
      <c r="C192" s="17">
        <f>IF(A192&lt;&gt;"",MIN(MonthlyPmt,F191+D192),"")</f>
        <v/>
      </c>
      <c r="D192" s="17">
        <f>IF(A192&lt;&gt;"",ROUND(F191*AnnualRate/12,2),"")</f>
        <v/>
      </c>
      <c r="E192" s="17">
        <f>IF(A192&lt;&gt;"",MIN(F191,(C192-D192)+SUMPRODUCT(($B$10:$B$19&lt;&gt;"")*($B$10:$B$19&lt;=B192)*($D$10:$D$19="Monthly")*$C$10:$C$19)+SUMPRODUCT(($B$10:$B$19&lt;&gt;"")*($B$10:$B$19&lt;=B192)*($D$10:$D$19="Annual")*(MONTH($B$10:$B$19)=MONTH(B192))*$C$10:$C$19)+SUMPRODUCT(($B$22:$B$36&lt;&gt;"")*(YEAR($B$22:$B$36)=YEAR(B192))*(MONTH($B$22:$B$36)=MONTH(B192))*$C$22:$C$36)),"")</f>
        <v/>
      </c>
      <c r="F192" s="17">
        <f>IF(A192&lt;&gt;"",ROUND(F191-E192,2),"")</f>
        <v/>
      </c>
    </row>
    <row r="193">
      <c r="A193" s="7">
        <f>IF(AND(F192&gt;0.005,A192&lt;&gt;""),155,"")</f>
        <v/>
      </c>
      <c r="B193" s="4">
        <f>IF(A193&lt;&gt;"",EDATE(StartDate,154),"")</f>
        <v/>
      </c>
      <c r="C193" s="9">
        <f>IF(A193&lt;&gt;"",MIN(MonthlyPmt,F192+D193),"")</f>
        <v/>
      </c>
      <c r="D193" s="9">
        <f>IF(A193&lt;&gt;"",ROUND(F192*AnnualRate/12,2),"")</f>
        <v/>
      </c>
      <c r="E193" s="9">
        <f>IF(A193&lt;&gt;"",MIN(F192,(C193-D193)+SUMPRODUCT(($B$10:$B$19&lt;&gt;"")*($B$10:$B$19&lt;=B193)*($D$10:$D$19="Monthly")*$C$10:$C$19)+SUMPRODUCT(($B$10:$B$19&lt;&gt;"")*($B$10:$B$19&lt;=B193)*($D$10:$D$19="Annual")*(MONTH($B$10:$B$19)=MONTH(B193))*$C$10:$C$19)+SUMPRODUCT(($B$22:$B$36&lt;&gt;"")*(YEAR($B$22:$B$36)=YEAR(B193))*(MONTH($B$22:$B$36)=MONTH(B193))*$C$22:$C$36)),"")</f>
        <v/>
      </c>
      <c r="F193" s="9">
        <f>IF(A193&lt;&gt;"",ROUND(F192-E193,2),"")</f>
        <v/>
      </c>
    </row>
    <row r="194">
      <c r="A194" s="15">
        <f>IF(AND(F193&gt;0.005,A193&lt;&gt;""),156,"")</f>
        <v/>
      </c>
      <c r="B194" s="16">
        <f>IF(A194&lt;&gt;"",EDATE(StartDate,155),"")</f>
        <v/>
      </c>
      <c r="C194" s="17">
        <f>IF(A194&lt;&gt;"",MIN(MonthlyPmt,F193+D194),"")</f>
        <v/>
      </c>
      <c r="D194" s="17">
        <f>IF(A194&lt;&gt;"",ROUND(F193*AnnualRate/12,2),"")</f>
        <v/>
      </c>
      <c r="E194" s="17">
        <f>IF(A194&lt;&gt;"",MIN(F193,(C194-D194)+SUMPRODUCT(($B$10:$B$19&lt;&gt;"")*($B$10:$B$19&lt;=B194)*($D$10:$D$19="Monthly")*$C$10:$C$19)+SUMPRODUCT(($B$10:$B$19&lt;&gt;"")*($B$10:$B$19&lt;=B194)*($D$10:$D$19="Annual")*(MONTH($B$10:$B$19)=MONTH(B194))*$C$10:$C$19)+SUMPRODUCT(($B$22:$B$36&lt;&gt;"")*(YEAR($B$22:$B$36)=YEAR(B194))*(MONTH($B$22:$B$36)=MONTH(B194))*$C$22:$C$36)),"")</f>
        <v/>
      </c>
      <c r="F194" s="17">
        <f>IF(A194&lt;&gt;"",ROUND(F193-E194,2),"")</f>
        <v/>
      </c>
    </row>
    <row r="195">
      <c r="A195" s="7">
        <f>IF(AND(F194&gt;0.005,A194&lt;&gt;""),157,"")</f>
        <v/>
      </c>
      <c r="B195" s="4">
        <f>IF(A195&lt;&gt;"",EDATE(StartDate,156),"")</f>
        <v/>
      </c>
      <c r="C195" s="9">
        <f>IF(A195&lt;&gt;"",MIN(MonthlyPmt,F194+D195),"")</f>
        <v/>
      </c>
      <c r="D195" s="9">
        <f>IF(A195&lt;&gt;"",ROUND(F194*AnnualRate/12,2),"")</f>
        <v/>
      </c>
      <c r="E195" s="9">
        <f>IF(A195&lt;&gt;"",MIN(F194,(C195-D195)+SUMPRODUCT(($B$10:$B$19&lt;&gt;"")*($B$10:$B$19&lt;=B195)*($D$10:$D$19="Monthly")*$C$10:$C$19)+SUMPRODUCT(($B$10:$B$19&lt;&gt;"")*($B$10:$B$19&lt;=B195)*($D$10:$D$19="Annual")*(MONTH($B$10:$B$19)=MONTH(B195))*$C$10:$C$19)+SUMPRODUCT(($B$22:$B$36&lt;&gt;"")*(YEAR($B$22:$B$36)=YEAR(B195))*(MONTH($B$22:$B$36)=MONTH(B195))*$C$22:$C$36)),"")</f>
        <v/>
      </c>
      <c r="F195" s="9">
        <f>IF(A195&lt;&gt;"",ROUND(F194-E195,2),"")</f>
        <v/>
      </c>
    </row>
    <row r="196">
      <c r="A196" s="15">
        <f>IF(AND(F195&gt;0.005,A195&lt;&gt;""),158,"")</f>
        <v/>
      </c>
      <c r="B196" s="16">
        <f>IF(A196&lt;&gt;"",EDATE(StartDate,157),"")</f>
        <v/>
      </c>
      <c r="C196" s="17">
        <f>IF(A196&lt;&gt;"",MIN(MonthlyPmt,F195+D196),"")</f>
        <v/>
      </c>
      <c r="D196" s="17">
        <f>IF(A196&lt;&gt;"",ROUND(F195*AnnualRate/12,2),"")</f>
        <v/>
      </c>
      <c r="E196" s="17">
        <f>IF(A196&lt;&gt;"",MIN(F195,(C196-D196)+SUMPRODUCT(($B$10:$B$19&lt;&gt;"")*($B$10:$B$19&lt;=B196)*($D$10:$D$19="Monthly")*$C$10:$C$19)+SUMPRODUCT(($B$10:$B$19&lt;&gt;"")*($B$10:$B$19&lt;=B196)*($D$10:$D$19="Annual")*(MONTH($B$10:$B$19)=MONTH(B196))*$C$10:$C$19)+SUMPRODUCT(($B$22:$B$36&lt;&gt;"")*(YEAR($B$22:$B$36)=YEAR(B196))*(MONTH($B$22:$B$36)=MONTH(B196))*$C$22:$C$36)),"")</f>
        <v/>
      </c>
      <c r="F196" s="17">
        <f>IF(A196&lt;&gt;"",ROUND(F195-E196,2),"")</f>
        <v/>
      </c>
    </row>
    <row r="197">
      <c r="A197" s="7">
        <f>IF(AND(F196&gt;0.005,A196&lt;&gt;""),159,"")</f>
        <v/>
      </c>
      <c r="B197" s="4">
        <f>IF(A197&lt;&gt;"",EDATE(StartDate,158),"")</f>
        <v/>
      </c>
      <c r="C197" s="9">
        <f>IF(A197&lt;&gt;"",MIN(MonthlyPmt,F196+D197),"")</f>
        <v/>
      </c>
      <c r="D197" s="9">
        <f>IF(A197&lt;&gt;"",ROUND(F196*AnnualRate/12,2),"")</f>
        <v/>
      </c>
      <c r="E197" s="9">
        <f>IF(A197&lt;&gt;"",MIN(F196,(C197-D197)+SUMPRODUCT(($B$10:$B$19&lt;&gt;"")*($B$10:$B$19&lt;=B197)*($D$10:$D$19="Monthly")*$C$10:$C$19)+SUMPRODUCT(($B$10:$B$19&lt;&gt;"")*($B$10:$B$19&lt;=B197)*($D$10:$D$19="Annual")*(MONTH($B$10:$B$19)=MONTH(B197))*$C$10:$C$19)+SUMPRODUCT(($B$22:$B$36&lt;&gt;"")*(YEAR($B$22:$B$36)=YEAR(B197))*(MONTH($B$22:$B$36)=MONTH(B197))*$C$22:$C$36)),"")</f>
        <v/>
      </c>
      <c r="F197" s="9">
        <f>IF(A197&lt;&gt;"",ROUND(F196-E197,2),"")</f>
        <v/>
      </c>
    </row>
    <row r="198">
      <c r="A198" s="15">
        <f>IF(AND(F197&gt;0.005,A197&lt;&gt;""),160,"")</f>
        <v/>
      </c>
      <c r="B198" s="16">
        <f>IF(A198&lt;&gt;"",EDATE(StartDate,159),"")</f>
        <v/>
      </c>
      <c r="C198" s="17">
        <f>IF(A198&lt;&gt;"",MIN(MonthlyPmt,F197+D198),"")</f>
        <v/>
      </c>
      <c r="D198" s="17">
        <f>IF(A198&lt;&gt;"",ROUND(F197*AnnualRate/12,2),"")</f>
        <v/>
      </c>
      <c r="E198" s="17">
        <f>IF(A198&lt;&gt;"",MIN(F197,(C198-D198)+SUMPRODUCT(($B$10:$B$19&lt;&gt;"")*($B$10:$B$19&lt;=B198)*($D$10:$D$19="Monthly")*$C$10:$C$19)+SUMPRODUCT(($B$10:$B$19&lt;&gt;"")*($B$10:$B$19&lt;=B198)*($D$10:$D$19="Annual")*(MONTH($B$10:$B$19)=MONTH(B198))*$C$10:$C$19)+SUMPRODUCT(($B$22:$B$36&lt;&gt;"")*(YEAR($B$22:$B$36)=YEAR(B198))*(MONTH($B$22:$B$36)=MONTH(B198))*$C$22:$C$36)),"")</f>
        <v/>
      </c>
      <c r="F198" s="17">
        <f>IF(A198&lt;&gt;"",ROUND(F197-E198,2),"")</f>
        <v/>
      </c>
    </row>
    <row r="199">
      <c r="A199" s="7">
        <f>IF(AND(F198&gt;0.005,A198&lt;&gt;""),161,"")</f>
        <v/>
      </c>
      <c r="B199" s="4">
        <f>IF(A199&lt;&gt;"",EDATE(StartDate,160),"")</f>
        <v/>
      </c>
      <c r="C199" s="9">
        <f>IF(A199&lt;&gt;"",MIN(MonthlyPmt,F198+D199),"")</f>
        <v/>
      </c>
      <c r="D199" s="9">
        <f>IF(A199&lt;&gt;"",ROUND(F198*AnnualRate/12,2),"")</f>
        <v/>
      </c>
      <c r="E199" s="9">
        <f>IF(A199&lt;&gt;"",MIN(F198,(C199-D199)+SUMPRODUCT(($B$10:$B$19&lt;&gt;"")*($B$10:$B$19&lt;=B199)*($D$10:$D$19="Monthly")*$C$10:$C$19)+SUMPRODUCT(($B$10:$B$19&lt;&gt;"")*($B$10:$B$19&lt;=B199)*($D$10:$D$19="Annual")*(MONTH($B$10:$B$19)=MONTH(B199))*$C$10:$C$19)+SUMPRODUCT(($B$22:$B$36&lt;&gt;"")*(YEAR($B$22:$B$36)=YEAR(B199))*(MONTH($B$22:$B$36)=MONTH(B199))*$C$22:$C$36)),"")</f>
        <v/>
      </c>
      <c r="F199" s="9">
        <f>IF(A199&lt;&gt;"",ROUND(F198-E199,2),"")</f>
        <v/>
      </c>
    </row>
    <row r="200">
      <c r="A200" s="15">
        <f>IF(AND(F199&gt;0.005,A199&lt;&gt;""),162,"")</f>
        <v/>
      </c>
      <c r="B200" s="16">
        <f>IF(A200&lt;&gt;"",EDATE(StartDate,161),"")</f>
        <v/>
      </c>
      <c r="C200" s="17">
        <f>IF(A200&lt;&gt;"",MIN(MonthlyPmt,F199+D200),"")</f>
        <v/>
      </c>
      <c r="D200" s="17">
        <f>IF(A200&lt;&gt;"",ROUND(F199*AnnualRate/12,2),"")</f>
        <v/>
      </c>
      <c r="E200" s="17">
        <f>IF(A200&lt;&gt;"",MIN(F199,(C200-D200)+SUMPRODUCT(($B$10:$B$19&lt;&gt;"")*($B$10:$B$19&lt;=B200)*($D$10:$D$19="Monthly")*$C$10:$C$19)+SUMPRODUCT(($B$10:$B$19&lt;&gt;"")*($B$10:$B$19&lt;=B200)*($D$10:$D$19="Annual")*(MONTH($B$10:$B$19)=MONTH(B200))*$C$10:$C$19)+SUMPRODUCT(($B$22:$B$36&lt;&gt;"")*(YEAR($B$22:$B$36)=YEAR(B200))*(MONTH($B$22:$B$36)=MONTH(B200))*$C$22:$C$36)),"")</f>
        <v/>
      </c>
      <c r="F200" s="17">
        <f>IF(A200&lt;&gt;"",ROUND(F199-E200,2),"")</f>
        <v/>
      </c>
    </row>
    <row r="201">
      <c r="A201" s="7">
        <f>IF(AND(F200&gt;0.005,A200&lt;&gt;""),163,"")</f>
        <v/>
      </c>
      <c r="B201" s="4">
        <f>IF(A201&lt;&gt;"",EDATE(StartDate,162),"")</f>
        <v/>
      </c>
      <c r="C201" s="9">
        <f>IF(A201&lt;&gt;"",MIN(MonthlyPmt,F200+D201),"")</f>
        <v/>
      </c>
      <c r="D201" s="9">
        <f>IF(A201&lt;&gt;"",ROUND(F200*AnnualRate/12,2),"")</f>
        <v/>
      </c>
      <c r="E201" s="9">
        <f>IF(A201&lt;&gt;"",MIN(F200,(C201-D201)+SUMPRODUCT(($B$10:$B$19&lt;&gt;"")*($B$10:$B$19&lt;=B201)*($D$10:$D$19="Monthly")*$C$10:$C$19)+SUMPRODUCT(($B$10:$B$19&lt;&gt;"")*($B$10:$B$19&lt;=B201)*($D$10:$D$19="Annual")*(MONTH($B$10:$B$19)=MONTH(B201))*$C$10:$C$19)+SUMPRODUCT(($B$22:$B$36&lt;&gt;"")*(YEAR($B$22:$B$36)=YEAR(B201))*(MONTH($B$22:$B$36)=MONTH(B201))*$C$22:$C$36)),"")</f>
        <v/>
      </c>
      <c r="F201" s="9">
        <f>IF(A201&lt;&gt;"",ROUND(F200-E201,2),"")</f>
        <v/>
      </c>
    </row>
    <row r="202">
      <c r="A202" s="15">
        <f>IF(AND(F201&gt;0.005,A201&lt;&gt;""),164,"")</f>
        <v/>
      </c>
      <c r="B202" s="16">
        <f>IF(A202&lt;&gt;"",EDATE(StartDate,163),"")</f>
        <v/>
      </c>
      <c r="C202" s="17">
        <f>IF(A202&lt;&gt;"",MIN(MonthlyPmt,F201+D202),"")</f>
        <v/>
      </c>
      <c r="D202" s="17">
        <f>IF(A202&lt;&gt;"",ROUND(F201*AnnualRate/12,2),"")</f>
        <v/>
      </c>
      <c r="E202" s="17">
        <f>IF(A202&lt;&gt;"",MIN(F201,(C202-D202)+SUMPRODUCT(($B$10:$B$19&lt;&gt;"")*($B$10:$B$19&lt;=B202)*($D$10:$D$19="Monthly")*$C$10:$C$19)+SUMPRODUCT(($B$10:$B$19&lt;&gt;"")*($B$10:$B$19&lt;=B202)*($D$10:$D$19="Annual")*(MONTH($B$10:$B$19)=MONTH(B202))*$C$10:$C$19)+SUMPRODUCT(($B$22:$B$36&lt;&gt;"")*(YEAR($B$22:$B$36)=YEAR(B202))*(MONTH($B$22:$B$36)=MONTH(B202))*$C$22:$C$36)),"")</f>
        <v/>
      </c>
      <c r="F202" s="17">
        <f>IF(A202&lt;&gt;"",ROUND(F201-E202,2),"")</f>
        <v/>
      </c>
    </row>
    <row r="203">
      <c r="A203" s="7">
        <f>IF(AND(F202&gt;0.005,A202&lt;&gt;""),165,"")</f>
        <v/>
      </c>
      <c r="B203" s="4">
        <f>IF(A203&lt;&gt;"",EDATE(StartDate,164),"")</f>
        <v/>
      </c>
      <c r="C203" s="9">
        <f>IF(A203&lt;&gt;"",MIN(MonthlyPmt,F202+D203),"")</f>
        <v/>
      </c>
      <c r="D203" s="9">
        <f>IF(A203&lt;&gt;"",ROUND(F202*AnnualRate/12,2),"")</f>
        <v/>
      </c>
      <c r="E203" s="9">
        <f>IF(A203&lt;&gt;"",MIN(F202,(C203-D203)+SUMPRODUCT(($B$10:$B$19&lt;&gt;"")*($B$10:$B$19&lt;=B203)*($D$10:$D$19="Monthly")*$C$10:$C$19)+SUMPRODUCT(($B$10:$B$19&lt;&gt;"")*($B$10:$B$19&lt;=B203)*($D$10:$D$19="Annual")*(MONTH($B$10:$B$19)=MONTH(B203))*$C$10:$C$19)+SUMPRODUCT(($B$22:$B$36&lt;&gt;"")*(YEAR($B$22:$B$36)=YEAR(B203))*(MONTH($B$22:$B$36)=MONTH(B203))*$C$22:$C$36)),"")</f>
        <v/>
      </c>
      <c r="F203" s="9">
        <f>IF(A203&lt;&gt;"",ROUND(F202-E203,2),"")</f>
        <v/>
      </c>
    </row>
    <row r="204">
      <c r="A204" s="15">
        <f>IF(AND(F203&gt;0.005,A203&lt;&gt;""),166,"")</f>
        <v/>
      </c>
      <c r="B204" s="16">
        <f>IF(A204&lt;&gt;"",EDATE(StartDate,165),"")</f>
        <v/>
      </c>
      <c r="C204" s="17">
        <f>IF(A204&lt;&gt;"",MIN(MonthlyPmt,F203+D204),"")</f>
        <v/>
      </c>
      <c r="D204" s="17">
        <f>IF(A204&lt;&gt;"",ROUND(F203*AnnualRate/12,2),"")</f>
        <v/>
      </c>
      <c r="E204" s="17">
        <f>IF(A204&lt;&gt;"",MIN(F203,(C204-D204)+SUMPRODUCT(($B$10:$B$19&lt;&gt;"")*($B$10:$B$19&lt;=B204)*($D$10:$D$19="Monthly")*$C$10:$C$19)+SUMPRODUCT(($B$10:$B$19&lt;&gt;"")*($B$10:$B$19&lt;=B204)*($D$10:$D$19="Annual")*(MONTH($B$10:$B$19)=MONTH(B204))*$C$10:$C$19)+SUMPRODUCT(($B$22:$B$36&lt;&gt;"")*(YEAR($B$22:$B$36)=YEAR(B204))*(MONTH($B$22:$B$36)=MONTH(B204))*$C$22:$C$36)),"")</f>
        <v/>
      </c>
      <c r="F204" s="17">
        <f>IF(A204&lt;&gt;"",ROUND(F203-E204,2),"")</f>
        <v/>
      </c>
    </row>
    <row r="205">
      <c r="A205" s="7">
        <f>IF(AND(F204&gt;0.005,A204&lt;&gt;""),167,"")</f>
        <v/>
      </c>
      <c r="B205" s="4">
        <f>IF(A205&lt;&gt;"",EDATE(StartDate,166),"")</f>
        <v/>
      </c>
      <c r="C205" s="9">
        <f>IF(A205&lt;&gt;"",MIN(MonthlyPmt,F204+D205),"")</f>
        <v/>
      </c>
      <c r="D205" s="9">
        <f>IF(A205&lt;&gt;"",ROUND(F204*AnnualRate/12,2),"")</f>
        <v/>
      </c>
      <c r="E205" s="9">
        <f>IF(A205&lt;&gt;"",MIN(F204,(C205-D205)+SUMPRODUCT(($B$10:$B$19&lt;&gt;"")*($B$10:$B$19&lt;=B205)*($D$10:$D$19="Monthly")*$C$10:$C$19)+SUMPRODUCT(($B$10:$B$19&lt;&gt;"")*($B$10:$B$19&lt;=B205)*($D$10:$D$19="Annual")*(MONTH($B$10:$B$19)=MONTH(B205))*$C$10:$C$19)+SUMPRODUCT(($B$22:$B$36&lt;&gt;"")*(YEAR($B$22:$B$36)=YEAR(B205))*(MONTH($B$22:$B$36)=MONTH(B205))*$C$22:$C$36)),"")</f>
        <v/>
      </c>
      <c r="F205" s="9">
        <f>IF(A205&lt;&gt;"",ROUND(F204-E205,2),"")</f>
        <v/>
      </c>
    </row>
    <row r="206">
      <c r="A206" s="15">
        <f>IF(AND(F205&gt;0.005,A205&lt;&gt;""),168,"")</f>
        <v/>
      </c>
      <c r="B206" s="16">
        <f>IF(A206&lt;&gt;"",EDATE(StartDate,167),"")</f>
        <v/>
      </c>
      <c r="C206" s="17">
        <f>IF(A206&lt;&gt;"",MIN(MonthlyPmt,F205+D206),"")</f>
        <v/>
      </c>
      <c r="D206" s="17">
        <f>IF(A206&lt;&gt;"",ROUND(F205*AnnualRate/12,2),"")</f>
        <v/>
      </c>
      <c r="E206" s="17">
        <f>IF(A206&lt;&gt;"",MIN(F205,(C206-D206)+SUMPRODUCT(($B$10:$B$19&lt;&gt;"")*($B$10:$B$19&lt;=B206)*($D$10:$D$19="Monthly")*$C$10:$C$19)+SUMPRODUCT(($B$10:$B$19&lt;&gt;"")*($B$10:$B$19&lt;=B206)*($D$10:$D$19="Annual")*(MONTH($B$10:$B$19)=MONTH(B206))*$C$10:$C$19)+SUMPRODUCT(($B$22:$B$36&lt;&gt;"")*(YEAR($B$22:$B$36)=YEAR(B206))*(MONTH($B$22:$B$36)=MONTH(B206))*$C$22:$C$36)),"")</f>
        <v/>
      </c>
      <c r="F206" s="17">
        <f>IF(A206&lt;&gt;"",ROUND(F205-E206,2),"")</f>
        <v/>
      </c>
    </row>
    <row r="207">
      <c r="A207" s="7">
        <f>IF(AND(F206&gt;0.005,A206&lt;&gt;""),169,"")</f>
        <v/>
      </c>
      <c r="B207" s="4">
        <f>IF(A207&lt;&gt;"",EDATE(StartDate,168),"")</f>
        <v/>
      </c>
      <c r="C207" s="9">
        <f>IF(A207&lt;&gt;"",MIN(MonthlyPmt,F206+D207),"")</f>
        <v/>
      </c>
      <c r="D207" s="9">
        <f>IF(A207&lt;&gt;"",ROUND(F206*AnnualRate/12,2),"")</f>
        <v/>
      </c>
      <c r="E207" s="9">
        <f>IF(A207&lt;&gt;"",MIN(F206,(C207-D207)+SUMPRODUCT(($B$10:$B$19&lt;&gt;"")*($B$10:$B$19&lt;=B207)*($D$10:$D$19="Monthly")*$C$10:$C$19)+SUMPRODUCT(($B$10:$B$19&lt;&gt;"")*($B$10:$B$19&lt;=B207)*($D$10:$D$19="Annual")*(MONTH($B$10:$B$19)=MONTH(B207))*$C$10:$C$19)+SUMPRODUCT(($B$22:$B$36&lt;&gt;"")*(YEAR($B$22:$B$36)=YEAR(B207))*(MONTH($B$22:$B$36)=MONTH(B207))*$C$22:$C$36)),"")</f>
        <v/>
      </c>
      <c r="F207" s="9">
        <f>IF(A207&lt;&gt;"",ROUND(F206-E207,2),"")</f>
        <v/>
      </c>
    </row>
    <row r="208">
      <c r="A208" s="15">
        <f>IF(AND(F207&gt;0.005,A207&lt;&gt;""),170,"")</f>
        <v/>
      </c>
      <c r="B208" s="16">
        <f>IF(A208&lt;&gt;"",EDATE(StartDate,169),"")</f>
        <v/>
      </c>
      <c r="C208" s="17">
        <f>IF(A208&lt;&gt;"",MIN(MonthlyPmt,F207+D208),"")</f>
        <v/>
      </c>
      <c r="D208" s="17">
        <f>IF(A208&lt;&gt;"",ROUND(F207*AnnualRate/12,2),"")</f>
        <v/>
      </c>
      <c r="E208" s="17">
        <f>IF(A208&lt;&gt;"",MIN(F207,(C208-D208)+SUMPRODUCT(($B$10:$B$19&lt;&gt;"")*($B$10:$B$19&lt;=B208)*($D$10:$D$19="Monthly")*$C$10:$C$19)+SUMPRODUCT(($B$10:$B$19&lt;&gt;"")*($B$10:$B$19&lt;=B208)*($D$10:$D$19="Annual")*(MONTH($B$10:$B$19)=MONTH(B208))*$C$10:$C$19)+SUMPRODUCT(($B$22:$B$36&lt;&gt;"")*(YEAR($B$22:$B$36)=YEAR(B208))*(MONTH($B$22:$B$36)=MONTH(B208))*$C$22:$C$36)),"")</f>
        <v/>
      </c>
      <c r="F208" s="17">
        <f>IF(A208&lt;&gt;"",ROUND(F207-E208,2),"")</f>
        <v/>
      </c>
    </row>
    <row r="209">
      <c r="A209" s="7">
        <f>IF(AND(F208&gt;0.005,A208&lt;&gt;""),171,"")</f>
        <v/>
      </c>
      <c r="B209" s="4">
        <f>IF(A209&lt;&gt;"",EDATE(StartDate,170),"")</f>
        <v/>
      </c>
      <c r="C209" s="9">
        <f>IF(A209&lt;&gt;"",MIN(MonthlyPmt,F208+D209),"")</f>
        <v/>
      </c>
      <c r="D209" s="9">
        <f>IF(A209&lt;&gt;"",ROUND(F208*AnnualRate/12,2),"")</f>
        <v/>
      </c>
      <c r="E209" s="9">
        <f>IF(A209&lt;&gt;"",MIN(F208,(C209-D209)+SUMPRODUCT(($B$10:$B$19&lt;&gt;"")*($B$10:$B$19&lt;=B209)*($D$10:$D$19="Monthly")*$C$10:$C$19)+SUMPRODUCT(($B$10:$B$19&lt;&gt;"")*($B$10:$B$19&lt;=B209)*($D$10:$D$19="Annual")*(MONTH($B$10:$B$19)=MONTH(B209))*$C$10:$C$19)+SUMPRODUCT(($B$22:$B$36&lt;&gt;"")*(YEAR($B$22:$B$36)=YEAR(B209))*(MONTH($B$22:$B$36)=MONTH(B209))*$C$22:$C$36)),"")</f>
        <v/>
      </c>
      <c r="F209" s="9">
        <f>IF(A209&lt;&gt;"",ROUND(F208-E209,2),"")</f>
        <v/>
      </c>
    </row>
    <row r="210">
      <c r="A210" s="15">
        <f>IF(AND(F209&gt;0.005,A209&lt;&gt;""),172,"")</f>
        <v/>
      </c>
      <c r="B210" s="16">
        <f>IF(A210&lt;&gt;"",EDATE(StartDate,171),"")</f>
        <v/>
      </c>
      <c r="C210" s="17">
        <f>IF(A210&lt;&gt;"",MIN(MonthlyPmt,F209+D210),"")</f>
        <v/>
      </c>
      <c r="D210" s="17">
        <f>IF(A210&lt;&gt;"",ROUND(F209*AnnualRate/12,2),"")</f>
        <v/>
      </c>
      <c r="E210" s="17">
        <f>IF(A210&lt;&gt;"",MIN(F209,(C210-D210)+SUMPRODUCT(($B$10:$B$19&lt;&gt;"")*($B$10:$B$19&lt;=B210)*($D$10:$D$19="Monthly")*$C$10:$C$19)+SUMPRODUCT(($B$10:$B$19&lt;&gt;"")*($B$10:$B$19&lt;=B210)*($D$10:$D$19="Annual")*(MONTH($B$10:$B$19)=MONTH(B210))*$C$10:$C$19)+SUMPRODUCT(($B$22:$B$36&lt;&gt;"")*(YEAR($B$22:$B$36)=YEAR(B210))*(MONTH($B$22:$B$36)=MONTH(B210))*$C$22:$C$36)),"")</f>
        <v/>
      </c>
      <c r="F210" s="17">
        <f>IF(A210&lt;&gt;"",ROUND(F209-E210,2),"")</f>
        <v/>
      </c>
    </row>
    <row r="211">
      <c r="A211" s="7">
        <f>IF(AND(F210&gt;0.005,A210&lt;&gt;""),173,"")</f>
        <v/>
      </c>
      <c r="B211" s="4">
        <f>IF(A211&lt;&gt;"",EDATE(StartDate,172),"")</f>
        <v/>
      </c>
      <c r="C211" s="9">
        <f>IF(A211&lt;&gt;"",MIN(MonthlyPmt,F210+D211),"")</f>
        <v/>
      </c>
      <c r="D211" s="9">
        <f>IF(A211&lt;&gt;"",ROUND(F210*AnnualRate/12,2),"")</f>
        <v/>
      </c>
      <c r="E211" s="9">
        <f>IF(A211&lt;&gt;"",MIN(F210,(C211-D211)+SUMPRODUCT(($B$10:$B$19&lt;&gt;"")*($B$10:$B$19&lt;=B211)*($D$10:$D$19="Monthly")*$C$10:$C$19)+SUMPRODUCT(($B$10:$B$19&lt;&gt;"")*($B$10:$B$19&lt;=B211)*($D$10:$D$19="Annual")*(MONTH($B$10:$B$19)=MONTH(B211))*$C$10:$C$19)+SUMPRODUCT(($B$22:$B$36&lt;&gt;"")*(YEAR($B$22:$B$36)=YEAR(B211))*(MONTH($B$22:$B$36)=MONTH(B211))*$C$22:$C$36)),"")</f>
        <v/>
      </c>
      <c r="F211" s="9">
        <f>IF(A211&lt;&gt;"",ROUND(F210-E211,2),"")</f>
        <v/>
      </c>
    </row>
    <row r="212">
      <c r="A212" s="15">
        <f>IF(AND(F211&gt;0.005,A211&lt;&gt;""),174,"")</f>
        <v/>
      </c>
      <c r="B212" s="16">
        <f>IF(A212&lt;&gt;"",EDATE(StartDate,173),"")</f>
        <v/>
      </c>
      <c r="C212" s="17">
        <f>IF(A212&lt;&gt;"",MIN(MonthlyPmt,F211+D212),"")</f>
        <v/>
      </c>
      <c r="D212" s="17">
        <f>IF(A212&lt;&gt;"",ROUND(F211*AnnualRate/12,2),"")</f>
        <v/>
      </c>
      <c r="E212" s="17">
        <f>IF(A212&lt;&gt;"",MIN(F211,(C212-D212)+SUMPRODUCT(($B$10:$B$19&lt;&gt;"")*($B$10:$B$19&lt;=B212)*($D$10:$D$19="Monthly")*$C$10:$C$19)+SUMPRODUCT(($B$10:$B$19&lt;&gt;"")*($B$10:$B$19&lt;=B212)*($D$10:$D$19="Annual")*(MONTH($B$10:$B$19)=MONTH(B212))*$C$10:$C$19)+SUMPRODUCT(($B$22:$B$36&lt;&gt;"")*(YEAR($B$22:$B$36)=YEAR(B212))*(MONTH($B$22:$B$36)=MONTH(B212))*$C$22:$C$36)),"")</f>
        <v/>
      </c>
      <c r="F212" s="17">
        <f>IF(A212&lt;&gt;"",ROUND(F211-E212,2),"")</f>
        <v/>
      </c>
    </row>
    <row r="213">
      <c r="A213" s="7">
        <f>IF(AND(F212&gt;0.005,A212&lt;&gt;""),175,"")</f>
        <v/>
      </c>
      <c r="B213" s="4">
        <f>IF(A213&lt;&gt;"",EDATE(StartDate,174),"")</f>
        <v/>
      </c>
      <c r="C213" s="9">
        <f>IF(A213&lt;&gt;"",MIN(MonthlyPmt,F212+D213),"")</f>
        <v/>
      </c>
      <c r="D213" s="9">
        <f>IF(A213&lt;&gt;"",ROUND(F212*AnnualRate/12,2),"")</f>
        <v/>
      </c>
      <c r="E213" s="9">
        <f>IF(A213&lt;&gt;"",MIN(F212,(C213-D213)+SUMPRODUCT(($B$10:$B$19&lt;&gt;"")*($B$10:$B$19&lt;=B213)*($D$10:$D$19="Monthly")*$C$10:$C$19)+SUMPRODUCT(($B$10:$B$19&lt;&gt;"")*($B$10:$B$19&lt;=B213)*($D$10:$D$19="Annual")*(MONTH($B$10:$B$19)=MONTH(B213))*$C$10:$C$19)+SUMPRODUCT(($B$22:$B$36&lt;&gt;"")*(YEAR($B$22:$B$36)=YEAR(B213))*(MONTH($B$22:$B$36)=MONTH(B213))*$C$22:$C$36)),"")</f>
        <v/>
      </c>
      <c r="F213" s="9">
        <f>IF(A213&lt;&gt;"",ROUND(F212-E213,2),"")</f>
        <v/>
      </c>
    </row>
    <row r="214">
      <c r="A214" s="15">
        <f>IF(AND(F213&gt;0.005,A213&lt;&gt;""),176,"")</f>
        <v/>
      </c>
      <c r="B214" s="16">
        <f>IF(A214&lt;&gt;"",EDATE(StartDate,175),"")</f>
        <v/>
      </c>
      <c r="C214" s="17">
        <f>IF(A214&lt;&gt;"",MIN(MonthlyPmt,F213+D214),"")</f>
        <v/>
      </c>
      <c r="D214" s="17">
        <f>IF(A214&lt;&gt;"",ROUND(F213*AnnualRate/12,2),"")</f>
        <v/>
      </c>
      <c r="E214" s="17">
        <f>IF(A214&lt;&gt;"",MIN(F213,(C214-D214)+SUMPRODUCT(($B$10:$B$19&lt;&gt;"")*($B$10:$B$19&lt;=B214)*($D$10:$D$19="Monthly")*$C$10:$C$19)+SUMPRODUCT(($B$10:$B$19&lt;&gt;"")*($B$10:$B$19&lt;=B214)*($D$10:$D$19="Annual")*(MONTH($B$10:$B$19)=MONTH(B214))*$C$10:$C$19)+SUMPRODUCT(($B$22:$B$36&lt;&gt;"")*(YEAR($B$22:$B$36)=YEAR(B214))*(MONTH($B$22:$B$36)=MONTH(B214))*$C$22:$C$36)),"")</f>
        <v/>
      </c>
      <c r="F214" s="17">
        <f>IF(A214&lt;&gt;"",ROUND(F213-E214,2),"")</f>
        <v/>
      </c>
    </row>
    <row r="215">
      <c r="A215" s="7">
        <f>IF(AND(F214&gt;0.005,A214&lt;&gt;""),177,"")</f>
        <v/>
      </c>
      <c r="B215" s="4">
        <f>IF(A215&lt;&gt;"",EDATE(StartDate,176),"")</f>
        <v/>
      </c>
      <c r="C215" s="9">
        <f>IF(A215&lt;&gt;"",MIN(MonthlyPmt,F214+D215),"")</f>
        <v/>
      </c>
      <c r="D215" s="9">
        <f>IF(A215&lt;&gt;"",ROUND(F214*AnnualRate/12,2),"")</f>
        <v/>
      </c>
      <c r="E215" s="9">
        <f>IF(A215&lt;&gt;"",MIN(F214,(C215-D215)+SUMPRODUCT(($B$10:$B$19&lt;&gt;"")*($B$10:$B$19&lt;=B215)*($D$10:$D$19="Monthly")*$C$10:$C$19)+SUMPRODUCT(($B$10:$B$19&lt;&gt;"")*($B$10:$B$19&lt;=B215)*($D$10:$D$19="Annual")*(MONTH($B$10:$B$19)=MONTH(B215))*$C$10:$C$19)+SUMPRODUCT(($B$22:$B$36&lt;&gt;"")*(YEAR($B$22:$B$36)=YEAR(B215))*(MONTH($B$22:$B$36)=MONTH(B215))*$C$22:$C$36)),"")</f>
        <v/>
      </c>
      <c r="F215" s="9">
        <f>IF(A215&lt;&gt;"",ROUND(F214-E215,2),"")</f>
        <v/>
      </c>
    </row>
    <row r="216">
      <c r="A216" s="15">
        <f>IF(AND(F215&gt;0.005,A215&lt;&gt;""),178,"")</f>
        <v/>
      </c>
      <c r="B216" s="16">
        <f>IF(A216&lt;&gt;"",EDATE(StartDate,177),"")</f>
        <v/>
      </c>
      <c r="C216" s="17">
        <f>IF(A216&lt;&gt;"",MIN(MonthlyPmt,F215+D216),"")</f>
        <v/>
      </c>
      <c r="D216" s="17">
        <f>IF(A216&lt;&gt;"",ROUND(F215*AnnualRate/12,2),"")</f>
        <v/>
      </c>
      <c r="E216" s="17">
        <f>IF(A216&lt;&gt;"",MIN(F215,(C216-D216)+SUMPRODUCT(($B$10:$B$19&lt;&gt;"")*($B$10:$B$19&lt;=B216)*($D$10:$D$19="Monthly")*$C$10:$C$19)+SUMPRODUCT(($B$10:$B$19&lt;&gt;"")*($B$10:$B$19&lt;=B216)*($D$10:$D$19="Annual")*(MONTH($B$10:$B$19)=MONTH(B216))*$C$10:$C$19)+SUMPRODUCT(($B$22:$B$36&lt;&gt;"")*(YEAR($B$22:$B$36)=YEAR(B216))*(MONTH($B$22:$B$36)=MONTH(B216))*$C$22:$C$36)),"")</f>
        <v/>
      </c>
      <c r="F216" s="17">
        <f>IF(A216&lt;&gt;"",ROUND(F215-E216,2),"")</f>
        <v/>
      </c>
    </row>
    <row r="217">
      <c r="A217" s="7">
        <f>IF(AND(F216&gt;0.005,A216&lt;&gt;""),179,"")</f>
        <v/>
      </c>
      <c r="B217" s="4">
        <f>IF(A217&lt;&gt;"",EDATE(StartDate,178),"")</f>
        <v/>
      </c>
      <c r="C217" s="9">
        <f>IF(A217&lt;&gt;"",MIN(MonthlyPmt,F216+D217),"")</f>
        <v/>
      </c>
      <c r="D217" s="9">
        <f>IF(A217&lt;&gt;"",ROUND(F216*AnnualRate/12,2),"")</f>
        <v/>
      </c>
      <c r="E217" s="9">
        <f>IF(A217&lt;&gt;"",MIN(F216,(C217-D217)+SUMPRODUCT(($B$10:$B$19&lt;&gt;"")*($B$10:$B$19&lt;=B217)*($D$10:$D$19="Monthly")*$C$10:$C$19)+SUMPRODUCT(($B$10:$B$19&lt;&gt;"")*($B$10:$B$19&lt;=B217)*($D$10:$D$19="Annual")*(MONTH($B$10:$B$19)=MONTH(B217))*$C$10:$C$19)+SUMPRODUCT(($B$22:$B$36&lt;&gt;"")*(YEAR($B$22:$B$36)=YEAR(B217))*(MONTH($B$22:$B$36)=MONTH(B217))*$C$22:$C$36)),"")</f>
        <v/>
      </c>
      <c r="F217" s="9">
        <f>IF(A217&lt;&gt;"",ROUND(F216-E217,2),"")</f>
        <v/>
      </c>
    </row>
    <row r="218">
      <c r="A218" s="15">
        <f>IF(AND(F217&gt;0.005,A217&lt;&gt;""),180,"")</f>
        <v/>
      </c>
      <c r="B218" s="16">
        <f>IF(A218&lt;&gt;"",EDATE(StartDate,179),"")</f>
        <v/>
      </c>
      <c r="C218" s="17">
        <f>IF(A218&lt;&gt;"",MIN(MonthlyPmt,F217+D218),"")</f>
        <v/>
      </c>
      <c r="D218" s="17">
        <f>IF(A218&lt;&gt;"",ROUND(F217*AnnualRate/12,2),"")</f>
        <v/>
      </c>
      <c r="E218" s="17">
        <f>IF(A218&lt;&gt;"",MIN(F217,(C218-D218)+SUMPRODUCT(($B$10:$B$19&lt;&gt;"")*($B$10:$B$19&lt;=B218)*($D$10:$D$19="Monthly")*$C$10:$C$19)+SUMPRODUCT(($B$10:$B$19&lt;&gt;"")*($B$10:$B$19&lt;=B218)*($D$10:$D$19="Annual")*(MONTH($B$10:$B$19)=MONTH(B218))*$C$10:$C$19)+SUMPRODUCT(($B$22:$B$36&lt;&gt;"")*(YEAR($B$22:$B$36)=YEAR(B218))*(MONTH($B$22:$B$36)=MONTH(B218))*$C$22:$C$36)),"")</f>
        <v/>
      </c>
      <c r="F218" s="17">
        <f>IF(A218&lt;&gt;"",ROUND(F217-E218,2),"")</f>
        <v/>
      </c>
    </row>
    <row r="219">
      <c r="A219" s="7">
        <f>IF(AND(F218&gt;0.005,A218&lt;&gt;""),181,"")</f>
        <v/>
      </c>
      <c r="B219" s="4">
        <f>IF(A219&lt;&gt;"",EDATE(StartDate,180),"")</f>
        <v/>
      </c>
      <c r="C219" s="9">
        <f>IF(A219&lt;&gt;"",MIN(MonthlyPmt,F218+D219),"")</f>
        <v/>
      </c>
      <c r="D219" s="9">
        <f>IF(A219&lt;&gt;"",ROUND(F218*AnnualRate/12,2),"")</f>
        <v/>
      </c>
      <c r="E219" s="9">
        <f>IF(A219&lt;&gt;"",MIN(F218,(C219-D219)+SUMPRODUCT(($B$10:$B$19&lt;&gt;"")*($B$10:$B$19&lt;=B219)*($D$10:$D$19="Monthly")*$C$10:$C$19)+SUMPRODUCT(($B$10:$B$19&lt;&gt;"")*($B$10:$B$19&lt;=B219)*($D$10:$D$19="Annual")*(MONTH($B$10:$B$19)=MONTH(B219))*$C$10:$C$19)+SUMPRODUCT(($B$22:$B$36&lt;&gt;"")*(YEAR($B$22:$B$36)=YEAR(B219))*(MONTH($B$22:$B$36)=MONTH(B219))*$C$22:$C$36)),"")</f>
        <v/>
      </c>
      <c r="F219" s="9">
        <f>IF(A219&lt;&gt;"",ROUND(F218-E219,2),"")</f>
        <v/>
      </c>
    </row>
    <row r="220">
      <c r="A220" s="15">
        <f>IF(AND(F219&gt;0.005,A219&lt;&gt;""),182,"")</f>
        <v/>
      </c>
      <c r="B220" s="16">
        <f>IF(A220&lt;&gt;"",EDATE(StartDate,181),"")</f>
        <v/>
      </c>
      <c r="C220" s="17">
        <f>IF(A220&lt;&gt;"",MIN(MonthlyPmt,F219+D220),"")</f>
        <v/>
      </c>
      <c r="D220" s="17">
        <f>IF(A220&lt;&gt;"",ROUND(F219*AnnualRate/12,2),"")</f>
        <v/>
      </c>
      <c r="E220" s="17">
        <f>IF(A220&lt;&gt;"",MIN(F219,(C220-D220)+SUMPRODUCT(($B$10:$B$19&lt;&gt;"")*($B$10:$B$19&lt;=B220)*($D$10:$D$19="Monthly")*$C$10:$C$19)+SUMPRODUCT(($B$10:$B$19&lt;&gt;"")*($B$10:$B$19&lt;=B220)*($D$10:$D$19="Annual")*(MONTH($B$10:$B$19)=MONTH(B220))*$C$10:$C$19)+SUMPRODUCT(($B$22:$B$36&lt;&gt;"")*(YEAR($B$22:$B$36)=YEAR(B220))*(MONTH($B$22:$B$36)=MONTH(B220))*$C$22:$C$36)),"")</f>
        <v/>
      </c>
      <c r="F220" s="17">
        <f>IF(A220&lt;&gt;"",ROUND(F219-E220,2),"")</f>
        <v/>
      </c>
    </row>
    <row r="221">
      <c r="A221" s="7">
        <f>IF(AND(F220&gt;0.005,A220&lt;&gt;""),183,"")</f>
        <v/>
      </c>
      <c r="B221" s="4">
        <f>IF(A221&lt;&gt;"",EDATE(StartDate,182),"")</f>
        <v/>
      </c>
      <c r="C221" s="9">
        <f>IF(A221&lt;&gt;"",MIN(MonthlyPmt,F220+D221),"")</f>
        <v/>
      </c>
      <c r="D221" s="9">
        <f>IF(A221&lt;&gt;"",ROUND(F220*AnnualRate/12,2),"")</f>
        <v/>
      </c>
      <c r="E221" s="9">
        <f>IF(A221&lt;&gt;"",MIN(F220,(C221-D221)+SUMPRODUCT(($B$10:$B$19&lt;&gt;"")*($B$10:$B$19&lt;=B221)*($D$10:$D$19="Monthly")*$C$10:$C$19)+SUMPRODUCT(($B$10:$B$19&lt;&gt;"")*($B$10:$B$19&lt;=B221)*($D$10:$D$19="Annual")*(MONTH($B$10:$B$19)=MONTH(B221))*$C$10:$C$19)+SUMPRODUCT(($B$22:$B$36&lt;&gt;"")*(YEAR($B$22:$B$36)=YEAR(B221))*(MONTH($B$22:$B$36)=MONTH(B221))*$C$22:$C$36)),"")</f>
        <v/>
      </c>
      <c r="F221" s="9">
        <f>IF(A221&lt;&gt;"",ROUND(F220-E221,2),"")</f>
        <v/>
      </c>
    </row>
    <row r="222">
      <c r="A222" s="15">
        <f>IF(AND(F221&gt;0.005,A221&lt;&gt;""),184,"")</f>
        <v/>
      </c>
      <c r="B222" s="16">
        <f>IF(A222&lt;&gt;"",EDATE(StartDate,183),"")</f>
        <v/>
      </c>
      <c r="C222" s="17">
        <f>IF(A222&lt;&gt;"",MIN(MonthlyPmt,F221+D222),"")</f>
        <v/>
      </c>
      <c r="D222" s="17">
        <f>IF(A222&lt;&gt;"",ROUND(F221*AnnualRate/12,2),"")</f>
        <v/>
      </c>
      <c r="E222" s="17">
        <f>IF(A222&lt;&gt;"",MIN(F221,(C222-D222)+SUMPRODUCT(($B$10:$B$19&lt;&gt;"")*($B$10:$B$19&lt;=B222)*($D$10:$D$19="Monthly")*$C$10:$C$19)+SUMPRODUCT(($B$10:$B$19&lt;&gt;"")*($B$10:$B$19&lt;=B222)*($D$10:$D$19="Annual")*(MONTH($B$10:$B$19)=MONTH(B222))*$C$10:$C$19)+SUMPRODUCT(($B$22:$B$36&lt;&gt;"")*(YEAR($B$22:$B$36)=YEAR(B222))*(MONTH($B$22:$B$36)=MONTH(B222))*$C$22:$C$36)),"")</f>
        <v/>
      </c>
      <c r="F222" s="17">
        <f>IF(A222&lt;&gt;"",ROUND(F221-E222,2),"")</f>
        <v/>
      </c>
    </row>
    <row r="223">
      <c r="A223" s="7">
        <f>IF(AND(F222&gt;0.005,A222&lt;&gt;""),185,"")</f>
        <v/>
      </c>
      <c r="B223" s="4">
        <f>IF(A223&lt;&gt;"",EDATE(StartDate,184),"")</f>
        <v/>
      </c>
      <c r="C223" s="9">
        <f>IF(A223&lt;&gt;"",MIN(MonthlyPmt,F222+D223),"")</f>
        <v/>
      </c>
      <c r="D223" s="9">
        <f>IF(A223&lt;&gt;"",ROUND(F222*AnnualRate/12,2),"")</f>
        <v/>
      </c>
      <c r="E223" s="9">
        <f>IF(A223&lt;&gt;"",MIN(F222,(C223-D223)+SUMPRODUCT(($B$10:$B$19&lt;&gt;"")*($B$10:$B$19&lt;=B223)*($D$10:$D$19="Monthly")*$C$10:$C$19)+SUMPRODUCT(($B$10:$B$19&lt;&gt;"")*($B$10:$B$19&lt;=B223)*($D$10:$D$19="Annual")*(MONTH($B$10:$B$19)=MONTH(B223))*$C$10:$C$19)+SUMPRODUCT(($B$22:$B$36&lt;&gt;"")*(YEAR($B$22:$B$36)=YEAR(B223))*(MONTH($B$22:$B$36)=MONTH(B223))*$C$22:$C$36)),"")</f>
        <v/>
      </c>
      <c r="F223" s="9">
        <f>IF(A223&lt;&gt;"",ROUND(F222-E223,2),"")</f>
        <v/>
      </c>
    </row>
    <row r="224">
      <c r="A224" s="15">
        <f>IF(AND(F223&gt;0.005,A223&lt;&gt;""),186,"")</f>
        <v/>
      </c>
      <c r="B224" s="16">
        <f>IF(A224&lt;&gt;"",EDATE(StartDate,185),"")</f>
        <v/>
      </c>
      <c r="C224" s="17">
        <f>IF(A224&lt;&gt;"",MIN(MonthlyPmt,F223+D224),"")</f>
        <v/>
      </c>
      <c r="D224" s="17">
        <f>IF(A224&lt;&gt;"",ROUND(F223*AnnualRate/12,2),"")</f>
        <v/>
      </c>
      <c r="E224" s="17">
        <f>IF(A224&lt;&gt;"",MIN(F223,(C224-D224)+SUMPRODUCT(($B$10:$B$19&lt;&gt;"")*($B$10:$B$19&lt;=B224)*($D$10:$D$19="Monthly")*$C$10:$C$19)+SUMPRODUCT(($B$10:$B$19&lt;&gt;"")*($B$10:$B$19&lt;=B224)*($D$10:$D$19="Annual")*(MONTH($B$10:$B$19)=MONTH(B224))*$C$10:$C$19)+SUMPRODUCT(($B$22:$B$36&lt;&gt;"")*(YEAR($B$22:$B$36)=YEAR(B224))*(MONTH($B$22:$B$36)=MONTH(B224))*$C$22:$C$36)),"")</f>
        <v/>
      </c>
      <c r="F224" s="17">
        <f>IF(A224&lt;&gt;"",ROUND(F223-E224,2),"")</f>
        <v/>
      </c>
    </row>
    <row r="225">
      <c r="A225" s="7">
        <f>IF(AND(F224&gt;0.005,A224&lt;&gt;""),187,"")</f>
        <v/>
      </c>
      <c r="B225" s="4">
        <f>IF(A225&lt;&gt;"",EDATE(StartDate,186),"")</f>
        <v/>
      </c>
      <c r="C225" s="9">
        <f>IF(A225&lt;&gt;"",MIN(MonthlyPmt,F224+D225),"")</f>
        <v/>
      </c>
      <c r="D225" s="9">
        <f>IF(A225&lt;&gt;"",ROUND(F224*AnnualRate/12,2),"")</f>
        <v/>
      </c>
      <c r="E225" s="9">
        <f>IF(A225&lt;&gt;"",MIN(F224,(C225-D225)+SUMPRODUCT(($B$10:$B$19&lt;&gt;"")*($B$10:$B$19&lt;=B225)*($D$10:$D$19="Monthly")*$C$10:$C$19)+SUMPRODUCT(($B$10:$B$19&lt;&gt;"")*($B$10:$B$19&lt;=B225)*($D$10:$D$19="Annual")*(MONTH($B$10:$B$19)=MONTH(B225))*$C$10:$C$19)+SUMPRODUCT(($B$22:$B$36&lt;&gt;"")*(YEAR($B$22:$B$36)=YEAR(B225))*(MONTH($B$22:$B$36)=MONTH(B225))*$C$22:$C$36)),"")</f>
        <v/>
      </c>
      <c r="F225" s="9">
        <f>IF(A225&lt;&gt;"",ROUND(F224-E225,2),"")</f>
        <v/>
      </c>
    </row>
    <row r="226">
      <c r="A226" s="15">
        <f>IF(AND(F225&gt;0.005,A225&lt;&gt;""),188,"")</f>
        <v/>
      </c>
      <c r="B226" s="16">
        <f>IF(A226&lt;&gt;"",EDATE(StartDate,187),"")</f>
        <v/>
      </c>
      <c r="C226" s="17">
        <f>IF(A226&lt;&gt;"",MIN(MonthlyPmt,F225+D226),"")</f>
        <v/>
      </c>
      <c r="D226" s="17">
        <f>IF(A226&lt;&gt;"",ROUND(F225*AnnualRate/12,2),"")</f>
        <v/>
      </c>
      <c r="E226" s="17">
        <f>IF(A226&lt;&gt;"",MIN(F225,(C226-D226)+SUMPRODUCT(($B$10:$B$19&lt;&gt;"")*($B$10:$B$19&lt;=B226)*($D$10:$D$19="Monthly")*$C$10:$C$19)+SUMPRODUCT(($B$10:$B$19&lt;&gt;"")*($B$10:$B$19&lt;=B226)*($D$10:$D$19="Annual")*(MONTH($B$10:$B$19)=MONTH(B226))*$C$10:$C$19)+SUMPRODUCT(($B$22:$B$36&lt;&gt;"")*(YEAR($B$22:$B$36)=YEAR(B226))*(MONTH($B$22:$B$36)=MONTH(B226))*$C$22:$C$36)),"")</f>
        <v/>
      </c>
      <c r="F226" s="17">
        <f>IF(A226&lt;&gt;"",ROUND(F225-E226,2),"")</f>
        <v/>
      </c>
    </row>
    <row r="227">
      <c r="A227" s="7">
        <f>IF(AND(F226&gt;0.005,A226&lt;&gt;""),189,"")</f>
        <v/>
      </c>
      <c r="B227" s="4">
        <f>IF(A227&lt;&gt;"",EDATE(StartDate,188),"")</f>
        <v/>
      </c>
      <c r="C227" s="9">
        <f>IF(A227&lt;&gt;"",MIN(MonthlyPmt,F226+D227),"")</f>
        <v/>
      </c>
      <c r="D227" s="9">
        <f>IF(A227&lt;&gt;"",ROUND(F226*AnnualRate/12,2),"")</f>
        <v/>
      </c>
      <c r="E227" s="9">
        <f>IF(A227&lt;&gt;"",MIN(F226,(C227-D227)+SUMPRODUCT(($B$10:$B$19&lt;&gt;"")*($B$10:$B$19&lt;=B227)*($D$10:$D$19="Monthly")*$C$10:$C$19)+SUMPRODUCT(($B$10:$B$19&lt;&gt;"")*($B$10:$B$19&lt;=B227)*($D$10:$D$19="Annual")*(MONTH($B$10:$B$19)=MONTH(B227))*$C$10:$C$19)+SUMPRODUCT(($B$22:$B$36&lt;&gt;"")*(YEAR($B$22:$B$36)=YEAR(B227))*(MONTH($B$22:$B$36)=MONTH(B227))*$C$22:$C$36)),"")</f>
        <v/>
      </c>
      <c r="F227" s="9">
        <f>IF(A227&lt;&gt;"",ROUND(F226-E227,2),"")</f>
        <v/>
      </c>
    </row>
    <row r="228">
      <c r="A228" s="15">
        <f>IF(AND(F227&gt;0.005,A227&lt;&gt;""),190,"")</f>
        <v/>
      </c>
      <c r="B228" s="16">
        <f>IF(A228&lt;&gt;"",EDATE(StartDate,189),"")</f>
        <v/>
      </c>
      <c r="C228" s="17">
        <f>IF(A228&lt;&gt;"",MIN(MonthlyPmt,F227+D228),"")</f>
        <v/>
      </c>
      <c r="D228" s="17">
        <f>IF(A228&lt;&gt;"",ROUND(F227*AnnualRate/12,2),"")</f>
        <v/>
      </c>
      <c r="E228" s="17">
        <f>IF(A228&lt;&gt;"",MIN(F227,(C228-D228)+SUMPRODUCT(($B$10:$B$19&lt;&gt;"")*($B$10:$B$19&lt;=B228)*($D$10:$D$19="Monthly")*$C$10:$C$19)+SUMPRODUCT(($B$10:$B$19&lt;&gt;"")*($B$10:$B$19&lt;=B228)*($D$10:$D$19="Annual")*(MONTH($B$10:$B$19)=MONTH(B228))*$C$10:$C$19)+SUMPRODUCT(($B$22:$B$36&lt;&gt;"")*(YEAR($B$22:$B$36)=YEAR(B228))*(MONTH($B$22:$B$36)=MONTH(B228))*$C$22:$C$36)),"")</f>
        <v/>
      </c>
      <c r="F228" s="17">
        <f>IF(A228&lt;&gt;"",ROUND(F227-E228,2),"")</f>
        <v/>
      </c>
    </row>
    <row r="229">
      <c r="A229" s="7">
        <f>IF(AND(F228&gt;0.005,A228&lt;&gt;""),191,"")</f>
        <v/>
      </c>
      <c r="B229" s="4">
        <f>IF(A229&lt;&gt;"",EDATE(StartDate,190),"")</f>
        <v/>
      </c>
      <c r="C229" s="9">
        <f>IF(A229&lt;&gt;"",MIN(MonthlyPmt,F228+D229),"")</f>
        <v/>
      </c>
      <c r="D229" s="9">
        <f>IF(A229&lt;&gt;"",ROUND(F228*AnnualRate/12,2),"")</f>
        <v/>
      </c>
      <c r="E229" s="9">
        <f>IF(A229&lt;&gt;"",MIN(F228,(C229-D229)+SUMPRODUCT(($B$10:$B$19&lt;&gt;"")*($B$10:$B$19&lt;=B229)*($D$10:$D$19="Monthly")*$C$10:$C$19)+SUMPRODUCT(($B$10:$B$19&lt;&gt;"")*($B$10:$B$19&lt;=B229)*($D$10:$D$19="Annual")*(MONTH($B$10:$B$19)=MONTH(B229))*$C$10:$C$19)+SUMPRODUCT(($B$22:$B$36&lt;&gt;"")*(YEAR($B$22:$B$36)=YEAR(B229))*(MONTH($B$22:$B$36)=MONTH(B229))*$C$22:$C$36)),"")</f>
        <v/>
      </c>
      <c r="F229" s="9">
        <f>IF(A229&lt;&gt;"",ROUND(F228-E229,2),"")</f>
        <v/>
      </c>
    </row>
    <row r="230">
      <c r="A230" s="15">
        <f>IF(AND(F229&gt;0.005,A229&lt;&gt;""),192,"")</f>
        <v/>
      </c>
      <c r="B230" s="16">
        <f>IF(A230&lt;&gt;"",EDATE(StartDate,191),"")</f>
        <v/>
      </c>
      <c r="C230" s="17">
        <f>IF(A230&lt;&gt;"",MIN(MonthlyPmt,F229+D230),"")</f>
        <v/>
      </c>
      <c r="D230" s="17">
        <f>IF(A230&lt;&gt;"",ROUND(F229*AnnualRate/12,2),"")</f>
        <v/>
      </c>
      <c r="E230" s="17">
        <f>IF(A230&lt;&gt;"",MIN(F229,(C230-D230)+SUMPRODUCT(($B$10:$B$19&lt;&gt;"")*($B$10:$B$19&lt;=B230)*($D$10:$D$19="Monthly")*$C$10:$C$19)+SUMPRODUCT(($B$10:$B$19&lt;&gt;"")*($B$10:$B$19&lt;=B230)*($D$10:$D$19="Annual")*(MONTH($B$10:$B$19)=MONTH(B230))*$C$10:$C$19)+SUMPRODUCT(($B$22:$B$36&lt;&gt;"")*(YEAR($B$22:$B$36)=YEAR(B230))*(MONTH($B$22:$B$36)=MONTH(B230))*$C$22:$C$36)),"")</f>
        <v/>
      </c>
      <c r="F230" s="17">
        <f>IF(A230&lt;&gt;"",ROUND(F229-E230,2),"")</f>
        <v/>
      </c>
    </row>
    <row r="231">
      <c r="A231" s="7">
        <f>IF(AND(F230&gt;0.005,A230&lt;&gt;""),193,"")</f>
        <v/>
      </c>
      <c r="B231" s="4">
        <f>IF(A231&lt;&gt;"",EDATE(StartDate,192),"")</f>
        <v/>
      </c>
      <c r="C231" s="9">
        <f>IF(A231&lt;&gt;"",MIN(MonthlyPmt,F230+D231),"")</f>
        <v/>
      </c>
      <c r="D231" s="9">
        <f>IF(A231&lt;&gt;"",ROUND(F230*AnnualRate/12,2),"")</f>
        <v/>
      </c>
      <c r="E231" s="9">
        <f>IF(A231&lt;&gt;"",MIN(F230,(C231-D231)+SUMPRODUCT(($B$10:$B$19&lt;&gt;"")*($B$10:$B$19&lt;=B231)*($D$10:$D$19="Monthly")*$C$10:$C$19)+SUMPRODUCT(($B$10:$B$19&lt;&gt;"")*($B$10:$B$19&lt;=B231)*($D$10:$D$19="Annual")*(MONTH($B$10:$B$19)=MONTH(B231))*$C$10:$C$19)+SUMPRODUCT(($B$22:$B$36&lt;&gt;"")*(YEAR($B$22:$B$36)=YEAR(B231))*(MONTH($B$22:$B$36)=MONTH(B231))*$C$22:$C$36)),"")</f>
        <v/>
      </c>
      <c r="F231" s="9">
        <f>IF(A231&lt;&gt;"",ROUND(F230-E231,2),"")</f>
        <v/>
      </c>
    </row>
    <row r="232">
      <c r="A232" s="15">
        <f>IF(AND(F231&gt;0.005,A231&lt;&gt;""),194,"")</f>
        <v/>
      </c>
      <c r="B232" s="16">
        <f>IF(A232&lt;&gt;"",EDATE(StartDate,193),"")</f>
        <v/>
      </c>
      <c r="C232" s="17">
        <f>IF(A232&lt;&gt;"",MIN(MonthlyPmt,F231+D232),"")</f>
        <v/>
      </c>
      <c r="D232" s="17">
        <f>IF(A232&lt;&gt;"",ROUND(F231*AnnualRate/12,2),"")</f>
        <v/>
      </c>
      <c r="E232" s="17">
        <f>IF(A232&lt;&gt;"",MIN(F231,(C232-D232)+SUMPRODUCT(($B$10:$B$19&lt;&gt;"")*($B$10:$B$19&lt;=B232)*($D$10:$D$19="Monthly")*$C$10:$C$19)+SUMPRODUCT(($B$10:$B$19&lt;&gt;"")*($B$10:$B$19&lt;=B232)*($D$10:$D$19="Annual")*(MONTH($B$10:$B$19)=MONTH(B232))*$C$10:$C$19)+SUMPRODUCT(($B$22:$B$36&lt;&gt;"")*(YEAR($B$22:$B$36)=YEAR(B232))*(MONTH($B$22:$B$36)=MONTH(B232))*$C$22:$C$36)),"")</f>
        <v/>
      </c>
      <c r="F232" s="17">
        <f>IF(A232&lt;&gt;"",ROUND(F231-E232,2),"")</f>
        <v/>
      </c>
    </row>
    <row r="233">
      <c r="A233" s="7">
        <f>IF(AND(F232&gt;0.005,A232&lt;&gt;""),195,"")</f>
        <v/>
      </c>
      <c r="B233" s="4">
        <f>IF(A233&lt;&gt;"",EDATE(StartDate,194),"")</f>
        <v/>
      </c>
      <c r="C233" s="9">
        <f>IF(A233&lt;&gt;"",MIN(MonthlyPmt,F232+D233),"")</f>
        <v/>
      </c>
      <c r="D233" s="9">
        <f>IF(A233&lt;&gt;"",ROUND(F232*AnnualRate/12,2),"")</f>
        <v/>
      </c>
      <c r="E233" s="9">
        <f>IF(A233&lt;&gt;"",MIN(F232,(C233-D233)+SUMPRODUCT(($B$10:$B$19&lt;&gt;"")*($B$10:$B$19&lt;=B233)*($D$10:$D$19="Monthly")*$C$10:$C$19)+SUMPRODUCT(($B$10:$B$19&lt;&gt;"")*($B$10:$B$19&lt;=B233)*($D$10:$D$19="Annual")*(MONTH($B$10:$B$19)=MONTH(B233))*$C$10:$C$19)+SUMPRODUCT(($B$22:$B$36&lt;&gt;"")*(YEAR($B$22:$B$36)=YEAR(B233))*(MONTH($B$22:$B$36)=MONTH(B233))*$C$22:$C$36)),"")</f>
        <v/>
      </c>
      <c r="F233" s="9">
        <f>IF(A233&lt;&gt;"",ROUND(F232-E233,2),"")</f>
        <v/>
      </c>
    </row>
    <row r="234">
      <c r="A234" s="15">
        <f>IF(AND(F233&gt;0.005,A233&lt;&gt;""),196,"")</f>
        <v/>
      </c>
      <c r="B234" s="16">
        <f>IF(A234&lt;&gt;"",EDATE(StartDate,195),"")</f>
        <v/>
      </c>
      <c r="C234" s="17">
        <f>IF(A234&lt;&gt;"",MIN(MonthlyPmt,F233+D234),"")</f>
        <v/>
      </c>
      <c r="D234" s="17">
        <f>IF(A234&lt;&gt;"",ROUND(F233*AnnualRate/12,2),"")</f>
        <v/>
      </c>
      <c r="E234" s="17">
        <f>IF(A234&lt;&gt;"",MIN(F233,(C234-D234)+SUMPRODUCT(($B$10:$B$19&lt;&gt;"")*($B$10:$B$19&lt;=B234)*($D$10:$D$19="Monthly")*$C$10:$C$19)+SUMPRODUCT(($B$10:$B$19&lt;&gt;"")*($B$10:$B$19&lt;=B234)*($D$10:$D$19="Annual")*(MONTH($B$10:$B$19)=MONTH(B234))*$C$10:$C$19)+SUMPRODUCT(($B$22:$B$36&lt;&gt;"")*(YEAR($B$22:$B$36)=YEAR(B234))*(MONTH($B$22:$B$36)=MONTH(B234))*$C$22:$C$36)),"")</f>
        <v/>
      </c>
      <c r="F234" s="17">
        <f>IF(A234&lt;&gt;"",ROUND(F233-E234,2),"")</f>
        <v/>
      </c>
    </row>
    <row r="235">
      <c r="A235" s="7">
        <f>IF(AND(F234&gt;0.005,A234&lt;&gt;""),197,"")</f>
        <v/>
      </c>
      <c r="B235" s="4">
        <f>IF(A235&lt;&gt;"",EDATE(StartDate,196),"")</f>
        <v/>
      </c>
      <c r="C235" s="9">
        <f>IF(A235&lt;&gt;"",MIN(MonthlyPmt,F234+D235),"")</f>
        <v/>
      </c>
      <c r="D235" s="9">
        <f>IF(A235&lt;&gt;"",ROUND(F234*AnnualRate/12,2),"")</f>
        <v/>
      </c>
      <c r="E235" s="9">
        <f>IF(A235&lt;&gt;"",MIN(F234,(C235-D235)+SUMPRODUCT(($B$10:$B$19&lt;&gt;"")*($B$10:$B$19&lt;=B235)*($D$10:$D$19="Monthly")*$C$10:$C$19)+SUMPRODUCT(($B$10:$B$19&lt;&gt;"")*($B$10:$B$19&lt;=B235)*($D$10:$D$19="Annual")*(MONTH($B$10:$B$19)=MONTH(B235))*$C$10:$C$19)+SUMPRODUCT(($B$22:$B$36&lt;&gt;"")*(YEAR($B$22:$B$36)=YEAR(B235))*(MONTH($B$22:$B$36)=MONTH(B235))*$C$22:$C$36)),"")</f>
        <v/>
      </c>
      <c r="F235" s="9">
        <f>IF(A235&lt;&gt;"",ROUND(F234-E235,2),"")</f>
        <v/>
      </c>
    </row>
    <row r="236">
      <c r="A236" s="15">
        <f>IF(AND(F235&gt;0.005,A235&lt;&gt;""),198,"")</f>
        <v/>
      </c>
      <c r="B236" s="16">
        <f>IF(A236&lt;&gt;"",EDATE(StartDate,197),"")</f>
        <v/>
      </c>
      <c r="C236" s="17">
        <f>IF(A236&lt;&gt;"",MIN(MonthlyPmt,F235+D236),"")</f>
        <v/>
      </c>
      <c r="D236" s="17">
        <f>IF(A236&lt;&gt;"",ROUND(F235*AnnualRate/12,2),"")</f>
        <v/>
      </c>
      <c r="E236" s="17">
        <f>IF(A236&lt;&gt;"",MIN(F235,(C236-D236)+SUMPRODUCT(($B$10:$B$19&lt;&gt;"")*($B$10:$B$19&lt;=B236)*($D$10:$D$19="Monthly")*$C$10:$C$19)+SUMPRODUCT(($B$10:$B$19&lt;&gt;"")*($B$10:$B$19&lt;=B236)*($D$10:$D$19="Annual")*(MONTH($B$10:$B$19)=MONTH(B236))*$C$10:$C$19)+SUMPRODUCT(($B$22:$B$36&lt;&gt;"")*(YEAR($B$22:$B$36)=YEAR(B236))*(MONTH($B$22:$B$36)=MONTH(B236))*$C$22:$C$36)),"")</f>
        <v/>
      </c>
      <c r="F236" s="17">
        <f>IF(A236&lt;&gt;"",ROUND(F235-E236,2),"")</f>
        <v/>
      </c>
    </row>
    <row r="237">
      <c r="A237" s="7">
        <f>IF(AND(F236&gt;0.005,A236&lt;&gt;""),199,"")</f>
        <v/>
      </c>
      <c r="B237" s="4">
        <f>IF(A237&lt;&gt;"",EDATE(StartDate,198),"")</f>
        <v/>
      </c>
      <c r="C237" s="9">
        <f>IF(A237&lt;&gt;"",MIN(MonthlyPmt,F236+D237),"")</f>
        <v/>
      </c>
      <c r="D237" s="9">
        <f>IF(A237&lt;&gt;"",ROUND(F236*AnnualRate/12,2),"")</f>
        <v/>
      </c>
      <c r="E237" s="9">
        <f>IF(A237&lt;&gt;"",MIN(F236,(C237-D237)+SUMPRODUCT(($B$10:$B$19&lt;&gt;"")*($B$10:$B$19&lt;=B237)*($D$10:$D$19="Monthly")*$C$10:$C$19)+SUMPRODUCT(($B$10:$B$19&lt;&gt;"")*($B$10:$B$19&lt;=B237)*($D$10:$D$19="Annual")*(MONTH($B$10:$B$19)=MONTH(B237))*$C$10:$C$19)+SUMPRODUCT(($B$22:$B$36&lt;&gt;"")*(YEAR($B$22:$B$36)=YEAR(B237))*(MONTH($B$22:$B$36)=MONTH(B237))*$C$22:$C$36)),"")</f>
        <v/>
      </c>
      <c r="F237" s="9">
        <f>IF(A237&lt;&gt;"",ROUND(F236-E237,2),"")</f>
        <v/>
      </c>
    </row>
    <row r="238">
      <c r="A238" s="15">
        <f>IF(AND(F237&gt;0.005,A237&lt;&gt;""),200,"")</f>
        <v/>
      </c>
      <c r="B238" s="16">
        <f>IF(A238&lt;&gt;"",EDATE(StartDate,199),"")</f>
        <v/>
      </c>
      <c r="C238" s="17">
        <f>IF(A238&lt;&gt;"",MIN(MonthlyPmt,F237+D238),"")</f>
        <v/>
      </c>
      <c r="D238" s="17">
        <f>IF(A238&lt;&gt;"",ROUND(F237*AnnualRate/12,2),"")</f>
        <v/>
      </c>
      <c r="E238" s="17">
        <f>IF(A238&lt;&gt;"",MIN(F237,(C238-D238)+SUMPRODUCT(($B$10:$B$19&lt;&gt;"")*($B$10:$B$19&lt;=B238)*($D$10:$D$19="Monthly")*$C$10:$C$19)+SUMPRODUCT(($B$10:$B$19&lt;&gt;"")*($B$10:$B$19&lt;=B238)*($D$10:$D$19="Annual")*(MONTH($B$10:$B$19)=MONTH(B238))*$C$10:$C$19)+SUMPRODUCT(($B$22:$B$36&lt;&gt;"")*(YEAR($B$22:$B$36)=YEAR(B238))*(MONTH($B$22:$B$36)=MONTH(B238))*$C$22:$C$36)),"")</f>
        <v/>
      </c>
      <c r="F238" s="17">
        <f>IF(A238&lt;&gt;"",ROUND(F237-E238,2),"")</f>
        <v/>
      </c>
    </row>
    <row r="239">
      <c r="A239" s="7">
        <f>IF(AND(F238&gt;0.005,A238&lt;&gt;""),201,"")</f>
        <v/>
      </c>
      <c r="B239" s="4">
        <f>IF(A239&lt;&gt;"",EDATE(StartDate,200),"")</f>
        <v/>
      </c>
      <c r="C239" s="9">
        <f>IF(A239&lt;&gt;"",MIN(MonthlyPmt,F238+D239),"")</f>
        <v/>
      </c>
      <c r="D239" s="9">
        <f>IF(A239&lt;&gt;"",ROUND(F238*AnnualRate/12,2),"")</f>
        <v/>
      </c>
      <c r="E239" s="9">
        <f>IF(A239&lt;&gt;"",MIN(F238,(C239-D239)+SUMPRODUCT(($B$10:$B$19&lt;&gt;"")*($B$10:$B$19&lt;=B239)*($D$10:$D$19="Monthly")*$C$10:$C$19)+SUMPRODUCT(($B$10:$B$19&lt;&gt;"")*($B$10:$B$19&lt;=B239)*($D$10:$D$19="Annual")*(MONTH($B$10:$B$19)=MONTH(B239))*$C$10:$C$19)+SUMPRODUCT(($B$22:$B$36&lt;&gt;"")*(YEAR($B$22:$B$36)=YEAR(B239))*(MONTH($B$22:$B$36)=MONTH(B239))*$C$22:$C$36)),"")</f>
        <v/>
      </c>
      <c r="F239" s="9">
        <f>IF(A239&lt;&gt;"",ROUND(F238-E239,2),"")</f>
        <v/>
      </c>
    </row>
    <row r="240">
      <c r="A240" s="15">
        <f>IF(AND(F239&gt;0.005,A239&lt;&gt;""),202,"")</f>
        <v/>
      </c>
      <c r="B240" s="16">
        <f>IF(A240&lt;&gt;"",EDATE(StartDate,201),"")</f>
        <v/>
      </c>
      <c r="C240" s="17">
        <f>IF(A240&lt;&gt;"",MIN(MonthlyPmt,F239+D240),"")</f>
        <v/>
      </c>
      <c r="D240" s="17">
        <f>IF(A240&lt;&gt;"",ROUND(F239*AnnualRate/12,2),"")</f>
        <v/>
      </c>
      <c r="E240" s="17">
        <f>IF(A240&lt;&gt;"",MIN(F239,(C240-D240)+SUMPRODUCT(($B$10:$B$19&lt;&gt;"")*($B$10:$B$19&lt;=B240)*($D$10:$D$19="Monthly")*$C$10:$C$19)+SUMPRODUCT(($B$10:$B$19&lt;&gt;"")*($B$10:$B$19&lt;=B240)*($D$10:$D$19="Annual")*(MONTH($B$10:$B$19)=MONTH(B240))*$C$10:$C$19)+SUMPRODUCT(($B$22:$B$36&lt;&gt;"")*(YEAR($B$22:$B$36)=YEAR(B240))*(MONTH($B$22:$B$36)=MONTH(B240))*$C$22:$C$36)),"")</f>
        <v/>
      </c>
      <c r="F240" s="17">
        <f>IF(A240&lt;&gt;"",ROUND(F239-E240,2),"")</f>
        <v/>
      </c>
    </row>
    <row r="241">
      <c r="A241" s="7">
        <f>IF(AND(F240&gt;0.005,A240&lt;&gt;""),203,"")</f>
        <v/>
      </c>
      <c r="B241" s="4">
        <f>IF(A241&lt;&gt;"",EDATE(StartDate,202),"")</f>
        <v/>
      </c>
      <c r="C241" s="9">
        <f>IF(A241&lt;&gt;"",MIN(MonthlyPmt,F240+D241),"")</f>
        <v/>
      </c>
      <c r="D241" s="9">
        <f>IF(A241&lt;&gt;"",ROUND(F240*AnnualRate/12,2),"")</f>
        <v/>
      </c>
      <c r="E241" s="9">
        <f>IF(A241&lt;&gt;"",MIN(F240,(C241-D241)+SUMPRODUCT(($B$10:$B$19&lt;&gt;"")*($B$10:$B$19&lt;=B241)*($D$10:$D$19="Monthly")*$C$10:$C$19)+SUMPRODUCT(($B$10:$B$19&lt;&gt;"")*($B$10:$B$19&lt;=B241)*($D$10:$D$19="Annual")*(MONTH($B$10:$B$19)=MONTH(B241))*$C$10:$C$19)+SUMPRODUCT(($B$22:$B$36&lt;&gt;"")*(YEAR($B$22:$B$36)=YEAR(B241))*(MONTH($B$22:$B$36)=MONTH(B241))*$C$22:$C$36)),"")</f>
        <v/>
      </c>
      <c r="F241" s="9">
        <f>IF(A241&lt;&gt;"",ROUND(F240-E241,2),"")</f>
        <v/>
      </c>
    </row>
    <row r="242">
      <c r="A242" s="15">
        <f>IF(AND(F241&gt;0.005,A241&lt;&gt;""),204,"")</f>
        <v/>
      </c>
      <c r="B242" s="16">
        <f>IF(A242&lt;&gt;"",EDATE(StartDate,203),"")</f>
        <v/>
      </c>
      <c r="C242" s="17">
        <f>IF(A242&lt;&gt;"",MIN(MonthlyPmt,F241+D242),"")</f>
        <v/>
      </c>
      <c r="D242" s="17">
        <f>IF(A242&lt;&gt;"",ROUND(F241*AnnualRate/12,2),"")</f>
        <v/>
      </c>
      <c r="E242" s="17">
        <f>IF(A242&lt;&gt;"",MIN(F241,(C242-D242)+SUMPRODUCT(($B$10:$B$19&lt;&gt;"")*($B$10:$B$19&lt;=B242)*($D$10:$D$19="Monthly")*$C$10:$C$19)+SUMPRODUCT(($B$10:$B$19&lt;&gt;"")*($B$10:$B$19&lt;=B242)*($D$10:$D$19="Annual")*(MONTH($B$10:$B$19)=MONTH(B242))*$C$10:$C$19)+SUMPRODUCT(($B$22:$B$36&lt;&gt;"")*(YEAR($B$22:$B$36)=YEAR(B242))*(MONTH($B$22:$B$36)=MONTH(B242))*$C$22:$C$36)),"")</f>
        <v/>
      </c>
      <c r="F242" s="17">
        <f>IF(A242&lt;&gt;"",ROUND(F241-E242,2),"")</f>
        <v/>
      </c>
    </row>
    <row r="243">
      <c r="A243" s="7">
        <f>IF(AND(F242&gt;0.005,A242&lt;&gt;""),205,"")</f>
        <v/>
      </c>
      <c r="B243" s="4">
        <f>IF(A243&lt;&gt;"",EDATE(StartDate,204),"")</f>
        <v/>
      </c>
      <c r="C243" s="9">
        <f>IF(A243&lt;&gt;"",MIN(MonthlyPmt,F242+D243),"")</f>
        <v/>
      </c>
      <c r="D243" s="9">
        <f>IF(A243&lt;&gt;"",ROUND(F242*AnnualRate/12,2),"")</f>
        <v/>
      </c>
      <c r="E243" s="9">
        <f>IF(A243&lt;&gt;"",MIN(F242,(C243-D243)+SUMPRODUCT(($B$10:$B$19&lt;&gt;"")*($B$10:$B$19&lt;=B243)*($D$10:$D$19="Monthly")*$C$10:$C$19)+SUMPRODUCT(($B$10:$B$19&lt;&gt;"")*($B$10:$B$19&lt;=B243)*($D$10:$D$19="Annual")*(MONTH($B$10:$B$19)=MONTH(B243))*$C$10:$C$19)+SUMPRODUCT(($B$22:$B$36&lt;&gt;"")*(YEAR($B$22:$B$36)=YEAR(B243))*(MONTH($B$22:$B$36)=MONTH(B243))*$C$22:$C$36)),"")</f>
        <v/>
      </c>
      <c r="F243" s="9">
        <f>IF(A243&lt;&gt;"",ROUND(F242-E243,2),"")</f>
        <v/>
      </c>
    </row>
    <row r="244">
      <c r="A244" s="15">
        <f>IF(AND(F243&gt;0.005,A243&lt;&gt;""),206,"")</f>
        <v/>
      </c>
      <c r="B244" s="16">
        <f>IF(A244&lt;&gt;"",EDATE(StartDate,205),"")</f>
        <v/>
      </c>
      <c r="C244" s="17">
        <f>IF(A244&lt;&gt;"",MIN(MonthlyPmt,F243+D244),"")</f>
        <v/>
      </c>
      <c r="D244" s="17">
        <f>IF(A244&lt;&gt;"",ROUND(F243*AnnualRate/12,2),"")</f>
        <v/>
      </c>
      <c r="E244" s="17">
        <f>IF(A244&lt;&gt;"",MIN(F243,(C244-D244)+SUMPRODUCT(($B$10:$B$19&lt;&gt;"")*($B$10:$B$19&lt;=B244)*($D$10:$D$19="Monthly")*$C$10:$C$19)+SUMPRODUCT(($B$10:$B$19&lt;&gt;"")*($B$10:$B$19&lt;=B244)*($D$10:$D$19="Annual")*(MONTH($B$10:$B$19)=MONTH(B244))*$C$10:$C$19)+SUMPRODUCT(($B$22:$B$36&lt;&gt;"")*(YEAR($B$22:$B$36)=YEAR(B244))*(MONTH($B$22:$B$36)=MONTH(B244))*$C$22:$C$36)),"")</f>
        <v/>
      </c>
      <c r="F244" s="17">
        <f>IF(A244&lt;&gt;"",ROUND(F243-E244,2),"")</f>
        <v/>
      </c>
    </row>
    <row r="245">
      <c r="A245" s="7">
        <f>IF(AND(F244&gt;0.005,A244&lt;&gt;""),207,"")</f>
        <v/>
      </c>
      <c r="B245" s="4">
        <f>IF(A245&lt;&gt;"",EDATE(StartDate,206),"")</f>
        <v/>
      </c>
      <c r="C245" s="9">
        <f>IF(A245&lt;&gt;"",MIN(MonthlyPmt,F244+D245),"")</f>
        <v/>
      </c>
      <c r="D245" s="9">
        <f>IF(A245&lt;&gt;"",ROUND(F244*AnnualRate/12,2),"")</f>
        <v/>
      </c>
      <c r="E245" s="9">
        <f>IF(A245&lt;&gt;"",MIN(F244,(C245-D245)+SUMPRODUCT(($B$10:$B$19&lt;&gt;"")*($B$10:$B$19&lt;=B245)*($D$10:$D$19="Monthly")*$C$10:$C$19)+SUMPRODUCT(($B$10:$B$19&lt;&gt;"")*($B$10:$B$19&lt;=B245)*($D$10:$D$19="Annual")*(MONTH($B$10:$B$19)=MONTH(B245))*$C$10:$C$19)+SUMPRODUCT(($B$22:$B$36&lt;&gt;"")*(YEAR($B$22:$B$36)=YEAR(B245))*(MONTH($B$22:$B$36)=MONTH(B245))*$C$22:$C$36)),"")</f>
        <v/>
      </c>
      <c r="F245" s="9">
        <f>IF(A245&lt;&gt;"",ROUND(F244-E245,2),"")</f>
        <v/>
      </c>
    </row>
    <row r="246">
      <c r="A246" s="15">
        <f>IF(AND(F245&gt;0.005,A245&lt;&gt;""),208,"")</f>
        <v/>
      </c>
      <c r="B246" s="16">
        <f>IF(A246&lt;&gt;"",EDATE(StartDate,207),"")</f>
        <v/>
      </c>
      <c r="C246" s="17">
        <f>IF(A246&lt;&gt;"",MIN(MonthlyPmt,F245+D246),"")</f>
        <v/>
      </c>
      <c r="D246" s="17">
        <f>IF(A246&lt;&gt;"",ROUND(F245*AnnualRate/12,2),"")</f>
        <v/>
      </c>
      <c r="E246" s="17">
        <f>IF(A246&lt;&gt;"",MIN(F245,(C246-D246)+SUMPRODUCT(($B$10:$B$19&lt;&gt;"")*($B$10:$B$19&lt;=B246)*($D$10:$D$19="Monthly")*$C$10:$C$19)+SUMPRODUCT(($B$10:$B$19&lt;&gt;"")*($B$10:$B$19&lt;=B246)*($D$10:$D$19="Annual")*(MONTH($B$10:$B$19)=MONTH(B246))*$C$10:$C$19)+SUMPRODUCT(($B$22:$B$36&lt;&gt;"")*(YEAR($B$22:$B$36)=YEAR(B246))*(MONTH($B$22:$B$36)=MONTH(B246))*$C$22:$C$36)),"")</f>
        <v/>
      </c>
      <c r="F246" s="17">
        <f>IF(A246&lt;&gt;"",ROUND(F245-E246,2),"")</f>
        <v/>
      </c>
    </row>
    <row r="247">
      <c r="A247" s="7">
        <f>IF(AND(F246&gt;0.005,A246&lt;&gt;""),209,"")</f>
        <v/>
      </c>
      <c r="B247" s="4">
        <f>IF(A247&lt;&gt;"",EDATE(StartDate,208),"")</f>
        <v/>
      </c>
      <c r="C247" s="9">
        <f>IF(A247&lt;&gt;"",MIN(MonthlyPmt,F246+D247),"")</f>
        <v/>
      </c>
      <c r="D247" s="9">
        <f>IF(A247&lt;&gt;"",ROUND(F246*AnnualRate/12,2),"")</f>
        <v/>
      </c>
      <c r="E247" s="9">
        <f>IF(A247&lt;&gt;"",MIN(F246,(C247-D247)+SUMPRODUCT(($B$10:$B$19&lt;&gt;"")*($B$10:$B$19&lt;=B247)*($D$10:$D$19="Monthly")*$C$10:$C$19)+SUMPRODUCT(($B$10:$B$19&lt;&gt;"")*($B$10:$B$19&lt;=B247)*($D$10:$D$19="Annual")*(MONTH($B$10:$B$19)=MONTH(B247))*$C$10:$C$19)+SUMPRODUCT(($B$22:$B$36&lt;&gt;"")*(YEAR($B$22:$B$36)=YEAR(B247))*(MONTH($B$22:$B$36)=MONTH(B247))*$C$22:$C$36)),"")</f>
        <v/>
      </c>
      <c r="F247" s="9">
        <f>IF(A247&lt;&gt;"",ROUND(F246-E247,2),"")</f>
        <v/>
      </c>
    </row>
    <row r="248">
      <c r="A248" s="15">
        <f>IF(AND(F247&gt;0.005,A247&lt;&gt;""),210,"")</f>
        <v/>
      </c>
      <c r="B248" s="16">
        <f>IF(A248&lt;&gt;"",EDATE(StartDate,209),"")</f>
        <v/>
      </c>
      <c r="C248" s="17">
        <f>IF(A248&lt;&gt;"",MIN(MonthlyPmt,F247+D248),"")</f>
        <v/>
      </c>
      <c r="D248" s="17">
        <f>IF(A248&lt;&gt;"",ROUND(F247*AnnualRate/12,2),"")</f>
        <v/>
      </c>
      <c r="E248" s="17">
        <f>IF(A248&lt;&gt;"",MIN(F247,(C248-D248)+SUMPRODUCT(($B$10:$B$19&lt;&gt;"")*($B$10:$B$19&lt;=B248)*($D$10:$D$19="Monthly")*$C$10:$C$19)+SUMPRODUCT(($B$10:$B$19&lt;&gt;"")*($B$10:$B$19&lt;=B248)*($D$10:$D$19="Annual")*(MONTH($B$10:$B$19)=MONTH(B248))*$C$10:$C$19)+SUMPRODUCT(($B$22:$B$36&lt;&gt;"")*(YEAR($B$22:$B$36)=YEAR(B248))*(MONTH($B$22:$B$36)=MONTH(B248))*$C$22:$C$36)),"")</f>
        <v/>
      </c>
      <c r="F248" s="17">
        <f>IF(A248&lt;&gt;"",ROUND(F247-E248,2),"")</f>
        <v/>
      </c>
    </row>
    <row r="249">
      <c r="A249" s="7">
        <f>IF(AND(F248&gt;0.005,A248&lt;&gt;""),211,"")</f>
        <v/>
      </c>
      <c r="B249" s="4">
        <f>IF(A249&lt;&gt;"",EDATE(StartDate,210),"")</f>
        <v/>
      </c>
      <c r="C249" s="9">
        <f>IF(A249&lt;&gt;"",MIN(MonthlyPmt,F248+D249),"")</f>
        <v/>
      </c>
      <c r="D249" s="9">
        <f>IF(A249&lt;&gt;"",ROUND(F248*AnnualRate/12,2),"")</f>
        <v/>
      </c>
      <c r="E249" s="9">
        <f>IF(A249&lt;&gt;"",MIN(F248,(C249-D249)+SUMPRODUCT(($B$10:$B$19&lt;&gt;"")*($B$10:$B$19&lt;=B249)*($D$10:$D$19="Monthly")*$C$10:$C$19)+SUMPRODUCT(($B$10:$B$19&lt;&gt;"")*($B$10:$B$19&lt;=B249)*($D$10:$D$19="Annual")*(MONTH($B$10:$B$19)=MONTH(B249))*$C$10:$C$19)+SUMPRODUCT(($B$22:$B$36&lt;&gt;"")*(YEAR($B$22:$B$36)=YEAR(B249))*(MONTH($B$22:$B$36)=MONTH(B249))*$C$22:$C$36)),"")</f>
        <v/>
      </c>
      <c r="F249" s="9">
        <f>IF(A249&lt;&gt;"",ROUND(F248-E249,2),"")</f>
        <v/>
      </c>
    </row>
    <row r="250">
      <c r="A250" s="15">
        <f>IF(AND(F249&gt;0.005,A249&lt;&gt;""),212,"")</f>
        <v/>
      </c>
      <c r="B250" s="16">
        <f>IF(A250&lt;&gt;"",EDATE(StartDate,211),"")</f>
        <v/>
      </c>
      <c r="C250" s="17">
        <f>IF(A250&lt;&gt;"",MIN(MonthlyPmt,F249+D250),"")</f>
        <v/>
      </c>
      <c r="D250" s="17">
        <f>IF(A250&lt;&gt;"",ROUND(F249*AnnualRate/12,2),"")</f>
        <v/>
      </c>
      <c r="E250" s="17">
        <f>IF(A250&lt;&gt;"",MIN(F249,(C250-D250)+SUMPRODUCT(($B$10:$B$19&lt;&gt;"")*($B$10:$B$19&lt;=B250)*($D$10:$D$19="Monthly")*$C$10:$C$19)+SUMPRODUCT(($B$10:$B$19&lt;&gt;"")*($B$10:$B$19&lt;=B250)*($D$10:$D$19="Annual")*(MONTH($B$10:$B$19)=MONTH(B250))*$C$10:$C$19)+SUMPRODUCT(($B$22:$B$36&lt;&gt;"")*(YEAR($B$22:$B$36)=YEAR(B250))*(MONTH($B$22:$B$36)=MONTH(B250))*$C$22:$C$36)),"")</f>
        <v/>
      </c>
      <c r="F250" s="17">
        <f>IF(A250&lt;&gt;"",ROUND(F249-E250,2),"")</f>
        <v/>
      </c>
    </row>
    <row r="251">
      <c r="A251" s="7">
        <f>IF(AND(F250&gt;0.005,A250&lt;&gt;""),213,"")</f>
        <v/>
      </c>
      <c r="B251" s="4">
        <f>IF(A251&lt;&gt;"",EDATE(StartDate,212),"")</f>
        <v/>
      </c>
      <c r="C251" s="9">
        <f>IF(A251&lt;&gt;"",MIN(MonthlyPmt,F250+D251),"")</f>
        <v/>
      </c>
      <c r="D251" s="9">
        <f>IF(A251&lt;&gt;"",ROUND(F250*AnnualRate/12,2),"")</f>
        <v/>
      </c>
      <c r="E251" s="9">
        <f>IF(A251&lt;&gt;"",MIN(F250,(C251-D251)+SUMPRODUCT(($B$10:$B$19&lt;&gt;"")*($B$10:$B$19&lt;=B251)*($D$10:$D$19="Monthly")*$C$10:$C$19)+SUMPRODUCT(($B$10:$B$19&lt;&gt;"")*($B$10:$B$19&lt;=B251)*($D$10:$D$19="Annual")*(MONTH($B$10:$B$19)=MONTH(B251))*$C$10:$C$19)+SUMPRODUCT(($B$22:$B$36&lt;&gt;"")*(YEAR($B$22:$B$36)=YEAR(B251))*(MONTH($B$22:$B$36)=MONTH(B251))*$C$22:$C$36)),"")</f>
        <v/>
      </c>
      <c r="F251" s="9">
        <f>IF(A251&lt;&gt;"",ROUND(F250-E251,2),"")</f>
        <v/>
      </c>
    </row>
    <row r="252">
      <c r="A252" s="15">
        <f>IF(AND(F251&gt;0.005,A251&lt;&gt;""),214,"")</f>
        <v/>
      </c>
      <c r="B252" s="16">
        <f>IF(A252&lt;&gt;"",EDATE(StartDate,213),"")</f>
        <v/>
      </c>
      <c r="C252" s="17">
        <f>IF(A252&lt;&gt;"",MIN(MonthlyPmt,F251+D252),"")</f>
        <v/>
      </c>
      <c r="D252" s="17">
        <f>IF(A252&lt;&gt;"",ROUND(F251*AnnualRate/12,2),"")</f>
        <v/>
      </c>
      <c r="E252" s="17">
        <f>IF(A252&lt;&gt;"",MIN(F251,(C252-D252)+SUMPRODUCT(($B$10:$B$19&lt;&gt;"")*($B$10:$B$19&lt;=B252)*($D$10:$D$19="Monthly")*$C$10:$C$19)+SUMPRODUCT(($B$10:$B$19&lt;&gt;"")*($B$10:$B$19&lt;=B252)*($D$10:$D$19="Annual")*(MONTH($B$10:$B$19)=MONTH(B252))*$C$10:$C$19)+SUMPRODUCT(($B$22:$B$36&lt;&gt;"")*(YEAR($B$22:$B$36)=YEAR(B252))*(MONTH($B$22:$B$36)=MONTH(B252))*$C$22:$C$36)),"")</f>
        <v/>
      </c>
      <c r="F252" s="17">
        <f>IF(A252&lt;&gt;"",ROUND(F251-E252,2),"")</f>
        <v/>
      </c>
    </row>
    <row r="253">
      <c r="A253" s="7">
        <f>IF(AND(F252&gt;0.005,A252&lt;&gt;""),215,"")</f>
        <v/>
      </c>
      <c r="B253" s="4">
        <f>IF(A253&lt;&gt;"",EDATE(StartDate,214),"")</f>
        <v/>
      </c>
      <c r="C253" s="9">
        <f>IF(A253&lt;&gt;"",MIN(MonthlyPmt,F252+D253),"")</f>
        <v/>
      </c>
      <c r="D253" s="9">
        <f>IF(A253&lt;&gt;"",ROUND(F252*AnnualRate/12,2),"")</f>
        <v/>
      </c>
      <c r="E253" s="9">
        <f>IF(A253&lt;&gt;"",MIN(F252,(C253-D253)+SUMPRODUCT(($B$10:$B$19&lt;&gt;"")*($B$10:$B$19&lt;=B253)*($D$10:$D$19="Monthly")*$C$10:$C$19)+SUMPRODUCT(($B$10:$B$19&lt;&gt;"")*($B$10:$B$19&lt;=B253)*($D$10:$D$19="Annual")*(MONTH($B$10:$B$19)=MONTH(B253))*$C$10:$C$19)+SUMPRODUCT(($B$22:$B$36&lt;&gt;"")*(YEAR($B$22:$B$36)=YEAR(B253))*(MONTH($B$22:$B$36)=MONTH(B253))*$C$22:$C$36)),"")</f>
        <v/>
      </c>
      <c r="F253" s="9">
        <f>IF(A253&lt;&gt;"",ROUND(F252-E253,2),"")</f>
        <v/>
      </c>
    </row>
    <row r="254">
      <c r="A254" s="15">
        <f>IF(AND(F253&gt;0.005,A253&lt;&gt;""),216,"")</f>
        <v/>
      </c>
      <c r="B254" s="16">
        <f>IF(A254&lt;&gt;"",EDATE(StartDate,215),"")</f>
        <v/>
      </c>
      <c r="C254" s="17">
        <f>IF(A254&lt;&gt;"",MIN(MonthlyPmt,F253+D254),"")</f>
        <v/>
      </c>
      <c r="D254" s="17">
        <f>IF(A254&lt;&gt;"",ROUND(F253*AnnualRate/12,2),"")</f>
        <v/>
      </c>
      <c r="E254" s="17">
        <f>IF(A254&lt;&gt;"",MIN(F253,(C254-D254)+SUMPRODUCT(($B$10:$B$19&lt;&gt;"")*($B$10:$B$19&lt;=B254)*($D$10:$D$19="Monthly")*$C$10:$C$19)+SUMPRODUCT(($B$10:$B$19&lt;&gt;"")*($B$10:$B$19&lt;=B254)*($D$10:$D$19="Annual")*(MONTH($B$10:$B$19)=MONTH(B254))*$C$10:$C$19)+SUMPRODUCT(($B$22:$B$36&lt;&gt;"")*(YEAR($B$22:$B$36)=YEAR(B254))*(MONTH($B$22:$B$36)=MONTH(B254))*$C$22:$C$36)),"")</f>
        <v/>
      </c>
      <c r="F254" s="17">
        <f>IF(A254&lt;&gt;"",ROUND(F253-E254,2),"")</f>
        <v/>
      </c>
    </row>
    <row r="255">
      <c r="A255" s="7">
        <f>IF(AND(F254&gt;0.005,A254&lt;&gt;""),217,"")</f>
        <v/>
      </c>
      <c r="B255" s="4">
        <f>IF(A255&lt;&gt;"",EDATE(StartDate,216),"")</f>
        <v/>
      </c>
      <c r="C255" s="9">
        <f>IF(A255&lt;&gt;"",MIN(MonthlyPmt,F254+D255),"")</f>
        <v/>
      </c>
      <c r="D255" s="9">
        <f>IF(A255&lt;&gt;"",ROUND(F254*AnnualRate/12,2),"")</f>
        <v/>
      </c>
      <c r="E255" s="9">
        <f>IF(A255&lt;&gt;"",MIN(F254,(C255-D255)+SUMPRODUCT(($B$10:$B$19&lt;&gt;"")*($B$10:$B$19&lt;=B255)*($D$10:$D$19="Monthly")*$C$10:$C$19)+SUMPRODUCT(($B$10:$B$19&lt;&gt;"")*($B$10:$B$19&lt;=B255)*($D$10:$D$19="Annual")*(MONTH($B$10:$B$19)=MONTH(B255))*$C$10:$C$19)+SUMPRODUCT(($B$22:$B$36&lt;&gt;"")*(YEAR($B$22:$B$36)=YEAR(B255))*(MONTH($B$22:$B$36)=MONTH(B255))*$C$22:$C$36)),"")</f>
        <v/>
      </c>
      <c r="F255" s="9">
        <f>IF(A255&lt;&gt;"",ROUND(F254-E255,2),"")</f>
        <v/>
      </c>
    </row>
    <row r="256">
      <c r="A256" s="15">
        <f>IF(AND(F255&gt;0.005,A255&lt;&gt;""),218,"")</f>
        <v/>
      </c>
      <c r="B256" s="16">
        <f>IF(A256&lt;&gt;"",EDATE(StartDate,217),"")</f>
        <v/>
      </c>
      <c r="C256" s="17">
        <f>IF(A256&lt;&gt;"",MIN(MonthlyPmt,F255+D256),"")</f>
        <v/>
      </c>
      <c r="D256" s="17">
        <f>IF(A256&lt;&gt;"",ROUND(F255*AnnualRate/12,2),"")</f>
        <v/>
      </c>
      <c r="E256" s="17">
        <f>IF(A256&lt;&gt;"",MIN(F255,(C256-D256)+SUMPRODUCT(($B$10:$B$19&lt;&gt;"")*($B$10:$B$19&lt;=B256)*($D$10:$D$19="Monthly")*$C$10:$C$19)+SUMPRODUCT(($B$10:$B$19&lt;&gt;"")*($B$10:$B$19&lt;=B256)*($D$10:$D$19="Annual")*(MONTH($B$10:$B$19)=MONTH(B256))*$C$10:$C$19)+SUMPRODUCT(($B$22:$B$36&lt;&gt;"")*(YEAR($B$22:$B$36)=YEAR(B256))*(MONTH($B$22:$B$36)=MONTH(B256))*$C$22:$C$36)),"")</f>
        <v/>
      </c>
      <c r="F256" s="17">
        <f>IF(A256&lt;&gt;"",ROUND(F255-E256,2),"")</f>
        <v/>
      </c>
    </row>
    <row r="257">
      <c r="A257" s="7">
        <f>IF(AND(F256&gt;0.005,A256&lt;&gt;""),219,"")</f>
        <v/>
      </c>
      <c r="B257" s="4">
        <f>IF(A257&lt;&gt;"",EDATE(StartDate,218),"")</f>
        <v/>
      </c>
      <c r="C257" s="9">
        <f>IF(A257&lt;&gt;"",MIN(MonthlyPmt,F256+D257),"")</f>
        <v/>
      </c>
      <c r="D257" s="9">
        <f>IF(A257&lt;&gt;"",ROUND(F256*AnnualRate/12,2),"")</f>
        <v/>
      </c>
      <c r="E257" s="9">
        <f>IF(A257&lt;&gt;"",MIN(F256,(C257-D257)+SUMPRODUCT(($B$10:$B$19&lt;&gt;"")*($B$10:$B$19&lt;=B257)*($D$10:$D$19="Monthly")*$C$10:$C$19)+SUMPRODUCT(($B$10:$B$19&lt;&gt;"")*($B$10:$B$19&lt;=B257)*($D$10:$D$19="Annual")*(MONTH($B$10:$B$19)=MONTH(B257))*$C$10:$C$19)+SUMPRODUCT(($B$22:$B$36&lt;&gt;"")*(YEAR($B$22:$B$36)=YEAR(B257))*(MONTH($B$22:$B$36)=MONTH(B257))*$C$22:$C$36)),"")</f>
        <v/>
      </c>
      <c r="F257" s="9">
        <f>IF(A257&lt;&gt;"",ROUND(F256-E257,2),"")</f>
        <v/>
      </c>
    </row>
    <row r="258">
      <c r="A258" s="15">
        <f>IF(AND(F257&gt;0.005,A257&lt;&gt;""),220,"")</f>
        <v/>
      </c>
      <c r="B258" s="16">
        <f>IF(A258&lt;&gt;"",EDATE(StartDate,219),"")</f>
        <v/>
      </c>
      <c r="C258" s="17">
        <f>IF(A258&lt;&gt;"",MIN(MonthlyPmt,F257+D258),"")</f>
        <v/>
      </c>
      <c r="D258" s="17">
        <f>IF(A258&lt;&gt;"",ROUND(F257*AnnualRate/12,2),"")</f>
        <v/>
      </c>
      <c r="E258" s="17">
        <f>IF(A258&lt;&gt;"",MIN(F257,(C258-D258)+SUMPRODUCT(($B$10:$B$19&lt;&gt;"")*($B$10:$B$19&lt;=B258)*($D$10:$D$19="Monthly")*$C$10:$C$19)+SUMPRODUCT(($B$10:$B$19&lt;&gt;"")*($B$10:$B$19&lt;=B258)*($D$10:$D$19="Annual")*(MONTH($B$10:$B$19)=MONTH(B258))*$C$10:$C$19)+SUMPRODUCT(($B$22:$B$36&lt;&gt;"")*(YEAR($B$22:$B$36)=YEAR(B258))*(MONTH($B$22:$B$36)=MONTH(B258))*$C$22:$C$36)),"")</f>
        <v/>
      </c>
      <c r="F258" s="17">
        <f>IF(A258&lt;&gt;"",ROUND(F257-E258,2),"")</f>
        <v/>
      </c>
    </row>
    <row r="259">
      <c r="A259" s="7">
        <f>IF(AND(F258&gt;0.005,A258&lt;&gt;""),221,"")</f>
        <v/>
      </c>
      <c r="B259" s="4">
        <f>IF(A259&lt;&gt;"",EDATE(StartDate,220),"")</f>
        <v/>
      </c>
      <c r="C259" s="9">
        <f>IF(A259&lt;&gt;"",MIN(MonthlyPmt,F258+D259),"")</f>
        <v/>
      </c>
      <c r="D259" s="9">
        <f>IF(A259&lt;&gt;"",ROUND(F258*AnnualRate/12,2),"")</f>
        <v/>
      </c>
      <c r="E259" s="9">
        <f>IF(A259&lt;&gt;"",MIN(F258,(C259-D259)+SUMPRODUCT(($B$10:$B$19&lt;&gt;"")*($B$10:$B$19&lt;=B259)*($D$10:$D$19="Monthly")*$C$10:$C$19)+SUMPRODUCT(($B$10:$B$19&lt;&gt;"")*($B$10:$B$19&lt;=B259)*($D$10:$D$19="Annual")*(MONTH($B$10:$B$19)=MONTH(B259))*$C$10:$C$19)+SUMPRODUCT(($B$22:$B$36&lt;&gt;"")*(YEAR($B$22:$B$36)=YEAR(B259))*(MONTH($B$22:$B$36)=MONTH(B259))*$C$22:$C$36)),"")</f>
        <v/>
      </c>
      <c r="F259" s="9">
        <f>IF(A259&lt;&gt;"",ROUND(F258-E259,2),"")</f>
        <v/>
      </c>
    </row>
    <row r="260">
      <c r="A260" s="15">
        <f>IF(AND(F259&gt;0.005,A259&lt;&gt;""),222,"")</f>
        <v/>
      </c>
      <c r="B260" s="16">
        <f>IF(A260&lt;&gt;"",EDATE(StartDate,221),"")</f>
        <v/>
      </c>
      <c r="C260" s="17">
        <f>IF(A260&lt;&gt;"",MIN(MonthlyPmt,F259+D260),"")</f>
        <v/>
      </c>
      <c r="D260" s="17">
        <f>IF(A260&lt;&gt;"",ROUND(F259*AnnualRate/12,2),"")</f>
        <v/>
      </c>
      <c r="E260" s="17">
        <f>IF(A260&lt;&gt;"",MIN(F259,(C260-D260)+SUMPRODUCT(($B$10:$B$19&lt;&gt;"")*($B$10:$B$19&lt;=B260)*($D$10:$D$19="Monthly")*$C$10:$C$19)+SUMPRODUCT(($B$10:$B$19&lt;&gt;"")*($B$10:$B$19&lt;=B260)*($D$10:$D$19="Annual")*(MONTH($B$10:$B$19)=MONTH(B260))*$C$10:$C$19)+SUMPRODUCT(($B$22:$B$36&lt;&gt;"")*(YEAR($B$22:$B$36)=YEAR(B260))*(MONTH($B$22:$B$36)=MONTH(B260))*$C$22:$C$36)),"")</f>
        <v/>
      </c>
      <c r="F260" s="17">
        <f>IF(A260&lt;&gt;"",ROUND(F259-E260,2),"")</f>
        <v/>
      </c>
    </row>
    <row r="261">
      <c r="A261" s="7">
        <f>IF(AND(F260&gt;0.005,A260&lt;&gt;""),223,"")</f>
        <v/>
      </c>
      <c r="B261" s="4">
        <f>IF(A261&lt;&gt;"",EDATE(StartDate,222),"")</f>
        <v/>
      </c>
      <c r="C261" s="9">
        <f>IF(A261&lt;&gt;"",MIN(MonthlyPmt,F260+D261),"")</f>
        <v/>
      </c>
      <c r="D261" s="9">
        <f>IF(A261&lt;&gt;"",ROUND(F260*AnnualRate/12,2),"")</f>
        <v/>
      </c>
      <c r="E261" s="9">
        <f>IF(A261&lt;&gt;"",MIN(F260,(C261-D261)+SUMPRODUCT(($B$10:$B$19&lt;&gt;"")*($B$10:$B$19&lt;=B261)*($D$10:$D$19="Monthly")*$C$10:$C$19)+SUMPRODUCT(($B$10:$B$19&lt;&gt;"")*($B$10:$B$19&lt;=B261)*($D$10:$D$19="Annual")*(MONTH($B$10:$B$19)=MONTH(B261))*$C$10:$C$19)+SUMPRODUCT(($B$22:$B$36&lt;&gt;"")*(YEAR($B$22:$B$36)=YEAR(B261))*(MONTH($B$22:$B$36)=MONTH(B261))*$C$22:$C$36)),"")</f>
        <v/>
      </c>
      <c r="F261" s="9">
        <f>IF(A261&lt;&gt;"",ROUND(F260-E261,2),"")</f>
        <v/>
      </c>
    </row>
    <row r="262">
      <c r="A262" s="15">
        <f>IF(AND(F261&gt;0.005,A261&lt;&gt;""),224,"")</f>
        <v/>
      </c>
      <c r="B262" s="16">
        <f>IF(A262&lt;&gt;"",EDATE(StartDate,223),"")</f>
        <v/>
      </c>
      <c r="C262" s="17">
        <f>IF(A262&lt;&gt;"",MIN(MonthlyPmt,F261+D262),"")</f>
        <v/>
      </c>
      <c r="D262" s="17">
        <f>IF(A262&lt;&gt;"",ROUND(F261*AnnualRate/12,2),"")</f>
        <v/>
      </c>
      <c r="E262" s="17">
        <f>IF(A262&lt;&gt;"",MIN(F261,(C262-D262)+SUMPRODUCT(($B$10:$B$19&lt;&gt;"")*($B$10:$B$19&lt;=B262)*($D$10:$D$19="Monthly")*$C$10:$C$19)+SUMPRODUCT(($B$10:$B$19&lt;&gt;"")*($B$10:$B$19&lt;=B262)*($D$10:$D$19="Annual")*(MONTH($B$10:$B$19)=MONTH(B262))*$C$10:$C$19)+SUMPRODUCT(($B$22:$B$36&lt;&gt;"")*(YEAR($B$22:$B$36)=YEAR(B262))*(MONTH($B$22:$B$36)=MONTH(B262))*$C$22:$C$36)),"")</f>
        <v/>
      </c>
      <c r="F262" s="17">
        <f>IF(A262&lt;&gt;"",ROUND(F261-E262,2),"")</f>
        <v/>
      </c>
    </row>
    <row r="263">
      <c r="A263" s="7">
        <f>IF(AND(F262&gt;0.005,A262&lt;&gt;""),225,"")</f>
        <v/>
      </c>
      <c r="B263" s="4">
        <f>IF(A263&lt;&gt;"",EDATE(StartDate,224),"")</f>
        <v/>
      </c>
      <c r="C263" s="9">
        <f>IF(A263&lt;&gt;"",MIN(MonthlyPmt,F262+D263),"")</f>
        <v/>
      </c>
      <c r="D263" s="9">
        <f>IF(A263&lt;&gt;"",ROUND(F262*AnnualRate/12,2),"")</f>
        <v/>
      </c>
      <c r="E263" s="9">
        <f>IF(A263&lt;&gt;"",MIN(F262,(C263-D263)+SUMPRODUCT(($B$10:$B$19&lt;&gt;"")*($B$10:$B$19&lt;=B263)*($D$10:$D$19="Monthly")*$C$10:$C$19)+SUMPRODUCT(($B$10:$B$19&lt;&gt;"")*($B$10:$B$19&lt;=B263)*($D$10:$D$19="Annual")*(MONTH($B$10:$B$19)=MONTH(B263))*$C$10:$C$19)+SUMPRODUCT(($B$22:$B$36&lt;&gt;"")*(YEAR($B$22:$B$36)=YEAR(B263))*(MONTH($B$22:$B$36)=MONTH(B263))*$C$22:$C$36)),"")</f>
        <v/>
      </c>
      <c r="F263" s="9">
        <f>IF(A263&lt;&gt;"",ROUND(F262-E263,2),"")</f>
        <v/>
      </c>
    </row>
    <row r="264">
      <c r="A264" s="15">
        <f>IF(AND(F263&gt;0.005,A263&lt;&gt;""),226,"")</f>
        <v/>
      </c>
      <c r="B264" s="16">
        <f>IF(A264&lt;&gt;"",EDATE(StartDate,225),"")</f>
        <v/>
      </c>
      <c r="C264" s="17">
        <f>IF(A264&lt;&gt;"",MIN(MonthlyPmt,F263+D264),"")</f>
        <v/>
      </c>
      <c r="D264" s="17">
        <f>IF(A264&lt;&gt;"",ROUND(F263*AnnualRate/12,2),"")</f>
        <v/>
      </c>
      <c r="E264" s="17">
        <f>IF(A264&lt;&gt;"",MIN(F263,(C264-D264)+SUMPRODUCT(($B$10:$B$19&lt;&gt;"")*($B$10:$B$19&lt;=B264)*($D$10:$D$19="Monthly")*$C$10:$C$19)+SUMPRODUCT(($B$10:$B$19&lt;&gt;"")*($B$10:$B$19&lt;=B264)*($D$10:$D$19="Annual")*(MONTH($B$10:$B$19)=MONTH(B264))*$C$10:$C$19)+SUMPRODUCT(($B$22:$B$36&lt;&gt;"")*(YEAR($B$22:$B$36)=YEAR(B264))*(MONTH($B$22:$B$36)=MONTH(B264))*$C$22:$C$36)),"")</f>
        <v/>
      </c>
      <c r="F264" s="17">
        <f>IF(A264&lt;&gt;"",ROUND(F263-E264,2),"")</f>
        <v/>
      </c>
    </row>
    <row r="265">
      <c r="A265" s="7">
        <f>IF(AND(F264&gt;0.005,A264&lt;&gt;""),227,"")</f>
        <v/>
      </c>
      <c r="B265" s="4">
        <f>IF(A265&lt;&gt;"",EDATE(StartDate,226),"")</f>
        <v/>
      </c>
      <c r="C265" s="9">
        <f>IF(A265&lt;&gt;"",MIN(MonthlyPmt,F264+D265),"")</f>
        <v/>
      </c>
      <c r="D265" s="9">
        <f>IF(A265&lt;&gt;"",ROUND(F264*AnnualRate/12,2),"")</f>
        <v/>
      </c>
      <c r="E265" s="9">
        <f>IF(A265&lt;&gt;"",MIN(F264,(C265-D265)+SUMPRODUCT(($B$10:$B$19&lt;&gt;"")*($B$10:$B$19&lt;=B265)*($D$10:$D$19="Monthly")*$C$10:$C$19)+SUMPRODUCT(($B$10:$B$19&lt;&gt;"")*($B$10:$B$19&lt;=B265)*($D$10:$D$19="Annual")*(MONTH($B$10:$B$19)=MONTH(B265))*$C$10:$C$19)+SUMPRODUCT(($B$22:$B$36&lt;&gt;"")*(YEAR($B$22:$B$36)=YEAR(B265))*(MONTH($B$22:$B$36)=MONTH(B265))*$C$22:$C$36)),"")</f>
        <v/>
      </c>
      <c r="F265" s="9">
        <f>IF(A265&lt;&gt;"",ROUND(F264-E265,2),"")</f>
        <v/>
      </c>
    </row>
    <row r="266">
      <c r="A266" s="15">
        <f>IF(AND(F265&gt;0.005,A265&lt;&gt;""),228,"")</f>
        <v/>
      </c>
      <c r="B266" s="16">
        <f>IF(A266&lt;&gt;"",EDATE(StartDate,227),"")</f>
        <v/>
      </c>
      <c r="C266" s="17">
        <f>IF(A266&lt;&gt;"",MIN(MonthlyPmt,F265+D266),"")</f>
        <v/>
      </c>
      <c r="D266" s="17">
        <f>IF(A266&lt;&gt;"",ROUND(F265*AnnualRate/12,2),"")</f>
        <v/>
      </c>
      <c r="E266" s="17">
        <f>IF(A266&lt;&gt;"",MIN(F265,(C266-D266)+SUMPRODUCT(($B$10:$B$19&lt;&gt;"")*($B$10:$B$19&lt;=B266)*($D$10:$D$19="Monthly")*$C$10:$C$19)+SUMPRODUCT(($B$10:$B$19&lt;&gt;"")*($B$10:$B$19&lt;=B266)*($D$10:$D$19="Annual")*(MONTH($B$10:$B$19)=MONTH(B266))*$C$10:$C$19)+SUMPRODUCT(($B$22:$B$36&lt;&gt;"")*(YEAR($B$22:$B$36)=YEAR(B266))*(MONTH($B$22:$B$36)=MONTH(B266))*$C$22:$C$36)),"")</f>
        <v/>
      </c>
      <c r="F266" s="17">
        <f>IF(A266&lt;&gt;"",ROUND(F265-E266,2),"")</f>
        <v/>
      </c>
    </row>
    <row r="267">
      <c r="A267" s="7">
        <f>IF(AND(F266&gt;0.005,A266&lt;&gt;""),229,"")</f>
        <v/>
      </c>
      <c r="B267" s="4">
        <f>IF(A267&lt;&gt;"",EDATE(StartDate,228),"")</f>
        <v/>
      </c>
      <c r="C267" s="9">
        <f>IF(A267&lt;&gt;"",MIN(MonthlyPmt,F266+D267),"")</f>
        <v/>
      </c>
      <c r="D267" s="9">
        <f>IF(A267&lt;&gt;"",ROUND(F266*AnnualRate/12,2),"")</f>
        <v/>
      </c>
      <c r="E267" s="9">
        <f>IF(A267&lt;&gt;"",MIN(F266,(C267-D267)+SUMPRODUCT(($B$10:$B$19&lt;&gt;"")*($B$10:$B$19&lt;=B267)*($D$10:$D$19="Monthly")*$C$10:$C$19)+SUMPRODUCT(($B$10:$B$19&lt;&gt;"")*($B$10:$B$19&lt;=B267)*($D$10:$D$19="Annual")*(MONTH($B$10:$B$19)=MONTH(B267))*$C$10:$C$19)+SUMPRODUCT(($B$22:$B$36&lt;&gt;"")*(YEAR($B$22:$B$36)=YEAR(B267))*(MONTH($B$22:$B$36)=MONTH(B267))*$C$22:$C$36)),"")</f>
        <v/>
      </c>
      <c r="F267" s="9">
        <f>IF(A267&lt;&gt;"",ROUND(F266-E267,2),"")</f>
        <v/>
      </c>
    </row>
    <row r="268">
      <c r="A268" s="15">
        <f>IF(AND(F267&gt;0.005,A267&lt;&gt;""),230,"")</f>
        <v/>
      </c>
      <c r="B268" s="16">
        <f>IF(A268&lt;&gt;"",EDATE(StartDate,229),"")</f>
        <v/>
      </c>
      <c r="C268" s="17">
        <f>IF(A268&lt;&gt;"",MIN(MonthlyPmt,F267+D268),"")</f>
        <v/>
      </c>
      <c r="D268" s="17">
        <f>IF(A268&lt;&gt;"",ROUND(F267*AnnualRate/12,2),"")</f>
        <v/>
      </c>
      <c r="E268" s="17">
        <f>IF(A268&lt;&gt;"",MIN(F267,(C268-D268)+SUMPRODUCT(($B$10:$B$19&lt;&gt;"")*($B$10:$B$19&lt;=B268)*($D$10:$D$19="Monthly")*$C$10:$C$19)+SUMPRODUCT(($B$10:$B$19&lt;&gt;"")*($B$10:$B$19&lt;=B268)*($D$10:$D$19="Annual")*(MONTH($B$10:$B$19)=MONTH(B268))*$C$10:$C$19)+SUMPRODUCT(($B$22:$B$36&lt;&gt;"")*(YEAR($B$22:$B$36)=YEAR(B268))*(MONTH($B$22:$B$36)=MONTH(B268))*$C$22:$C$36)),"")</f>
        <v/>
      </c>
      <c r="F268" s="17">
        <f>IF(A268&lt;&gt;"",ROUND(F267-E268,2),"")</f>
        <v/>
      </c>
    </row>
    <row r="269">
      <c r="A269" s="7">
        <f>IF(AND(F268&gt;0.005,A268&lt;&gt;""),231,"")</f>
        <v/>
      </c>
      <c r="B269" s="4">
        <f>IF(A269&lt;&gt;"",EDATE(StartDate,230),"")</f>
        <v/>
      </c>
      <c r="C269" s="9">
        <f>IF(A269&lt;&gt;"",MIN(MonthlyPmt,F268+D269),"")</f>
        <v/>
      </c>
      <c r="D269" s="9">
        <f>IF(A269&lt;&gt;"",ROUND(F268*AnnualRate/12,2),"")</f>
        <v/>
      </c>
      <c r="E269" s="9">
        <f>IF(A269&lt;&gt;"",MIN(F268,(C269-D269)+SUMPRODUCT(($B$10:$B$19&lt;&gt;"")*($B$10:$B$19&lt;=B269)*($D$10:$D$19="Monthly")*$C$10:$C$19)+SUMPRODUCT(($B$10:$B$19&lt;&gt;"")*($B$10:$B$19&lt;=B269)*($D$10:$D$19="Annual")*(MONTH($B$10:$B$19)=MONTH(B269))*$C$10:$C$19)+SUMPRODUCT(($B$22:$B$36&lt;&gt;"")*(YEAR($B$22:$B$36)=YEAR(B269))*(MONTH($B$22:$B$36)=MONTH(B269))*$C$22:$C$36)),"")</f>
        <v/>
      </c>
      <c r="F269" s="9">
        <f>IF(A269&lt;&gt;"",ROUND(F268-E269,2),"")</f>
        <v/>
      </c>
    </row>
    <row r="270">
      <c r="A270" s="15">
        <f>IF(AND(F269&gt;0.005,A269&lt;&gt;""),232,"")</f>
        <v/>
      </c>
      <c r="B270" s="16">
        <f>IF(A270&lt;&gt;"",EDATE(StartDate,231),"")</f>
        <v/>
      </c>
      <c r="C270" s="17">
        <f>IF(A270&lt;&gt;"",MIN(MonthlyPmt,F269+D270),"")</f>
        <v/>
      </c>
      <c r="D270" s="17">
        <f>IF(A270&lt;&gt;"",ROUND(F269*AnnualRate/12,2),"")</f>
        <v/>
      </c>
      <c r="E270" s="17">
        <f>IF(A270&lt;&gt;"",MIN(F269,(C270-D270)+SUMPRODUCT(($B$10:$B$19&lt;&gt;"")*($B$10:$B$19&lt;=B270)*($D$10:$D$19="Monthly")*$C$10:$C$19)+SUMPRODUCT(($B$10:$B$19&lt;&gt;"")*($B$10:$B$19&lt;=B270)*($D$10:$D$19="Annual")*(MONTH($B$10:$B$19)=MONTH(B270))*$C$10:$C$19)+SUMPRODUCT(($B$22:$B$36&lt;&gt;"")*(YEAR($B$22:$B$36)=YEAR(B270))*(MONTH($B$22:$B$36)=MONTH(B270))*$C$22:$C$36)),"")</f>
        <v/>
      </c>
      <c r="F270" s="17">
        <f>IF(A270&lt;&gt;"",ROUND(F269-E270,2),"")</f>
        <v/>
      </c>
    </row>
    <row r="271">
      <c r="A271" s="7">
        <f>IF(AND(F270&gt;0.005,A270&lt;&gt;""),233,"")</f>
        <v/>
      </c>
      <c r="B271" s="4">
        <f>IF(A271&lt;&gt;"",EDATE(StartDate,232),"")</f>
        <v/>
      </c>
      <c r="C271" s="9">
        <f>IF(A271&lt;&gt;"",MIN(MonthlyPmt,F270+D271),"")</f>
        <v/>
      </c>
      <c r="D271" s="9">
        <f>IF(A271&lt;&gt;"",ROUND(F270*AnnualRate/12,2),"")</f>
        <v/>
      </c>
      <c r="E271" s="9">
        <f>IF(A271&lt;&gt;"",MIN(F270,(C271-D271)+SUMPRODUCT(($B$10:$B$19&lt;&gt;"")*($B$10:$B$19&lt;=B271)*($D$10:$D$19="Monthly")*$C$10:$C$19)+SUMPRODUCT(($B$10:$B$19&lt;&gt;"")*($B$10:$B$19&lt;=B271)*($D$10:$D$19="Annual")*(MONTH($B$10:$B$19)=MONTH(B271))*$C$10:$C$19)+SUMPRODUCT(($B$22:$B$36&lt;&gt;"")*(YEAR($B$22:$B$36)=YEAR(B271))*(MONTH($B$22:$B$36)=MONTH(B271))*$C$22:$C$36)),"")</f>
        <v/>
      </c>
      <c r="F271" s="9">
        <f>IF(A271&lt;&gt;"",ROUND(F270-E271,2),"")</f>
        <v/>
      </c>
    </row>
    <row r="272">
      <c r="A272" s="15">
        <f>IF(AND(F271&gt;0.005,A271&lt;&gt;""),234,"")</f>
        <v/>
      </c>
      <c r="B272" s="16">
        <f>IF(A272&lt;&gt;"",EDATE(StartDate,233),"")</f>
        <v/>
      </c>
      <c r="C272" s="17">
        <f>IF(A272&lt;&gt;"",MIN(MonthlyPmt,F271+D272),"")</f>
        <v/>
      </c>
      <c r="D272" s="17">
        <f>IF(A272&lt;&gt;"",ROUND(F271*AnnualRate/12,2),"")</f>
        <v/>
      </c>
      <c r="E272" s="17">
        <f>IF(A272&lt;&gt;"",MIN(F271,(C272-D272)+SUMPRODUCT(($B$10:$B$19&lt;&gt;"")*($B$10:$B$19&lt;=B272)*($D$10:$D$19="Monthly")*$C$10:$C$19)+SUMPRODUCT(($B$10:$B$19&lt;&gt;"")*($B$10:$B$19&lt;=B272)*($D$10:$D$19="Annual")*(MONTH($B$10:$B$19)=MONTH(B272))*$C$10:$C$19)+SUMPRODUCT(($B$22:$B$36&lt;&gt;"")*(YEAR($B$22:$B$36)=YEAR(B272))*(MONTH($B$22:$B$36)=MONTH(B272))*$C$22:$C$36)),"")</f>
        <v/>
      </c>
      <c r="F272" s="17">
        <f>IF(A272&lt;&gt;"",ROUND(F271-E272,2),"")</f>
        <v/>
      </c>
    </row>
    <row r="273">
      <c r="A273" s="7">
        <f>IF(AND(F272&gt;0.005,A272&lt;&gt;""),235,"")</f>
        <v/>
      </c>
      <c r="B273" s="4">
        <f>IF(A273&lt;&gt;"",EDATE(StartDate,234),"")</f>
        <v/>
      </c>
      <c r="C273" s="9">
        <f>IF(A273&lt;&gt;"",MIN(MonthlyPmt,F272+D273),"")</f>
        <v/>
      </c>
      <c r="D273" s="9">
        <f>IF(A273&lt;&gt;"",ROUND(F272*AnnualRate/12,2),"")</f>
        <v/>
      </c>
      <c r="E273" s="9">
        <f>IF(A273&lt;&gt;"",MIN(F272,(C273-D273)+SUMPRODUCT(($B$10:$B$19&lt;&gt;"")*($B$10:$B$19&lt;=B273)*($D$10:$D$19="Monthly")*$C$10:$C$19)+SUMPRODUCT(($B$10:$B$19&lt;&gt;"")*($B$10:$B$19&lt;=B273)*($D$10:$D$19="Annual")*(MONTH($B$10:$B$19)=MONTH(B273))*$C$10:$C$19)+SUMPRODUCT(($B$22:$B$36&lt;&gt;"")*(YEAR($B$22:$B$36)=YEAR(B273))*(MONTH($B$22:$B$36)=MONTH(B273))*$C$22:$C$36)),"")</f>
        <v/>
      </c>
      <c r="F273" s="9">
        <f>IF(A273&lt;&gt;"",ROUND(F272-E273,2),"")</f>
        <v/>
      </c>
    </row>
    <row r="274">
      <c r="A274" s="15">
        <f>IF(AND(F273&gt;0.005,A273&lt;&gt;""),236,"")</f>
        <v/>
      </c>
      <c r="B274" s="16">
        <f>IF(A274&lt;&gt;"",EDATE(StartDate,235),"")</f>
        <v/>
      </c>
      <c r="C274" s="17">
        <f>IF(A274&lt;&gt;"",MIN(MonthlyPmt,F273+D274),"")</f>
        <v/>
      </c>
      <c r="D274" s="17">
        <f>IF(A274&lt;&gt;"",ROUND(F273*AnnualRate/12,2),"")</f>
        <v/>
      </c>
      <c r="E274" s="17">
        <f>IF(A274&lt;&gt;"",MIN(F273,(C274-D274)+SUMPRODUCT(($B$10:$B$19&lt;&gt;"")*($B$10:$B$19&lt;=B274)*($D$10:$D$19="Monthly")*$C$10:$C$19)+SUMPRODUCT(($B$10:$B$19&lt;&gt;"")*($B$10:$B$19&lt;=B274)*($D$10:$D$19="Annual")*(MONTH($B$10:$B$19)=MONTH(B274))*$C$10:$C$19)+SUMPRODUCT(($B$22:$B$36&lt;&gt;"")*(YEAR($B$22:$B$36)=YEAR(B274))*(MONTH($B$22:$B$36)=MONTH(B274))*$C$22:$C$36)),"")</f>
        <v/>
      </c>
      <c r="F274" s="17">
        <f>IF(A274&lt;&gt;"",ROUND(F273-E274,2),"")</f>
        <v/>
      </c>
    </row>
    <row r="275">
      <c r="A275" s="7">
        <f>IF(AND(F274&gt;0.005,A274&lt;&gt;""),237,"")</f>
        <v/>
      </c>
      <c r="B275" s="4">
        <f>IF(A275&lt;&gt;"",EDATE(StartDate,236),"")</f>
        <v/>
      </c>
      <c r="C275" s="9">
        <f>IF(A275&lt;&gt;"",MIN(MonthlyPmt,F274+D275),"")</f>
        <v/>
      </c>
      <c r="D275" s="9">
        <f>IF(A275&lt;&gt;"",ROUND(F274*AnnualRate/12,2),"")</f>
        <v/>
      </c>
      <c r="E275" s="9">
        <f>IF(A275&lt;&gt;"",MIN(F274,(C275-D275)+SUMPRODUCT(($B$10:$B$19&lt;&gt;"")*($B$10:$B$19&lt;=B275)*($D$10:$D$19="Monthly")*$C$10:$C$19)+SUMPRODUCT(($B$10:$B$19&lt;&gt;"")*($B$10:$B$19&lt;=B275)*($D$10:$D$19="Annual")*(MONTH($B$10:$B$19)=MONTH(B275))*$C$10:$C$19)+SUMPRODUCT(($B$22:$B$36&lt;&gt;"")*(YEAR($B$22:$B$36)=YEAR(B275))*(MONTH($B$22:$B$36)=MONTH(B275))*$C$22:$C$36)),"")</f>
        <v/>
      </c>
      <c r="F275" s="9">
        <f>IF(A275&lt;&gt;"",ROUND(F274-E275,2),"")</f>
        <v/>
      </c>
    </row>
    <row r="276">
      <c r="A276" s="15">
        <f>IF(AND(F275&gt;0.005,A275&lt;&gt;""),238,"")</f>
        <v/>
      </c>
      <c r="B276" s="16">
        <f>IF(A276&lt;&gt;"",EDATE(StartDate,237),"")</f>
        <v/>
      </c>
      <c r="C276" s="17">
        <f>IF(A276&lt;&gt;"",MIN(MonthlyPmt,F275+D276),"")</f>
        <v/>
      </c>
      <c r="D276" s="17">
        <f>IF(A276&lt;&gt;"",ROUND(F275*AnnualRate/12,2),"")</f>
        <v/>
      </c>
      <c r="E276" s="17">
        <f>IF(A276&lt;&gt;"",MIN(F275,(C276-D276)+SUMPRODUCT(($B$10:$B$19&lt;&gt;"")*($B$10:$B$19&lt;=B276)*($D$10:$D$19="Monthly")*$C$10:$C$19)+SUMPRODUCT(($B$10:$B$19&lt;&gt;"")*($B$10:$B$19&lt;=B276)*($D$10:$D$19="Annual")*(MONTH($B$10:$B$19)=MONTH(B276))*$C$10:$C$19)+SUMPRODUCT(($B$22:$B$36&lt;&gt;"")*(YEAR($B$22:$B$36)=YEAR(B276))*(MONTH($B$22:$B$36)=MONTH(B276))*$C$22:$C$36)),"")</f>
        <v/>
      </c>
      <c r="F276" s="17">
        <f>IF(A276&lt;&gt;"",ROUND(F275-E276,2),"")</f>
        <v/>
      </c>
    </row>
    <row r="277">
      <c r="A277" s="7">
        <f>IF(AND(F276&gt;0.005,A276&lt;&gt;""),239,"")</f>
        <v/>
      </c>
      <c r="B277" s="4">
        <f>IF(A277&lt;&gt;"",EDATE(StartDate,238),"")</f>
        <v/>
      </c>
      <c r="C277" s="9">
        <f>IF(A277&lt;&gt;"",MIN(MonthlyPmt,F276+D277),"")</f>
        <v/>
      </c>
      <c r="D277" s="9">
        <f>IF(A277&lt;&gt;"",ROUND(F276*AnnualRate/12,2),"")</f>
        <v/>
      </c>
      <c r="E277" s="9">
        <f>IF(A277&lt;&gt;"",MIN(F276,(C277-D277)+SUMPRODUCT(($B$10:$B$19&lt;&gt;"")*($B$10:$B$19&lt;=B277)*($D$10:$D$19="Monthly")*$C$10:$C$19)+SUMPRODUCT(($B$10:$B$19&lt;&gt;"")*($B$10:$B$19&lt;=B277)*($D$10:$D$19="Annual")*(MONTH($B$10:$B$19)=MONTH(B277))*$C$10:$C$19)+SUMPRODUCT(($B$22:$B$36&lt;&gt;"")*(YEAR($B$22:$B$36)=YEAR(B277))*(MONTH($B$22:$B$36)=MONTH(B277))*$C$22:$C$36)),"")</f>
        <v/>
      </c>
      <c r="F277" s="9">
        <f>IF(A277&lt;&gt;"",ROUND(F276-E277,2),"")</f>
        <v/>
      </c>
    </row>
    <row r="278">
      <c r="A278" s="15">
        <f>IF(AND(F277&gt;0.005,A277&lt;&gt;""),240,"")</f>
        <v/>
      </c>
      <c r="B278" s="16">
        <f>IF(A278&lt;&gt;"",EDATE(StartDate,239),"")</f>
        <v/>
      </c>
      <c r="C278" s="17">
        <f>IF(A278&lt;&gt;"",MIN(MonthlyPmt,F277+D278),"")</f>
        <v/>
      </c>
      <c r="D278" s="17">
        <f>IF(A278&lt;&gt;"",ROUND(F277*AnnualRate/12,2),"")</f>
        <v/>
      </c>
      <c r="E278" s="17">
        <f>IF(A278&lt;&gt;"",MIN(F277,(C278-D278)+SUMPRODUCT(($B$10:$B$19&lt;&gt;"")*($B$10:$B$19&lt;=B278)*($D$10:$D$19="Monthly")*$C$10:$C$19)+SUMPRODUCT(($B$10:$B$19&lt;&gt;"")*($B$10:$B$19&lt;=B278)*($D$10:$D$19="Annual")*(MONTH($B$10:$B$19)=MONTH(B278))*$C$10:$C$19)+SUMPRODUCT(($B$22:$B$36&lt;&gt;"")*(YEAR($B$22:$B$36)=YEAR(B278))*(MONTH($B$22:$B$36)=MONTH(B278))*$C$22:$C$36)),"")</f>
        <v/>
      </c>
      <c r="F278" s="17">
        <f>IF(A278&lt;&gt;"",ROUND(F277-E278,2),"")</f>
        <v/>
      </c>
    </row>
    <row r="279">
      <c r="A279" s="7">
        <f>IF(AND(F278&gt;0.005,A278&lt;&gt;""),241,"")</f>
        <v/>
      </c>
      <c r="B279" s="4">
        <f>IF(A279&lt;&gt;"",EDATE(StartDate,240),"")</f>
        <v/>
      </c>
      <c r="C279" s="9">
        <f>IF(A279&lt;&gt;"",MIN(MonthlyPmt,F278+D279),"")</f>
        <v/>
      </c>
      <c r="D279" s="9">
        <f>IF(A279&lt;&gt;"",ROUND(F278*AnnualRate/12,2),"")</f>
        <v/>
      </c>
      <c r="E279" s="9">
        <f>IF(A279&lt;&gt;"",MIN(F278,(C279-D279)+SUMPRODUCT(($B$10:$B$19&lt;&gt;"")*($B$10:$B$19&lt;=B279)*($D$10:$D$19="Monthly")*$C$10:$C$19)+SUMPRODUCT(($B$10:$B$19&lt;&gt;"")*($B$10:$B$19&lt;=B279)*($D$10:$D$19="Annual")*(MONTH($B$10:$B$19)=MONTH(B279))*$C$10:$C$19)+SUMPRODUCT(($B$22:$B$36&lt;&gt;"")*(YEAR($B$22:$B$36)=YEAR(B279))*(MONTH($B$22:$B$36)=MONTH(B279))*$C$22:$C$36)),"")</f>
        <v/>
      </c>
      <c r="F279" s="9">
        <f>IF(A279&lt;&gt;"",ROUND(F278-E279,2),"")</f>
        <v/>
      </c>
    </row>
    <row r="280">
      <c r="A280" s="15">
        <f>IF(AND(F279&gt;0.005,A279&lt;&gt;""),242,"")</f>
        <v/>
      </c>
      <c r="B280" s="16">
        <f>IF(A280&lt;&gt;"",EDATE(StartDate,241),"")</f>
        <v/>
      </c>
      <c r="C280" s="17">
        <f>IF(A280&lt;&gt;"",MIN(MonthlyPmt,F279+D280),"")</f>
        <v/>
      </c>
      <c r="D280" s="17">
        <f>IF(A280&lt;&gt;"",ROUND(F279*AnnualRate/12,2),"")</f>
        <v/>
      </c>
      <c r="E280" s="17">
        <f>IF(A280&lt;&gt;"",MIN(F279,(C280-D280)+SUMPRODUCT(($B$10:$B$19&lt;&gt;"")*($B$10:$B$19&lt;=B280)*($D$10:$D$19="Monthly")*$C$10:$C$19)+SUMPRODUCT(($B$10:$B$19&lt;&gt;"")*($B$10:$B$19&lt;=B280)*($D$10:$D$19="Annual")*(MONTH($B$10:$B$19)=MONTH(B280))*$C$10:$C$19)+SUMPRODUCT(($B$22:$B$36&lt;&gt;"")*(YEAR($B$22:$B$36)=YEAR(B280))*(MONTH($B$22:$B$36)=MONTH(B280))*$C$22:$C$36)),"")</f>
        <v/>
      </c>
      <c r="F280" s="17">
        <f>IF(A280&lt;&gt;"",ROUND(F279-E280,2),"")</f>
        <v/>
      </c>
    </row>
    <row r="281">
      <c r="A281" s="7">
        <f>IF(AND(F280&gt;0.005,A280&lt;&gt;""),243,"")</f>
        <v/>
      </c>
      <c r="B281" s="4">
        <f>IF(A281&lt;&gt;"",EDATE(StartDate,242),"")</f>
        <v/>
      </c>
      <c r="C281" s="9">
        <f>IF(A281&lt;&gt;"",MIN(MonthlyPmt,F280+D281),"")</f>
        <v/>
      </c>
      <c r="D281" s="9">
        <f>IF(A281&lt;&gt;"",ROUND(F280*AnnualRate/12,2),"")</f>
        <v/>
      </c>
      <c r="E281" s="9">
        <f>IF(A281&lt;&gt;"",MIN(F280,(C281-D281)+SUMPRODUCT(($B$10:$B$19&lt;&gt;"")*($B$10:$B$19&lt;=B281)*($D$10:$D$19="Monthly")*$C$10:$C$19)+SUMPRODUCT(($B$10:$B$19&lt;&gt;"")*($B$10:$B$19&lt;=B281)*($D$10:$D$19="Annual")*(MONTH($B$10:$B$19)=MONTH(B281))*$C$10:$C$19)+SUMPRODUCT(($B$22:$B$36&lt;&gt;"")*(YEAR($B$22:$B$36)=YEAR(B281))*(MONTH($B$22:$B$36)=MONTH(B281))*$C$22:$C$36)),"")</f>
        <v/>
      </c>
      <c r="F281" s="9">
        <f>IF(A281&lt;&gt;"",ROUND(F280-E281,2),"")</f>
        <v/>
      </c>
    </row>
    <row r="282">
      <c r="A282" s="15">
        <f>IF(AND(F281&gt;0.005,A281&lt;&gt;""),244,"")</f>
        <v/>
      </c>
      <c r="B282" s="16">
        <f>IF(A282&lt;&gt;"",EDATE(StartDate,243),"")</f>
        <v/>
      </c>
      <c r="C282" s="17">
        <f>IF(A282&lt;&gt;"",MIN(MonthlyPmt,F281+D282),"")</f>
        <v/>
      </c>
      <c r="D282" s="17">
        <f>IF(A282&lt;&gt;"",ROUND(F281*AnnualRate/12,2),"")</f>
        <v/>
      </c>
      <c r="E282" s="17">
        <f>IF(A282&lt;&gt;"",MIN(F281,(C282-D282)+SUMPRODUCT(($B$10:$B$19&lt;&gt;"")*($B$10:$B$19&lt;=B282)*($D$10:$D$19="Monthly")*$C$10:$C$19)+SUMPRODUCT(($B$10:$B$19&lt;&gt;"")*($B$10:$B$19&lt;=B282)*($D$10:$D$19="Annual")*(MONTH($B$10:$B$19)=MONTH(B282))*$C$10:$C$19)+SUMPRODUCT(($B$22:$B$36&lt;&gt;"")*(YEAR($B$22:$B$36)=YEAR(B282))*(MONTH($B$22:$B$36)=MONTH(B282))*$C$22:$C$36)),"")</f>
        <v/>
      </c>
      <c r="F282" s="17">
        <f>IF(A282&lt;&gt;"",ROUND(F281-E282,2),"")</f>
        <v/>
      </c>
    </row>
    <row r="283">
      <c r="A283" s="7">
        <f>IF(AND(F282&gt;0.005,A282&lt;&gt;""),245,"")</f>
        <v/>
      </c>
      <c r="B283" s="4">
        <f>IF(A283&lt;&gt;"",EDATE(StartDate,244),"")</f>
        <v/>
      </c>
      <c r="C283" s="9">
        <f>IF(A283&lt;&gt;"",MIN(MonthlyPmt,F282+D283),"")</f>
        <v/>
      </c>
      <c r="D283" s="9">
        <f>IF(A283&lt;&gt;"",ROUND(F282*AnnualRate/12,2),"")</f>
        <v/>
      </c>
      <c r="E283" s="9">
        <f>IF(A283&lt;&gt;"",MIN(F282,(C283-D283)+SUMPRODUCT(($B$10:$B$19&lt;&gt;"")*($B$10:$B$19&lt;=B283)*($D$10:$D$19="Monthly")*$C$10:$C$19)+SUMPRODUCT(($B$10:$B$19&lt;&gt;"")*($B$10:$B$19&lt;=B283)*($D$10:$D$19="Annual")*(MONTH($B$10:$B$19)=MONTH(B283))*$C$10:$C$19)+SUMPRODUCT(($B$22:$B$36&lt;&gt;"")*(YEAR($B$22:$B$36)=YEAR(B283))*(MONTH($B$22:$B$36)=MONTH(B283))*$C$22:$C$36)),"")</f>
        <v/>
      </c>
      <c r="F283" s="9">
        <f>IF(A283&lt;&gt;"",ROUND(F282-E283,2),"")</f>
        <v/>
      </c>
    </row>
    <row r="284">
      <c r="A284" s="15">
        <f>IF(AND(F283&gt;0.005,A283&lt;&gt;""),246,"")</f>
        <v/>
      </c>
      <c r="B284" s="16">
        <f>IF(A284&lt;&gt;"",EDATE(StartDate,245),"")</f>
        <v/>
      </c>
      <c r="C284" s="17">
        <f>IF(A284&lt;&gt;"",MIN(MonthlyPmt,F283+D284),"")</f>
        <v/>
      </c>
      <c r="D284" s="17">
        <f>IF(A284&lt;&gt;"",ROUND(F283*AnnualRate/12,2),"")</f>
        <v/>
      </c>
      <c r="E284" s="17">
        <f>IF(A284&lt;&gt;"",MIN(F283,(C284-D284)+SUMPRODUCT(($B$10:$B$19&lt;&gt;"")*($B$10:$B$19&lt;=B284)*($D$10:$D$19="Monthly")*$C$10:$C$19)+SUMPRODUCT(($B$10:$B$19&lt;&gt;"")*($B$10:$B$19&lt;=B284)*($D$10:$D$19="Annual")*(MONTH($B$10:$B$19)=MONTH(B284))*$C$10:$C$19)+SUMPRODUCT(($B$22:$B$36&lt;&gt;"")*(YEAR($B$22:$B$36)=YEAR(B284))*(MONTH($B$22:$B$36)=MONTH(B284))*$C$22:$C$36)),"")</f>
        <v/>
      </c>
      <c r="F284" s="17">
        <f>IF(A284&lt;&gt;"",ROUND(F283-E284,2),"")</f>
        <v/>
      </c>
    </row>
    <row r="285">
      <c r="A285" s="7">
        <f>IF(AND(F284&gt;0.005,A284&lt;&gt;""),247,"")</f>
        <v/>
      </c>
      <c r="B285" s="4">
        <f>IF(A285&lt;&gt;"",EDATE(StartDate,246),"")</f>
        <v/>
      </c>
      <c r="C285" s="9">
        <f>IF(A285&lt;&gt;"",MIN(MonthlyPmt,F284+D285),"")</f>
        <v/>
      </c>
      <c r="D285" s="9">
        <f>IF(A285&lt;&gt;"",ROUND(F284*AnnualRate/12,2),"")</f>
        <v/>
      </c>
      <c r="E285" s="9">
        <f>IF(A285&lt;&gt;"",MIN(F284,(C285-D285)+SUMPRODUCT(($B$10:$B$19&lt;&gt;"")*($B$10:$B$19&lt;=B285)*($D$10:$D$19="Monthly")*$C$10:$C$19)+SUMPRODUCT(($B$10:$B$19&lt;&gt;"")*($B$10:$B$19&lt;=B285)*($D$10:$D$19="Annual")*(MONTH($B$10:$B$19)=MONTH(B285))*$C$10:$C$19)+SUMPRODUCT(($B$22:$B$36&lt;&gt;"")*(YEAR($B$22:$B$36)=YEAR(B285))*(MONTH($B$22:$B$36)=MONTH(B285))*$C$22:$C$36)),"")</f>
        <v/>
      </c>
      <c r="F285" s="9">
        <f>IF(A285&lt;&gt;"",ROUND(F284-E285,2),"")</f>
        <v/>
      </c>
    </row>
    <row r="286">
      <c r="A286" s="15">
        <f>IF(AND(F285&gt;0.005,A285&lt;&gt;""),248,"")</f>
        <v/>
      </c>
      <c r="B286" s="16">
        <f>IF(A286&lt;&gt;"",EDATE(StartDate,247),"")</f>
        <v/>
      </c>
      <c r="C286" s="17">
        <f>IF(A286&lt;&gt;"",MIN(MonthlyPmt,F285+D286),"")</f>
        <v/>
      </c>
      <c r="D286" s="17">
        <f>IF(A286&lt;&gt;"",ROUND(F285*AnnualRate/12,2),"")</f>
        <v/>
      </c>
      <c r="E286" s="17">
        <f>IF(A286&lt;&gt;"",MIN(F285,(C286-D286)+SUMPRODUCT(($B$10:$B$19&lt;&gt;"")*($B$10:$B$19&lt;=B286)*($D$10:$D$19="Monthly")*$C$10:$C$19)+SUMPRODUCT(($B$10:$B$19&lt;&gt;"")*($B$10:$B$19&lt;=B286)*($D$10:$D$19="Annual")*(MONTH($B$10:$B$19)=MONTH(B286))*$C$10:$C$19)+SUMPRODUCT(($B$22:$B$36&lt;&gt;"")*(YEAR($B$22:$B$36)=YEAR(B286))*(MONTH($B$22:$B$36)=MONTH(B286))*$C$22:$C$36)),"")</f>
        <v/>
      </c>
      <c r="F286" s="17">
        <f>IF(A286&lt;&gt;"",ROUND(F285-E286,2),"")</f>
        <v/>
      </c>
    </row>
    <row r="287">
      <c r="A287" s="7">
        <f>IF(AND(F286&gt;0.005,A286&lt;&gt;""),249,"")</f>
        <v/>
      </c>
      <c r="B287" s="4">
        <f>IF(A287&lt;&gt;"",EDATE(StartDate,248),"")</f>
        <v/>
      </c>
      <c r="C287" s="9">
        <f>IF(A287&lt;&gt;"",MIN(MonthlyPmt,F286+D287),"")</f>
        <v/>
      </c>
      <c r="D287" s="9">
        <f>IF(A287&lt;&gt;"",ROUND(F286*AnnualRate/12,2),"")</f>
        <v/>
      </c>
      <c r="E287" s="9">
        <f>IF(A287&lt;&gt;"",MIN(F286,(C287-D287)+SUMPRODUCT(($B$10:$B$19&lt;&gt;"")*($B$10:$B$19&lt;=B287)*($D$10:$D$19="Monthly")*$C$10:$C$19)+SUMPRODUCT(($B$10:$B$19&lt;&gt;"")*($B$10:$B$19&lt;=B287)*($D$10:$D$19="Annual")*(MONTH($B$10:$B$19)=MONTH(B287))*$C$10:$C$19)+SUMPRODUCT(($B$22:$B$36&lt;&gt;"")*(YEAR($B$22:$B$36)=YEAR(B287))*(MONTH($B$22:$B$36)=MONTH(B287))*$C$22:$C$36)),"")</f>
        <v/>
      </c>
      <c r="F287" s="9">
        <f>IF(A287&lt;&gt;"",ROUND(F286-E287,2),"")</f>
        <v/>
      </c>
    </row>
    <row r="288">
      <c r="A288" s="15">
        <f>IF(AND(F287&gt;0.005,A287&lt;&gt;""),250,"")</f>
        <v/>
      </c>
      <c r="B288" s="16">
        <f>IF(A288&lt;&gt;"",EDATE(StartDate,249),"")</f>
        <v/>
      </c>
      <c r="C288" s="17">
        <f>IF(A288&lt;&gt;"",MIN(MonthlyPmt,F287+D288),"")</f>
        <v/>
      </c>
      <c r="D288" s="17">
        <f>IF(A288&lt;&gt;"",ROUND(F287*AnnualRate/12,2),"")</f>
        <v/>
      </c>
      <c r="E288" s="17">
        <f>IF(A288&lt;&gt;"",MIN(F287,(C288-D288)+SUMPRODUCT(($B$10:$B$19&lt;&gt;"")*($B$10:$B$19&lt;=B288)*($D$10:$D$19="Monthly")*$C$10:$C$19)+SUMPRODUCT(($B$10:$B$19&lt;&gt;"")*($B$10:$B$19&lt;=B288)*($D$10:$D$19="Annual")*(MONTH($B$10:$B$19)=MONTH(B288))*$C$10:$C$19)+SUMPRODUCT(($B$22:$B$36&lt;&gt;"")*(YEAR($B$22:$B$36)=YEAR(B288))*(MONTH($B$22:$B$36)=MONTH(B288))*$C$22:$C$36)),"")</f>
        <v/>
      </c>
      <c r="F288" s="17">
        <f>IF(A288&lt;&gt;"",ROUND(F287-E288,2),"")</f>
        <v/>
      </c>
    </row>
    <row r="289">
      <c r="A289" s="7">
        <f>IF(AND(F288&gt;0.005,A288&lt;&gt;""),251,"")</f>
        <v/>
      </c>
      <c r="B289" s="4">
        <f>IF(A289&lt;&gt;"",EDATE(StartDate,250),"")</f>
        <v/>
      </c>
      <c r="C289" s="9">
        <f>IF(A289&lt;&gt;"",MIN(MonthlyPmt,F288+D289),"")</f>
        <v/>
      </c>
      <c r="D289" s="9">
        <f>IF(A289&lt;&gt;"",ROUND(F288*AnnualRate/12,2),"")</f>
        <v/>
      </c>
      <c r="E289" s="9">
        <f>IF(A289&lt;&gt;"",MIN(F288,(C289-D289)+SUMPRODUCT(($B$10:$B$19&lt;&gt;"")*($B$10:$B$19&lt;=B289)*($D$10:$D$19="Monthly")*$C$10:$C$19)+SUMPRODUCT(($B$10:$B$19&lt;&gt;"")*($B$10:$B$19&lt;=B289)*($D$10:$D$19="Annual")*(MONTH($B$10:$B$19)=MONTH(B289))*$C$10:$C$19)+SUMPRODUCT(($B$22:$B$36&lt;&gt;"")*(YEAR($B$22:$B$36)=YEAR(B289))*(MONTH($B$22:$B$36)=MONTH(B289))*$C$22:$C$36)),"")</f>
        <v/>
      </c>
      <c r="F289" s="9">
        <f>IF(A289&lt;&gt;"",ROUND(F288-E289,2),"")</f>
        <v/>
      </c>
    </row>
    <row r="290">
      <c r="A290" s="15">
        <f>IF(AND(F289&gt;0.005,A289&lt;&gt;""),252,"")</f>
        <v/>
      </c>
      <c r="B290" s="16">
        <f>IF(A290&lt;&gt;"",EDATE(StartDate,251),"")</f>
        <v/>
      </c>
      <c r="C290" s="17">
        <f>IF(A290&lt;&gt;"",MIN(MonthlyPmt,F289+D290),"")</f>
        <v/>
      </c>
      <c r="D290" s="17">
        <f>IF(A290&lt;&gt;"",ROUND(F289*AnnualRate/12,2),"")</f>
        <v/>
      </c>
      <c r="E290" s="17">
        <f>IF(A290&lt;&gt;"",MIN(F289,(C290-D290)+SUMPRODUCT(($B$10:$B$19&lt;&gt;"")*($B$10:$B$19&lt;=B290)*($D$10:$D$19="Monthly")*$C$10:$C$19)+SUMPRODUCT(($B$10:$B$19&lt;&gt;"")*($B$10:$B$19&lt;=B290)*($D$10:$D$19="Annual")*(MONTH($B$10:$B$19)=MONTH(B290))*$C$10:$C$19)+SUMPRODUCT(($B$22:$B$36&lt;&gt;"")*(YEAR($B$22:$B$36)=YEAR(B290))*(MONTH($B$22:$B$36)=MONTH(B290))*$C$22:$C$36)),"")</f>
        <v/>
      </c>
      <c r="F290" s="17">
        <f>IF(A290&lt;&gt;"",ROUND(F289-E290,2),"")</f>
        <v/>
      </c>
    </row>
    <row r="291">
      <c r="A291" s="7">
        <f>IF(AND(F290&gt;0.005,A290&lt;&gt;""),253,"")</f>
        <v/>
      </c>
      <c r="B291" s="4">
        <f>IF(A291&lt;&gt;"",EDATE(StartDate,252),"")</f>
        <v/>
      </c>
      <c r="C291" s="9">
        <f>IF(A291&lt;&gt;"",MIN(MonthlyPmt,F290+D291),"")</f>
        <v/>
      </c>
      <c r="D291" s="9">
        <f>IF(A291&lt;&gt;"",ROUND(F290*AnnualRate/12,2),"")</f>
        <v/>
      </c>
      <c r="E291" s="9">
        <f>IF(A291&lt;&gt;"",MIN(F290,(C291-D291)+SUMPRODUCT(($B$10:$B$19&lt;&gt;"")*($B$10:$B$19&lt;=B291)*($D$10:$D$19="Monthly")*$C$10:$C$19)+SUMPRODUCT(($B$10:$B$19&lt;&gt;"")*($B$10:$B$19&lt;=B291)*($D$10:$D$19="Annual")*(MONTH($B$10:$B$19)=MONTH(B291))*$C$10:$C$19)+SUMPRODUCT(($B$22:$B$36&lt;&gt;"")*(YEAR($B$22:$B$36)=YEAR(B291))*(MONTH($B$22:$B$36)=MONTH(B291))*$C$22:$C$36)),"")</f>
        <v/>
      </c>
      <c r="F291" s="9">
        <f>IF(A291&lt;&gt;"",ROUND(F290-E291,2),"")</f>
        <v/>
      </c>
    </row>
    <row r="292">
      <c r="A292" s="15">
        <f>IF(AND(F291&gt;0.005,A291&lt;&gt;""),254,"")</f>
        <v/>
      </c>
      <c r="B292" s="16">
        <f>IF(A292&lt;&gt;"",EDATE(StartDate,253),"")</f>
        <v/>
      </c>
      <c r="C292" s="17">
        <f>IF(A292&lt;&gt;"",MIN(MonthlyPmt,F291+D292),"")</f>
        <v/>
      </c>
      <c r="D292" s="17">
        <f>IF(A292&lt;&gt;"",ROUND(F291*AnnualRate/12,2),"")</f>
        <v/>
      </c>
      <c r="E292" s="17">
        <f>IF(A292&lt;&gt;"",MIN(F291,(C292-D292)+SUMPRODUCT(($B$10:$B$19&lt;&gt;"")*($B$10:$B$19&lt;=B292)*($D$10:$D$19="Monthly")*$C$10:$C$19)+SUMPRODUCT(($B$10:$B$19&lt;&gt;"")*($B$10:$B$19&lt;=B292)*($D$10:$D$19="Annual")*(MONTH($B$10:$B$19)=MONTH(B292))*$C$10:$C$19)+SUMPRODUCT(($B$22:$B$36&lt;&gt;"")*(YEAR($B$22:$B$36)=YEAR(B292))*(MONTH($B$22:$B$36)=MONTH(B292))*$C$22:$C$36)),"")</f>
        <v/>
      </c>
      <c r="F292" s="17">
        <f>IF(A292&lt;&gt;"",ROUND(F291-E292,2),"")</f>
        <v/>
      </c>
    </row>
    <row r="293">
      <c r="A293" s="7">
        <f>IF(AND(F292&gt;0.005,A292&lt;&gt;""),255,"")</f>
        <v/>
      </c>
      <c r="B293" s="4">
        <f>IF(A293&lt;&gt;"",EDATE(StartDate,254),"")</f>
        <v/>
      </c>
      <c r="C293" s="9">
        <f>IF(A293&lt;&gt;"",MIN(MonthlyPmt,F292+D293),"")</f>
        <v/>
      </c>
      <c r="D293" s="9">
        <f>IF(A293&lt;&gt;"",ROUND(F292*AnnualRate/12,2),"")</f>
        <v/>
      </c>
      <c r="E293" s="9">
        <f>IF(A293&lt;&gt;"",MIN(F292,(C293-D293)+SUMPRODUCT(($B$10:$B$19&lt;&gt;"")*($B$10:$B$19&lt;=B293)*($D$10:$D$19="Monthly")*$C$10:$C$19)+SUMPRODUCT(($B$10:$B$19&lt;&gt;"")*($B$10:$B$19&lt;=B293)*($D$10:$D$19="Annual")*(MONTH($B$10:$B$19)=MONTH(B293))*$C$10:$C$19)+SUMPRODUCT(($B$22:$B$36&lt;&gt;"")*(YEAR($B$22:$B$36)=YEAR(B293))*(MONTH($B$22:$B$36)=MONTH(B293))*$C$22:$C$36)),"")</f>
        <v/>
      </c>
      <c r="F293" s="9">
        <f>IF(A293&lt;&gt;"",ROUND(F292-E293,2),"")</f>
        <v/>
      </c>
    </row>
    <row r="294">
      <c r="A294" s="15">
        <f>IF(AND(F293&gt;0.005,A293&lt;&gt;""),256,"")</f>
        <v/>
      </c>
      <c r="B294" s="16">
        <f>IF(A294&lt;&gt;"",EDATE(StartDate,255),"")</f>
        <v/>
      </c>
      <c r="C294" s="17">
        <f>IF(A294&lt;&gt;"",MIN(MonthlyPmt,F293+D294),"")</f>
        <v/>
      </c>
      <c r="D294" s="17">
        <f>IF(A294&lt;&gt;"",ROUND(F293*AnnualRate/12,2),"")</f>
        <v/>
      </c>
      <c r="E294" s="17">
        <f>IF(A294&lt;&gt;"",MIN(F293,(C294-D294)+SUMPRODUCT(($B$10:$B$19&lt;&gt;"")*($B$10:$B$19&lt;=B294)*($D$10:$D$19="Monthly")*$C$10:$C$19)+SUMPRODUCT(($B$10:$B$19&lt;&gt;"")*($B$10:$B$19&lt;=B294)*($D$10:$D$19="Annual")*(MONTH($B$10:$B$19)=MONTH(B294))*$C$10:$C$19)+SUMPRODUCT(($B$22:$B$36&lt;&gt;"")*(YEAR($B$22:$B$36)=YEAR(B294))*(MONTH($B$22:$B$36)=MONTH(B294))*$C$22:$C$36)),"")</f>
        <v/>
      </c>
      <c r="F294" s="17">
        <f>IF(A294&lt;&gt;"",ROUND(F293-E294,2),"")</f>
        <v/>
      </c>
    </row>
    <row r="295">
      <c r="A295" s="7">
        <f>IF(AND(F294&gt;0.005,A294&lt;&gt;""),257,"")</f>
        <v/>
      </c>
      <c r="B295" s="4">
        <f>IF(A295&lt;&gt;"",EDATE(StartDate,256),"")</f>
        <v/>
      </c>
      <c r="C295" s="9">
        <f>IF(A295&lt;&gt;"",MIN(MonthlyPmt,F294+D295),"")</f>
        <v/>
      </c>
      <c r="D295" s="9">
        <f>IF(A295&lt;&gt;"",ROUND(F294*AnnualRate/12,2),"")</f>
        <v/>
      </c>
      <c r="E295" s="9">
        <f>IF(A295&lt;&gt;"",MIN(F294,(C295-D295)+SUMPRODUCT(($B$10:$B$19&lt;&gt;"")*($B$10:$B$19&lt;=B295)*($D$10:$D$19="Monthly")*$C$10:$C$19)+SUMPRODUCT(($B$10:$B$19&lt;&gt;"")*($B$10:$B$19&lt;=B295)*($D$10:$D$19="Annual")*(MONTH($B$10:$B$19)=MONTH(B295))*$C$10:$C$19)+SUMPRODUCT(($B$22:$B$36&lt;&gt;"")*(YEAR($B$22:$B$36)=YEAR(B295))*(MONTH($B$22:$B$36)=MONTH(B295))*$C$22:$C$36)),"")</f>
        <v/>
      </c>
      <c r="F295" s="9">
        <f>IF(A295&lt;&gt;"",ROUND(F294-E295,2),"")</f>
        <v/>
      </c>
    </row>
    <row r="296">
      <c r="A296" s="15">
        <f>IF(AND(F295&gt;0.005,A295&lt;&gt;""),258,"")</f>
        <v/>
      </c>
      <c r="B296" s="16">
        <f>IF(A296&lt;&gt;"",EDATE(StartDate,257),"")</f>
        <v/>
      </c>
      <c r="C296" s="17">
        <f>IF(A296&lt;&gt;"",MIN(MonthlyPmt,F295+D296),"")</f>
        <v/>
      </c>
      <c r="D296" s="17">
        <f>IF(A296&lt;&gt;"",ROUND(F295*AnnualRate/12,2),"")</f>
        <v/>
      </c>
      <c r="E296" s="17">
        <f>IF(A296&lt;&gt;"",MIN(F295,(C296-D296)+SUMPRODUCT(($B$10:$B$19&lt;&gt;"")*($B$10:$B$19&lt;=B296)*($D$10:$D$19="Monthly")*$C$10:$C$19)+SUMPRODUCT(($B$10:$B$19&lt;&gt;"")*($B$10:$B$19&lt;=B296)*($D$10:$D$19="Annual")*(MONTH($B$10:$B$19)=MONTH(B296))*$C$10:$C$19)+SUMPRODUCT(($B$22:$B$36&lt;&gt;"")*(YEAR($B$22:$B$36)=YEAR(B296))*(MONTH($B$22:$B$36)=MONTH(B296))*$C$22:$C$36)),"")</f>
        <v/>
      </c>
      <c r="F296" s="17">
        <f>IF(A296&lt;&gt;"",ROUND(F295-E296,2),"")</f>
        <v/>
      </c>
    </row>
    <row r="297">
      <c r="A297" s="7">
        <f>IF(AND(F296&gt;0.005,A296&lt;&gt;""),259,"")</f>
        <v/>
      </c>
      <c r="B297" s="4">
        <f>IF(A297&lt;&gt;"",EDATE(StartDate,258),"")</f>
        <v/>
      </c>
      <c r="C297" s="9">
        <f>IF(A297&lt;&gt;"",MIN(MonthlyPmt,F296+D297),"")</f>
        <v/>
      </c>
      <c r="D297" s="9">
        <f>IF(A297&lt;&gt;"",ROUND(F296*AnnualRate/12,2),"")</f>
        <v/>
      </c>
      <c r="E297" s="9">
        <f>IF(A297&lt;&gt;"",MIN(F296,(C297-D297)+SUMPRODUCT(($B$10:$B$19&lt;&gt;"")*($B$10:$B$19&lt;=B297)*($D$10:$D$19="Monthly")*$C$10:$C$19)+SUMPRODUCT(($B$10:$B$19&lt;&gt;"")*($B$10:$B$19&lt;=B297)*($D$10:$D$19="Annual")*(MONTH($B$10:$B$19)=MONTH(B297))*$C$10:$C$19)+SUMPRODUCT(($B$22:$B$36&lt;&gt;"")*(YEAR($B$22:$B$36)=YEAR(B297))*(MONTH($B$22:$B$36)=MONTH(B297))*$C$22:$C$36)),"")</f>
        <v/>
      </c>
      <c r="F297" s="9">
        <f>IF(A297&lt;&gt;"",ROUND(F296-E297,2),"")</f>
        <v/>
      </c>
    </row>
    <row r="298">
      <c r="A298" s="15">
        <f>IF(AND(F297&gt;0.005,A297&lt;&gt;""),260,"")</f>
        <v/>
      </c>
      <c r="B298" s="16">
        <f>IF(A298&lt;&gt;"",EDATE(StartDate,259),"")</f>
        <v/>
      </c>
      <c r="C298" s="17">
        <f>IF(A298&lt;&gt;"",MIN(MonthlyPmt,F297+D298),"")</f>
        <v/>
      </c>
      <c r="D298" s="17">
        <f>IF(A298&lt;&gt;"",ROUND(F297*AnnualRate/12,2),"")</f>
        <v/>
      </c>
      <c r="E298" s="17">
        <f>IF(A298&lt;&gt;"",MIN(F297,(C298-D298)+SUMPRODUCT(($B$10:$B$19&lt;&gt;"")*($B$10:$B$19&lt;=B298)*($D$10:$D$19="Monthly")*$C$10:$C$19)+SUMPRODUCT(($B$10:$B$19&lt;&gt;"")*($B$10:$B$19&lt;=B298)*($D$10:$D$19="Annual")*(MONTH($B$10:$B$19)=MONTH(B298))*$C$10:$C$19)+SUMPRODUCT(($B$22:$B$36&lt;&gt;"")*(YEAR($B$22:$B$36)=YEAR(B298))*(MONTH($B$22:$B$36)=MONTH(B298))*$C$22:$C$36)),"")</f>
        <v/>
      </c>
      <c r="F298" s="17">
        <f>IF(A298&lt;&gt;"",ROUND(F297-E298,2),"")</f>
        <v/>
      </c>
    </row>
    <row r="299">
      <c r="A299" s="7">
        <f>IF(AND(F298&gt;0.005,A298&lt;&gt;""),261,"")</f>
        <v/>
      </c>
      <c r="B299" s="4">
        <f>IF(A299&lt;&gt;"",EDATE(StartDate,260),"")</f>
        <v/>
      </c>
      <c r="C299" s="9">
        <f>IF(A299&lt;&gt;"",MIN(MonthlyPmt,F298+D299),"")</f>
        <v/>
      </c>
      <c r="D299" s="9">
        <f>IF(A299&lt;&gt;"",ROUND(F298*AnnualRate/12,2),"")</f>
        <v/>
      </c>
      <c r="E299" s="9">
        <f>IF(A299&lt;&gt;"",MIN(F298,(C299-D299)+SUMPRODUCT(($B$10:$B$19&lt;&gt;"")*($B$10:$B$19&lt;=B299)*($D$10:$D$19="Monthly")*$C$10:$C$19)+SUMPRODUCT(($B$10:$B$19&lt;&gt;"")*($B$10:$B$19&lt;=B299)*($D$10:$D$19="Annual")*(MONTH($B$10:$B$19)=MONTH(B299))*$C$10:$C$19)+SUMPRODUCT(($B$22:$B$36&lt;&gt;"")*(YEAR($B$22:$B$36)=YEAR(B299))*(MONTH($B$22:$B$36)=MONTH(B299))*$C$22:$C$36)),"")</f>
        <v/>
      </c>
      <c r="F299" s="9">
        <f>IF(A299&lt;&gt;"",ROUND(F298-E299,2),"")</f>
        <v/>
      </c>
    </row>
    <row r="300">
      <c r="A300" s="15">
        <f>IF(AND(F299&gt;0.005,A299&lt;&gt;""),262,"")</f>
        <v/>
      </c>
      <c r="B300" s="16">
        <f>IF(A300&lt;&gt;"",EDATE(StartDate,261),"")</f>
        <v/>
      </c>
      <c r="C300" s="17">
        <f>IF(A300&lt;&gt;"",MIN(MonthlyPmt,F299+D300),"")</f>
        <v/>
      </c>
      <c r="D300" s="17">
        <f>IF(A300&lt;&gt;"",ROUND(F299*AnnualRate/12,2),"")</f>
        <v/>
      </c>
      <c r="E300" s="17">
        <f>IF(A300&lt;&gt;"",MIN(F299,(C300-D300)+SUMPRODUCT(($B$10:$B$19&lt;&gt;"")*($B$10:$B$19&lt;=B300)*($D$10:$D$19="Monthly")*$C$10:$C$19)+SUMPRODUCT(($B$10:$B$19&lt;&gt;"")*($B$10:$B$19&lt;=B300)*($D$10:$D$19="Annual")*(MONTH($B$10:$B$19)=MONTH(B300))*$C$10:$C$19)+SUMPRODUCT(($B$22:$B$36&lt;&gt;"")*(YEAR($B$22:$B$36)=YEAR(B300))*(MONTH($B$22:$B$36)=MONTH(B300))*$C$22:$C$36)),"")</f>
        <v/>
      </c>
      <c r="F300" s="17">
        <f>IF(A300&lt;&gt;"",ROUND(F299-E300,2),"")</f>
        <v/>
      </c>
    </row>
    <row r="301">
      <c r="A301" s="7">
        <f>IF(AND(F300&gt;0.005,A300&lt;&gt;""),263,"")</f>
        <v/>
      </c>
      <c r="B301" s="4">
        <f>IF(A301&lt;&gt;"",EDATE(StartDate,262),"")</f>
        <v/>
      </c>
      <c r="C301" s="9">
        <f>IF(A301&lt;&gt;"",MIN(MonthlyPmt,F300+D301),"")</f>
        <v/>
      </c>
      <c r="D301" s="9">
        <f>IF(A301&lt;&gt;"",ROUND(F300*AnnualRate/12,2),"")</f>
        <v/>
      </c>
      <c r="E301" s="9">
        <f>IF(A301&lt;&gt;"",MIN(F300,(C301-D301)+SUMPRODUCT(($B$10:$B$19&lt;&gt;"")*($B$10:$B$19&lt;=B301)*($D$10:$D$19="Monthly")*$C$10:$C$19)+SUMPRODUCT(($B$10:$B$19&lt;&gt;"")*($B$10:$B$19&lt;=B301)*($D$10:$D$19="Annual")*(MONTH($B$10:$B$19)=MONTH(B301))*$C$10:$C$19)+SUMPRODUCT(($B$22:$B$36&lt;&gt;"")*(YEAR($B$22:$B$36)=YEAR(B301))*(MONTH($B$22:$B$36)=MONTH(B301))*$C$22:$C$36)),"")</f>
        <v/>
      </c>
      <c r="F301" s="9">
        <f>IF(A301&lt;&gt;"",ROUND(F300-E301,2),"")</f>
        <v/>
      </c>
    </row>
    <row r="302">
      <c r="A302" s="15">
        <f>IF(AND(F301&gt;0.005,A301&lt;&gt;""),264,"")</f>
        <v/>
      </c>
      <c r="B302" s="16">
        <f>IF(A302&lt;&gt;"",EDATE(StartDate,263),"")</f>
        <v/>
      </c>
      <c r="C302" s="17">
        <f>IF(A302&lt;&gt;"",MIN(MonthlyPmt,F301+D302),"")</f>
        <v/>
      </c>
      <c r="D302" s="17">
        <f>IF(A302&lt;&gt;"",ROUND(F301*AnnualRate/12,2),"")</f>
        <v/>
      </c>
      <c r="E302" s="17">
        <f>IF(A302&lt;&gt;"",MIN(F301,(C302-D302)+SUMPRODUCT(($B$10:$B$19&lt;&gt;"")*($B$10:$B$19&lt;=B302)*($D$10:$D$19="Monthly")*$C$10:$C$19)+SUMPRODUCT(($B$10:$B$19&lt;&gt;"")*($B$10:$B$19&lt;=B302)*($D$10:$D$19="Annual")*(MONTH($B$10:$B$19)=MONTH(B302))*$C$10:$C$19)+SUMPRODUCT(($B$22:$B$36&lt;&gt;"")*(YEAR($B$22:$B$36)=YEAR(B302))*(MONTH($B$22:$B$36)=MONTH(B302))*$C$22:$C$36)),"")</f>
        <v/>
      </c>
      <c r="F302" s="17">
        <f>IF(A302&lt;&gt;"",ROUND(F301-E302,2),"")</f>
        <v/>
      </c>
    </row>
    <row r="303">
      <c r="A303" s="7">
        <f>IF(AND(F302&gt;0.005,A302&lt;&gt;""),265,"")</f>
        <v/>
      </c>
      <c r="B303" s="4">
        <f>IF(A303&lt;&gt;"",EDATE(StartDate,264),"")</f>
        <v/>
      </c>
      <c r="C303" s="9">
        <f>IF(A303&lt;&gt;"",MIN(MonthlyPmt,F302+D303),"")</f>
        <v/>
      </c>
      <c r="D303" s="9">
        <f>IF(A303&lt;&gt;"",ROUND(F302*AnnualRate/12,2),"")</f>
        <v/>
      </c>
      <c r="E303" s="9">
        <f>IF(A303&lt;&gt;"",MIN(F302,(C303-D303)+SUMPRODUCT(($B$10:$B$19&lt;&gt;"")*($B$10:$B$19&lt;=B303)*($D$10:$D$19="Monthly")*$C$10:$C$19)+SUMPRODUCT(($B$10:$B$19&lt;&gt;"")*($B$10:$B$19&lt;=B303)*($D$10:$D$19="Annual")*(MONTH($B$10:$B$19)=MONTH(B303))*$C$10:$C$19)+SUMPRODUCT(($B$22:$B$36&lt;&gt;"")*(YEAR($B$22:$B$36)=YEAR(B303))*(MONTH($B$22:$B$36)=MONTH(B303))*$C$22:$C$36)),"")</f>
        <v/>
      </c>
      <c r="F303" s="9">
        <f>IF(A303&lt;&gt;"",ROUND(F302-E303,2),"")</f>
        <v/>
      </c>
    </row>
    <row r="304">
      <c r="A304" s="15">
        <f>IF(AND(F303&gt;0.005,A303&lt;&gt;""),266,"")</f>
        <v/>
      </c>
      <c r="B304" s="16">
        <f>IF(A304&lt;&gt;"",EDATE(StartDate,265),"")</f>
        <v/>
      </c>
      <c r="C304" s="17">
        <f>IF(A304&lt;&gt;"",MIN(MonthlyPmt,F303+D304),"")</f>
        <v/>
      </c>
      <c r="D304" s="17">
        <f>IF(A304&lt;&gt;"",ROUND(F303*AnnualRate/12,2),"")</f>
        <v/>
      </c>
      <c r="E304" s="17">
        <f>IF(A304&lt;&gt;"",MIN(F303,(C304-D304)+SUMPRODUCT(($B$10:$B$19&lt;&gt;"")*($B$10:$B$19&lt;=B304)*($D$10:$D$19="Monthly")*$C$10:$C$19)+SUMPRODUCT(($B$10:$B$19&lt;&gt;"")*($B$10:$B$19&lt;=B304)*($D$10:$D$19="Annual")*(MONTH($B$10:$B$19)=MONTH(B304))*$C$10:$C$19)+SUMPRODUCT(($B$22:$B$36&lt;&gt;"")*(YEAR($B$22:$B$36)=YEAR(B304))*(MONTH($B$22:$B$36)=MONTH(B304))*$C$22:$C$36)),"")</f>
        <v/>
      </c>
      <c r="F304" s="17">
        <f>IF(A304&lt;&gt;"",ROUND(F303-E304,2),"")</f>
        <v/>
      </c>
    </row>
    <row r="305">
      <c r="A305" s="7">
        <f>IF(AND(F304&gt;0.005,A304&lt;&gt;""),267,"")</f>
        <v/>
      </c>
      <c r="B305" s="4">
        <f>IF(A305&lt;&gt;"",EDATE(StartDate,266),"")</f>
        <v/>
      </c>
      <c r="C305" s="9">
        <f>IF(A305&lt;&gt;"",MIN(MonthlyPmt,F304+D305),"")</f>
        <v/>
      </c>
      <c r="D305" s="9">
        <f>IF(A305&lt;&gt;"",ROUND(F304*AnnualRate/12,2),"")</f>
        <v/>
      </c>
      <c r="E305" s="9">
        <f>IF(A305&lt;&gt;"",MIN(F304,(C305-D305)+SUMPRODUCT(($B$10:$B$19&lt;&gt;"")*($B$10:$B$19&lt;=B305)*($D$10:$D$19="Monthly")*$C$10:$C$19)+SUMPRODUCT(($B$10:$B$19&lt;&gt;"")*($B$10:$B$19&lt;=B305)*($D$10:$D$19="Annual")*(MONTH($B$10:$B$19)=MONTH(B305))*$C$10:$C$19)+SUMPRODUCT(($B$22:$B$36&lt;&gt;"")*(YEAR($B$22:$B$36)=YEAR(B305))*(MONTH($B$22:$B$36)=MONTH(B305))*$C$22:$C$36)),"")</f>
        <v/>
      </c>
      <c r="F305" s="9">
        <f>IF(A305&lt;&gt;"",ROUND(F304-E305,2),"")</f>
        <v/>
      </c>
    </row>
    <row r="306">
      <c r="A306" s="15">
        <f>IF(AND(F305&gt;0.005,A305&lt;&gt;""),268,"")</f>
        <v/>
      </c>
      <c r="B306" s="16">
        <f>IF(A306&lt;&gt;"",EDATE(StartDate,267),"")</f>
        <v/>
      </c>
      <c r="C306" s="17">
        <f>IF(A306&lt;&gt;"",MIN(MonthlyPmt,F305+D306),"")</f>
        <v/>
      </c>
      <c r="D306" s="17">
        <f>IF(A306&lt;&gt;"",ROUND(F305*AnnualRate/12,2),"")</f>
        <v/>
      </c>
      <c r="E306" s="17">
        <f>IF(A306&lt;&gt;"",MIN(F305,(C306-D306)+SUMPRODUCT(($B$10:$B$19&lt;&gt;"")*($B$10:$B$19&lt;=B306)*($D$10:$D$19="Monthly")*$C$10:$C$19)+SUMPRODUCT(($B$10:$B$19&lt;&gt;"")*($B$10:$B$19&lt;=B306)*($D$10:$D$19="Annual")*(MONTH($B$10:$B$19)=MONTH(B306))*$C$10:$C$19)+SUMPRODUCT(($B$22:$B$36&lt;&gt;"")*(YEAR($B$22:$B$36)=YEAR(B306))*(MONTH($B$22:$B$36)=MONTH(B306))*$C$22:$C$36)),"")</f>
        <v/>
      </c>
      <c r="F306" s="17">
        <f>IF(A306&lt;&gt;"",ROUND(F305-E306,2),"")</f>
        <v/>
      </c>
    </row>
    <row r="307">
      <c r="A307" s="7">
        <f>IF(AND(F306&gt;0.005,A306&lt;&gt;""),269,"")</f>
        <v/>
      </c>
      <c r="B307" s="4">
        <f>IF(A307&lt;&gt;"",EDATE(StartDate,268),"")</f>
        <v/>
      </c>
      <c r="C307" s="9">
        <f>IF(A307&lt;&gt;"",MIN(MonthlyPmt,F306+D307),"")</f>
        <v/>
      </c>
      <c r="D307" s="9">
        <f>IF(A307&lt;&gt;"",ROUND(F306*AnnualRate/12,2),"")</f>
        <v/>
      </c>
      <c r="E307" s="9">
        <f>IF(A307&lt;&gt;"",MIN(F306,(C307-D307)+SUMPRODUCT(($B$10:$B$19&lt;&gt;"")*($B$10:$B$19&lt;=B307)*($D$10:$D$19="Monthly")*$C$10:$C$19)+SUMPRODUCT(($B$10:$B$19&lt;&gt;"")*($B$10:$B$19&lt;=B307)*($D$10:$D$19="Annual")*(MONTH($B$10:$B$19)=MONTH(B307))*$C$10:$C$19)+SUMPRODUCT(($B$22:$B$36&lt;&gt;"")*(YEAR($B$22:$B$36)=YEAR(B307))*(MONTH($B$22:$B$36)=MONTH(B307))*$C$22:$C$36)),"")</f>
        <v/>
      </c>
      <c r="F307" s="9">
        <f>IF(A307&lt;&gt;"",ROUND(F306-E307,2),"")</f>
        <v/>
      </c>
    </row>
    <row r="308">
      <c r="A308" s="15">
        <f>IF(AND(F307&gt;0.005,A307&lt;&gt;""),270,"")</f>
        <v/>
      </c>
      <c r="B308" s="16">
        <f>IF(A308&lt;&gt;"",EDATE(StartDate,269),"")</f>
        <v/>
      </c>
      <c r="C308" s="17">
        <f>IF(A308&lt;&gt;"",MIN(MonthlyPmt,F307+D308),"")</f>
        <v/>
      </c>
      <c r="D308" s="17">
        <f>IF(A308&lt;&gt;"",ROUND(F307*AnnualRate/12,2),"")</f>
        <v/>
      </c>
      <c r="E308" s="17">
        <f>IF(A308&lt;&gt;"",MIN(F307,(C308-D308)+SUMPRODUCT(($B$10:$B$19&lt;&gt;"")*($B$10:$B$19&lt;=B308)*($D$10:$D$19="Monthly")*$C$10:$C$19)+SUMPRODUCT(($B$10:$B$19&lt;&gt;"")*($B$10:$B$19&lt;=B308)*($D$10:$D$19="Annual")*(MONTH($B$10:$B$19)=MONTH(B308))*$C$10:$C$19)+SUMPRODUCT(($B$22:$B$36&lt;&gt;"")*(YEAR($B$22:$B$36)=YEAR(B308))*(MONTH($B$22:$B$36)=MONTH(B308))*$C$22:$C$36)),"")</f>
        <v/>
      </c>
      <c r="F308" s="17">
        <f>IF(A308&lt;&gt;"",ROUND(F307-E308,2),"")</f>
        <v/>
      </c>
    </row>
    <row r="309">
      <c r="A309" s="7">
        <f>IF(AND(F308&gt;0.005,A308&lt;&gt;""),271,"")</f>
        <v/>
      </c>
      <c r="B309" s="4">
        <f>IF(A309&lt;&gt;"",EDATE(StartDate,270),"")</f>
        <v/>
      </c>
      <c r="C309" s="9">
        <f>IF(A309&lt;&gt;"",MIN(MonthlyPmt,F308+D309),"")</f>
        <v/>
      </c>
      <c r="D309" s="9">
        <f>IF(A309&lt;&gt;"",ROUND(F308*AnnualRate/12,2),"")</f>
        <v/>
      </c>
      <c r="E309" s="9">
        <f>IF(A309&lt;&gt;"",MIN(F308,(C309-D309)+SUMPRODUCT(($B$10:$B$19&lt;&gt;"")*($B$10:$B$19&lt;=B309)*($D$10:$D$19="Monthly")*$C$10:$C$19)+SUMPRODUCT(($B$10:$B$19&lt;&gt;"")*($B$10:$B$19&lt;=B309)*($D$10:$D$19="Annual")*(MONTH($B$10:$B$19)=MONTH(B309))*$C$10:$C$19)+SUMPRODUCT(($B$22:$B$36&lt;&gt;"")*(YEAR($B$22:$B$36)=YEAR(B309))*(MONTH($B$22:$B$36)=MONTH(B309))*$C$22:$C$36)),"")</f>
        <v/>
      </c>
      <c r="F309" s="9">
        <f>IF(A309&lt;&gt;"",ROUND(F308-E309,2),"")</f>
        <v/>
      </c>
    </row>
    <row r="310">
      <c r="A310" s="15">
        <f>IF(AND(F309&gt;0.005,A309&lt;&gt;""),272,"")</f>
        <v/>
      </c>
      <c r="B310" s="16">
        <f>IF(A310&lt;&gt;"",EDATE(StartDate,271),"")</f>
        <v/>
      </c>
      <c r="C310" s="17">
        <f>IF(A310&lt;&gt;"",MIN(MonthlyPmt,F309+D310),"")</f>
        <v/>
      </c>
      <c r="D310" s="17">
        <f>IF(A310&lt;&gt;"",ROUND(F309*AnnualRate/12,2),"")</f>
        <v/>
      </c>
      <c r="E310" s="17">
        <f>IF(A310&lt;&gt;"",MIN(F309,(C310-D310)+SUMPRODUCT(($B$10:$B$19&lt;&gt;"")*($B$10:$B$19&lt;=B310)*($D$10:$D$19="Monthly")*$C$10:$C$19)+SUMPRODUCT(($B$10:$B$19&lt;&gt;"")*($B$10:$B$19&lt;=B310)*($D$10:$D$19="Annual")*(MONTH($B$10:$B$19)=MONTH(B310))*$C$10:$C$19)+SUMPRODUCT(($B$22:$B$36&lt;&gt;"")*(YEAR($B$22:$B$36)=YEAR(B310))*(MONTH($B$22:$B$36)=MONTH(B310))*$C$22:$C$36)),"")</f>
        <v/>
      </c>
      <c r="F310" s="17">
        <f>IF(A310&lt;&gt;"",ROUND(F309-E310,2),"")</f>
        <v/>
      </c>
    </row>
    <row r="311">
      <c r="A311" s="7">
        <f>IF(AND(F310&gt;0.005,A310&lt;&gt;""),273,"")</f>
        <v/>
      </c>
      <c r="B311" s="4">
        <f>IF(A311&lt;&gt;"",EDATE(StartDate,272),"")</f>
        <v/>
      </c>
      <c r="C311" s="9">
        <f>IF(A311&lt;&gt;"",MIN(MonthlyPmt,F310+D311),"")</f>
        <v/>
      </c>
      <c r="D311" s="9">
        <f>IF(A311&lt;&gt;"",ROUND(F310*AnnualRate/12,2),"")</f>
        <v/>
      </c>
      <c r="E311" s="9">
        <f>IF(A311&lt;&gt;"",MIN(F310,(C311-D311)+SUMPRODUCT(($B$10:$B$19&lt;&gt;"")*($B$10:$B$19&lt;=B311)*($D$10:$D$19="Monthly")*$C$10:$C$19)+SUMPRODUCT(($B$10:$B$19&lt;&gt;"")*($B$10:$B$19&lt;=B311)*($D$10:$D$19="Annual")*(MONTH($B$10:$B$19)=MONTH(B311))*$C$10:$C$19)+SUMPRODUCT(($B$22:$B$36&lt;&gt;"")*(YEAR($B$22:$B$36)=YEAR(B311))*(MONTH($B$22:$B$36)=MONTH(B311))*$C$22:$C$36)),"")</f>
        <v/>
      </c>
      <c r="F311" s="9">
        <f>IF(A311&lt;&gt;"",ROUND(F310-E311,2),"")</f>
        <v/>
      </c>
    </row>
    <row r="312">
      <c r="A312" s="15">
        <f>IF(AND(F311&gt;0.005,A311&lt;&gt;""),274,"")</f>
        <v/>
      </c>
      <c r="B312" s="16">
        <f>IF(A312&lt;&gt;"",EDATE(StartDate,273),"")</f>
        <v/>
      </c>
      <c r="C312" s="17">
        <f>IF(A312&lt;&gt;"",MIN(MonthlyPmt,F311+D312),"")</f>
        <v/>
      </c>
      <c r="D312" s="17">
        <f>IF(A312&lt;&gt;"",ROUND(F311*AnnualRate/12,2),"")</f>
        <v/>
      </c>
      <c r="E312" s="17">
        <f>IF(A312&lt;&gt;"",MIN(F311,(C312-D312)+SUMPRODUCT(($B$10:$B$19&lt;&gt;"")*($B$10:$B$19&lt;=B312)*($D$10:$D$19="Monthly")*$C$10:$C$19)+SUMPRODUCT(($B$10:$B$19&lt;&gt;"")*($B$10:$B$19&lt;=B312)*($D$10:$D$19="Annual")*(MONTH($B$10:$B$19)=MONTH(B312))*$C$10:$C$19)+SUMPRODUCT(($B$22:$B$36&lt;&gt;"")*(YEAR($B$22:$B$36)=YEAR(B312))*(MONTH($B$22:$B$36)=MONTH(B312))*$C$22:$C$36)),"")</f>
        <v/>
      </c>
      <c r="F312" s="17">
        <f>IF(A312&lt;&gt;"",ROUND(F311-E312,2),"")</f>
        <v/>
      </c>
    </row>
    <row r="313">
      <c r="A313" s="7">
        <f>IF(AND(F312&gt;0.005,A312&lt;&gt;""),275,"")</f>
        <v/>
      </c>
      <c r="B313" s="4">
        <f>IF(A313&lt;&gt;"",EDATE(StartDate,274),"")</f>
        <v/>
      </c>
      <c r="C313" s="9">
        <f>IF(A313&lt;&gt;"",MIN(MonthlyPmt,F312+D313),"")</f>
        <v/>
      </c>
      <c r="D313" s="9">
        <f>IF(A313&lt;&gt;"",ROUND(F312*AnnualRate/12,2),"")</f>
        <v/>
      </c>
      <c r="E313" s="9">
        <f>IF(A313&lt;&gt;"",MIN(F312,(C313-D313)+SUMPRODUCT(($B$10:$B$19&lt;&gt;"")*($B$10:$B$19&lt;=B313)*($D$10:$D$19="Monthly")*$C$10:$C$19)+SUMPRODUCT(($B$10:$B$19&lt;&gt;"")*($B$10:$B$19&lt;=B313)*($D$10:$D$19="Annual")*(MONTH($B$10:$B$19)=MONTH(B313))*$C$10:$C$19)+SUMPRODUCT(($B$22:$B$36&lt;&gt;"")*(YEAR($B$22:$B$36)=YEAR(B313))*(MONTH($B$22:$B$36)=MONTH(B313))*$C$22:$C$36)),"")</f>
        <v/>
      </c>
      <c r="F313" s="9">
        <f>IF(A313&lt;&gt;"",ROUND(F312-E313,2),"")</f>
        <v/>
      </c>
    </row>
    <row r="314">
      <c r="A314" s="15">
        <f>IF(AND(F313&gt;0.005,A313&lt;&gt;""),276,"")</f>
        <v/>
      </c>
      <c r="B314" s="16">
        <f>IF(A314&lt;&gt;"",EDATE(StartDate,275),"")</f>
        <v/>
      </c>
      <c r="C314" s="17">
        <f>IF(A314&lt;&gt;"",MIN(MonthlyPmt,F313+D314),"")</f>
        <v/>
      </c>
      <c r="D314" s="17">
        <f>IF(A314&lt;&gt;"",ROUND(F313*AnnualRate/12,2),"")</f>
        <v/>
      </c>
      <c r="E314" s="17">
        <f>IF(A314&lt;&gt;"",MIN(F313,(C314-D314)+SUMPRODUCT(($B$10:$B$19&lt;&gt;"")*($B$10:$B$19&lt;=B314)*($D$10:$D$19="Monthly")*$C$10:$C$19)+SUMPRODUCT(($B$10:$B$19&lt;&gt;"")*($B$10:$B$19&lt;=B314)*($D$10:$D$19="Annual")*(MONTH($B$10:$B$19)=MONTH(B314))*$C$10:$C$19)+SUMPRODUCT(($B$22:$B$36&lt;&gt;"")*(YEAR($B$22:$B$36)=YEAR(B314))*(MONTH($B$22:$B$36)=MONTH(B314))*$C$22:$C$36)),"")</f>
        <v/>
      </c>
      <c r="F314" s="17">
        <f>IF(A314&lt;&gt;"",ROUND(F313-E314,2),"")</f>
        <v/>
      </c>
    </row>
    <row r="315">
      <c r="A315" s="7">
        <f>IF(AND(F314&gt;0.005,A314&lt;&gt;""),277,"")</f>
        <v/>
      </c>
      <c r="B315" s="4">
        <f>IF(A315&lt;&gt;"",EDATE(StartDate,276),"")</f>
        <v/>
      </c>
      <c r="C315" s="9">
        <f>IF(A315&lt;&gt;"",MIN(MonthlyPmt,F314+D315),"")</f>
        <v/>
      </c>
      <c r="D315" s="9">
        <f>IF(A315&lt;&gt;"",ROUND(F314*AnnualRate/12,2),"")</f>
        <v/>
      </c>
      <c r="E315" s="9">
        <f>IF(A315&lt;&gt;"",MIN(F314,(C315-D315)+SUMPRODUCT(($B$10:$B$19&lt;&gt;"")*($B$10:$B$19&lt;=B315)*($D$10:$D$19="Monthly")*$C$10:$C$19)+SUMPRODUCT(($B$10:$B$19&lt;&gt;"")*($B$10:$B$19&lt;=B315)*($D$10:$D$19="Annual")*(MONTH($B$10:$B$19)=MONTH(B315))*$C$10:$C$19)+SUMPRODUCT(($B$22:$B$36&lt;&gt;"")*(YEAR($B$22:$B$36)=YEAR(B315))*(MONTH($B$22:$B$36)=MONTH(B315))*$C$22:$C$36)),"")</f>
        <v/>
      </c>
      <c r="F315" s="9">
        <f>IF(A315&lt;&gt;"",ROUND(F314-E315,2),"")</f>
        <v/>
      </c>
    </row>
    <row r="316">
      <c r="A316" s="15">
        <f>IF(AND(F315&gt;0.005,A315&lt;&gt;""),278,"")</f>
        <v/>
      </c>
      <c r="B316" s="16">
        <f>IF(A316&lt;&gt;"",EDATE(StartDate,277),"")</f>
        <v/>
      </c>
      <c r="C316" s="17">
        <f>IF(A316&lt;&gt;"",MIN(MonthlyPmt,F315+D316),"")</f>
        <v/>
      </c>
      <c r="D316" s="17">
        <f>IF(A316&lt;&gt;"",ROUND(F315*AnnualRate/12,2),"")</f>
        <v/>
      </c>
      <c r="E316" s="17">
        <f>IF(A316&lt;&gt;"",MIN(F315,(C316-D316)+SUMPRODUCT(($B$10:$B$19&lt;&gt;"")*($B$10:$B$19&lt;=B316)*($D$10:$D$19="Monthly")*$C$10:$C$19)+SUMPRODUCT(($B$10:$B$19&lt;&gt;"")*($B$10:$B$19&lt;=B316)*($D$10:$D$19="Annual")*(MONTH($B$10:$B$19)=MONTH(B316))*$C$10:$C$19)+SUMPRODUCT(($B$22:$B$36&lt;&gt;"")*(YEAR($B$22:$B$36)=YEAR(B316))*(MONTH($B$22:$B$36)=MONTH(B316))*$C$22:$C$36)),"")</f>
        <v/>
      </c>
      <c r="F316" s="17">
        <f>IF(A316&lt;&gt;"",ROUND(F315-E316,2),"")</f>
        <v/>
      </c>
    </row>
    <row r="317">
      <c r="A317" s="7">
        <f>IF(AND(F316&gt;0.005,A316&lt;&gt;""),279,"")</f>
        <v/>
      </c>
      <c r="B317" s="4">
        <f>IF(A317&lt;&gt;"",EDATE(StartDate,278),"")</f>
        <v/>
      </c>
      <c r="C317" s="9">
        <f>IF(A317&lt;&gt;"",MIN(MonthlyPmt,F316+D317),"")</f>
        <v/>
      </c>
      <c r="D317" s="9">
        <f>IF(A317&lt;&gt;"",ROUND(F316*AnnualRate/12,2),"")</f>
        <v/>
      </c>
      <c r="E317" s="9">
        <f>IF(A317&lt;&gt;"",MIN(F316,(C317-D317)+SUMPRODUCT(($B$10:$B$19&lt;&gt;"")*($B$10:$B$19&lt;=B317)*($D$10:$D$19="Monthly")*$C$10:$C$19)+SUMPRODUCT(($B$10:$B$19&lt;&gt;"")*($B$10:$B$19&lt;=B317)*($D$10:$D$19="Annual")*(MONTH($B$10:$B$19)=MONTH(B317))*$C$10:$C$19)+SUMPRODUCT(($B$22:$B$36&lt;&gt;"")*(YEAR($B$22:$B$36)=YEAR(B317))*(MONTH($B$22:$B$36)=MONTH(B317))*$C$22:$C$36)),"")</f>
        <v/>
      </c>
      <c r="F317" s="9">
        <f>IF(A317&lt;&gt;"",ROUND(F316-E317,2),"")</f>
        <v/>
      </c>
    </row>
    <row r="318">
      <c r="A318" s="15">
        <f>IF(AND(F317&gt;0.005,A317&lt;&gt;""),280,"")</f>
        <v/>
      </c>
      <c r="B318" s="16">
        <f>IF(A318&lt;&gt;"",EDATE(StartDate,279),"")</f>
        <v/>
      </c>
      <c r="C318" s="17">
        <f>IF(A318&lt;&gt;"",MIN(MonthlyPmt,F317+D318),"")</f>
        <v/>
      </c>
      <c r="D318" s="17">
        <f>IF(A318&lt;&gt;"",ROUND(F317*AnnualRate/12,2),"")</f>
        <v/>
      </c>
      <c r="E318" s="17">
        <f>IF(A318&lt;&gt;"",MIN(F317,(C318-D318)+SUMPRODUCT(($B$10:$B$19&lt;&gt;"")*($B$10:$B$19&lt;=B318)*($D$10:$D$19="Monthly")*$C$10:$C$19)+SUMPRODUCT(($B$10:$B$19&lt;&gt;"")*($B$10:$B$19&lt;=B318)*($D$10:$D$19="Annual")*(MONTH($B$10:$B$19)=MONTH(B318))*$C$10:$C$19)+SUMPRODUCT(($B$22:$B$36&lt;&gt;"")*(YEAR($B$22:$B$36)=YEAR(B318))*(MONTH($B$22:$B$36)=MONTH(B318))*$C$22:$C$36)),"")</f>
        <v/>
      </c>
      <c r="F318" s="17">
        <f>IF(A318&lt;&gt;"",ROUND(F317-E318,2),"")</f>
        <v/>
      </c>
    </row>
    <row r="319">
      <c r="A319" s="7">
        <f>IF(AND(F318&gt;0.005,A318&lt;&gt;""),281,"")</f>
        <v/>
      </c>
      <c r="B319" s="4">
        <f>IF(A319&lt;&gt;"",EDATE(StartDate,280),"")</f>
        <v/>
      </c>
      <c r="C319" s="9">
        <f>IF(A319&lt;&gt;"",MIN(MonthlyPmt,F318+D319),"")</f>
        <v/>
      </c>
      <c r="D319" s="9">
        <f>IF(A319&lt;&gt;"",ROUND(F318*AnnualRate/12,2),"")</f>
        <v/>
      </c>
      <c r="E319" s="9">
        <f>IF(A319&lt;&gt;"",MIN(F318,(C319-D319)+SUMPRODUCT(($B$10:$B$19&lt;&gt;"")*($B$10:$B$19&lt;=B319)*($D$10:$D$19="Monthly")*$C$10:$C$19)+SUMPRODUCT(($B$10:$B$19&lt;&gt;"")*($B$10:$B$19&lt;=B319)*($D$10:$D$19="Annual")*(MONTH($B$10:$B$19)=MONTH(B319))*$C$10:$C$19)+SUMPRODUCT(($B$22:$B$36&lt;&gt;"")*(YEAR($B$22:$B$36)=YEAR(B319))*(MONTH($B$22:$B$36)=MONTH(B319))*$C$22:$C$36)),"")</f>
        <v/>
      </c>
      <c r="F319" s="9">
        <f>IF(A319&lt;&gt;"",ROUND(F318-E319,2),"")</f>
        <v/>
      </c>
    </row>
    <row r="320">
      <c r="A320" s="15">
        <f>IF(AND(F319&gt;0.005,A319&lt;&gt;""),282,"")</f>
        <v/>
      </c>
      <c r="B320" s="16">
        <f>IF(A320&lt;&gt;"",EDATE(StartDate,281),"")</f>
        <v/>
      </c>
      <c r="C320" s="17">
        <f>IF(A320&lt;&gt;"",MIN(MonthlyPmt,F319+D320),"")</f>
        <v/>
      </c>
      <c r="D320" s="17">
        <f>IF(A320&lt;&gt;"",ROUND(F319*AnnualRate/12,2),"")</f>
        <v/>
      </c>
      <c r="E320" s="17">
        <f>IF(A320&lt;&gt;"",MIN(F319,(C320-D320)+SUMPRODUCT(($B$10:$B$19&lt;&gt;"")*($B$10:$B$19&lt;=B320)*($D$10:$D$19="Monthly")*$C$10:$C$19)+SUMPRODUCT(($B$10:$B$19&lt;&gt;"")*($B$10:$B$19&lt;=B320)*($D$10:$D$19="Annual")*(MONTH($B$10:$B$19)=MONTH(B320))*$C$10:$C$19)+SUMPRODUCT(($B$22:$B$36&lt;&gt;"")*(YEAR($B$22:$B$36)=YEAR(B320))*(MONTH($B$22:$B$36)=MONTH(B320))*$C$22:$C$36)),"")</f>
        <v/>
      </c>
      <c r="F320" s="17">
        <f>IF(A320&lt;&gt;"",ROUND(F319-E320,2),"")</f>
        <v/>
      </c>
    </row>
    <row r="321">
      <c r="A321" s="7">
        <f>IF(AND(F320&gt;0.005,A320&lt;&gt;""),283,"")</f>
        <v/>
      </c>
      <c r="B321" s="4">
        <f>IF(A321&lt;&gt;"",EDATE(StartDate,282),"")</f>
        <v/>
      </c>
      <c r="C321" s="9">
        <f>IF(A321&lt;&gt;"",MIN(MonthlyPmt,F320+D321),"")</f>
        <v/>
      </c>
      <c r="D321" s="9">
        <f>IF(A321&lt;&gt;"",ROUND(F320*AnnualRate/12,2),"")</f>
        <v/>
      </c>
      <c r="E321" s="9">
        <f>IF(A321&lt;&gt;"",MIN(F320,(C321-D321)+SUMPRODUCT(($B$10:$B$19&lt;&gt;"")*($B$10:$B$19&lt;=B321)*($D$10:$D$19="Monthly")*$C$10:$C$19)+SUMPRODUCT(($B$10:$B$19&lt;&gt;"")*($B$10:$B$19&lt;=B321)*($D$10:$D$19="Annual")*(MONTH($B$10:$B$19)=MONTH(B321))*$C$10:$C$19)+SUMPRODUCT(($B$22:$B$36&lt;&gt;"")*(YEAR($B$22:$B$36)=YEAR(B321))*(MONTH($B$22:$B$36)=MONTH(B321))*$C$22:$C$36)),"")</f>
        <v/>
      </c>
      <c r="F321" s="9">
        <f>IF(A321&lt;&gt;"",ROUND(F320-E321,2),"")</f>
        <v/>
      </c>
    </row>
    <row r="322">
      <c r="A322" s="15">
        <f>IF(AND(F321&gt;0.005,A321&lt;&gt;""),284,"")</f>
        <v/>
      </c>
      <c r="B322" s="16">
        <f>IF(A322&lt;&gt;"",EDATE(StartDate,283),"")</f>
        <v/>
      </c>
      <c r="C322" s="17">
        <f>IF(A322&lt;&gt;"",MIN(MonthlyPmt,F321+D322),"")</f>
        <v/>
      </c>
      <c r="D322" s="17">
        <f>IF(A322&lt;&gt;"",ROUND(F321*AnnualRate/12,2),"")</f>
        <v/>
      </c>
      <c r="E322" s="17">
        <f>IF(A322&lt;&gt;"",MIN(F321,(C322-D322)+SUMPRODUCT(($B$10:$B$19&lt;&gt;"")*($B$10:$B$19&lt;=B322)*($D$10:$D$19="Monthly")*$C$10:$C$19)+SUMPRODUCT(($B$10:$B$19&lt;&gt;"")*($B$10:$B$19&lt;=B322)*($D$10:$D$19="Annual")*(MONTH($B$10:$B$19)=MONTH(B322))*$C$10:$C$19)+SUMPRODUCT(($B$22:$B$36&lt;&gt;"")*(YEAR($B$22:$B$36)=YEAR(B322))*(MONTH($B$22:$B$36)=MONTH(B322))*$C$22:$C$36)),"")</f>
        <v/>
      </c>
      <c r="F322" s="17">
        <f>IF(A322&lt;&gt;"",ROUND(F321-E322,2),"")</f>
        <v/>
      </c>
    </row>
    <row r="323">
      <c r="A323" s="7">
        <f>IF(AND(F322&gt;0.005,A322&lt;&gt;""),285,"")</f>
        <v/>
      </c>
      <c r="B323" s="4">
        <f>IF(A323&lt;&gt;"",EDATE(StartDate,284),"")</f>
        <v/>
      </c>
      <c r="C323" s="9">
        <f>IF(A323&lt;&gt;"",MIN(MonthlyPmt,F322+D323),"")</f>
        <v/>
      </c>
      <c r="D323" s="9">
        <f>IF(A323&lt;&gt;"",ROUND(F322*AnnualRate/12,2),"")</f>
        <v/>
      </c>
      <c r="E323" s="9">
        <f>IF(A323&lt;&gt;"",MIN(F322,(C323-D323)+SUMPRODUCT(($B$10:$B$19&lt;&gt;"")*($B$10:$B$19&lt;=B323)*($D$10:$D$19="Monthly")*$C$10:$C$19)+SUMPRODUCT(($B$10:$B$19&lt;&gt;"")*($B$10:$B$19&lt;=B323)*($D$10:$D$19="Annual")*(MONTH($B$10:$B$19)=MONTH(B323))*$C$10:$C$19)+SUMPRODUCT(($B$22:$B$36&lt;&gt;"")*(YEAR($B$22:$B$36)=YEAR(B323))*(MONTH($B$22:$B$36)=MONTH(B323))*$C$22:$C$36)),"")</f>
        <v/>
      </c>
      <c r="F323" s="9">
        <f>IF(A323&lt;&gt;"",ROUND(F322-E323,2),"")</f>
        <v/>
      </c>
    </row>
    <row r="324">
      <c r="A324" s="15">
        <f>IF(AND(F323&gt;0.005,A323&lt;&gt;""),286,"")</f>
        <v/>
      </c>
      <c r="B324" s="16">
        <f>IF(A324&lt;&gt;"",EDATE(StartDate,285),"")</f>
        <v/>
      </c>
      <c r="C324" s="17">
        <f>IF(A324&lt;&gt;"",MIN(MonthlyPmt,F323+D324),"")</f>
        <v/>
      </c>
      <c r="D324" s="17">
        <f>IF(A324&lt;&gt;"",ROUND(F323*AnnualRate/12,2),"")</f>
        <v/>
      </c>
      <c r="E324" s="17">
        <f>IF(A324&lt;&gt;"",MIN(F323,(C324-D324)+SUMPRODUCT(($B$10:$B$19&lt;&gt;"")*($B$10:$B$19&lt;=B324)*($D$10:$D$19="Monthly")*$C$10:$C$19)+SUMPRODUCT(($B$10:$B$19&lt;&gt;"")*($B$10:$B$19&lt;=B324)*($D$10:$D$19="Annual")*(MONTH($B$10:$B$19)=MONTH(B324))*$C$10:$C$19)+SUMPRODUCT(($B$22:$B$36&lt;&gt;"")*(YEAR($B$22:$B$36)=YEAR(B324))*(MONTH($B$22:$B$36)=MONTH(B324))*$C$22:$C$36)),"")</f>
        <v/>
      </c>
      <c r="F324" s="17">
        <f>IF(A324&lt;&gt;"",ROUND(F323-E324,2),"")</f>
        <v/>
      </c>
    </row>
    <row r="325">
      <c r="A325" s="7">
        <f>IF(AND(F324&gt;0.005,A324&lt;&gt;""),287,"")</f>
        <v/>
      </c>
      <c r="B325" s="4">
        <f>IF(A325&lt;&gt;"",EDATE(StartDate,286),"")</f>
        <v/>
      </c>
      <c r="C325" s="9">
        <f>IF(A325&lt;&gt;"",MIN(MonthlyPmt,F324+D325),"")</f>
        <v/>
      </c>
      <c r="D325" s="9">
        <f>IF(A325&lt;&gt;"",ROUND(F324*AnnualRate/12,2),"")</f>
        <v/>
      </c>
      <c r="E325" s="9">
        <f>IF(A325&lt;&gt;"",MIN(F324,(C325-D325)+SUMPRODUCT(($B$10:$B$19&lt;&gt;"")*($B$10:$B$19&lt;=B325)*($D$10:$D$19="Monthly")*$C$10:$C$19)+SUMPRODUCT(($B$10:$B$19&lt;&gt;"")*($B$10:$B$19&lt;=B325)*($D$10:$D$19="Annual")*(MONTH($B$10:$B$19)=MONTH(B325))*$C$10:$C$19)+SUMPRODUCT(($B$22:$B$36&lt;&gt;"")*(YEAR($B$22:$B$36)=YEAR(B325))*(MONTH($B$22:$B$36)=MONTH(B325))*$C$22:$C$36)),"")</f>
        <v/>
      </c>
      <c r="F325" s="9">
        <f>IF(A325&lt;&gt;"",ROUND(F324-E325,2),"")</f>
        <v/>
      </c>
    </row>
    <row r="326">
      <c r="A326" s="15">
        <f>IF(AND(F325&gt;0.005,A325&lt;&gt;""),288,"")</f>
        <v/>
      </c>
      <c r="B326" s="16">
        <f>IF(A326&lt;&gt;"",EDATE(StartDate,287),"")</f>
        <v/>
      </c>
      <c r="C326" s="17">
        <f>IF(A326&lt;&gt;"",MIN(MonthlyPmt,F325+D326),"")</f>
        <v/>
      </c>
      <c r="D326" s="17">
        <f>IF(A326&lt;&gt;"",ROUND(F325*AnnualRate/12,2),"")</f>
        <v/>
      </c>
      <c r="E326" s="17">
        <f>IF(A326&lt;&gt;"",MIN(F325,(C326-D326)+SUMPRODUCT(($B$10:$B$19&lt;&gt;"")*($B$10:$B$19&lt;=B326)*($D$10:$D$19="Monthly")*$C$10:$C$19)+SUMPRODUCT(($B$10:$B$19&lt;&gt;"")*($B$10:$B$19&lt;=B326)*($D$10:$D$19="Annual")*(MONTH($B$10:$B$19)=MONTH(B326))*$C$10:$C$19)+SUMPRODUCT(($B$22:$B$36&lt;&gt;"")*(YEAR($B$22:$B$36)=YEAR(B326))*(MONTH($B$22:$B$36)=MONTH(B326))*$C$22:$C$36)),"")</f>
        <v/>
      </c>
      <c r="F326" s="17">
        <f>IF(A326&lt;&gt;"",ROUND(F325-E326,2),"")</f>
        <v/>
      </c>
    </row>
    <row r="327">
      <c r="A327" s="7">
        <f>IF(AND(F326&gt;0.005,A326&lt;&gt;""),289,"")</f>
        <v/>
      </c>
      <c r="B327" s="4">
        <f>IF(A327&lt;&gt;"",EDATE(StartDate,288),"")</f>
        <v/>
      </c>
      <c r="C327" s="9">
        <f>IF(A327&lt;&gt;"",MIN(MonthlyPmt,F326+D327),"")</f>
        <v/>
      </c>
      <c r="D327" s="9">
        <f>IF(A327&lt;&gt;"",ROUND(F326*AnnualRate/12,2),"")</f>
        <v/>
      </c>
      <c r="E327" s="9">
        <f>IF(A327&lt;&gt;"",MIN(F326,(C327-D327)+SUMPRODUCT(($B$10:$B$19&lt;&gt;"")*($B$10:$B$19&lt;=B327)*($D$10:$D$19="Monthly")*$C$10:$C$19)+SUMPRODUCT(($B$10:$B$19&lt;&gt;"")*($B$10:$B$19&lt;=B327)*($D$10:$D$19="Annual")*(MONTH($B$10:$B$19)=MONTH(B327))*$C$10:$C$19)+SUMPRODUCT(($B$22:$B$36&lt;&gt;"")*(YEAR($B$22:$B$36)=YEAR(B327))*(MONTH($B$22:$B$36)=MONTH(B327))*$C$22:$C$36)),"")</f>
        <v/>
      </c>
      <c r="F327" s="9">
        <f>IF(A327&lt;&gt;"",ROUND(F326-E327,2),"")</f>
        <v/>
      </c>
    </row>
    <row r="328">
      <c r="A328" s="15">
        <f>IF(AND(F327&gt;0.005,A327&lt;&gt;""),290,"")</f>
        <v/>
      </c>
      <c r="B328" s="16">
        <f>IF(A328&lt;&gt;"",EDATE(StartDate,289),"")</f>
        <v/>
      </c>
      <c r="C328" s="17">
        <f>IF(A328&lt;&gt;"",MIN(MonthlyPmt,F327+D328),"")</f>
        <v/>
      </c>
      <c r="D328" s="17">
        <f>IF(A328&lt;&gt;"",ROUND(F327*AnnualRate/12,2),"")</f>
        <v/>
      </c>
      <c r="E328" s="17">
        <f>IF(A328&lt;&gt;"",MIN(F327,(C328-D328)+SUMPRODUCT(($B$10:$B$19&lt;&gt;"")*($B$10:$B$19&lt;=B328)*($D$10:$D$19="Monthly")*$C$10:$C$19)+SUMPRODUCT(($B$10:$B$19&lt;&gt;"")*($B$10:$B$19&lt;=B328)*($D$10:$D$19="Annual")*(MONTH($B$10:$B$19)=MONTH(B328))*$C$10:$C$19)+SUMPRODUCT(($B$22:$B$36&lt;&gt;"")*(YEAR($B$22:$B$36)=YEAR(B328))*(MONTH($B$22:$B$36)=MONTH(B328))*$C$22:$C$36)),"")</f>
        <v/>
      </c>
      <c r="F328" s="17">
        <f>IF(A328&lt;&gt;"",ROUND(F327-E328,2),"")</f>
        <v/>
      </c>
    </row>
    <row r="329">
      <c r="A329" s="7">
        <f>IF(AND(F328&gt;0.005,A328&lt;&gt;""),291,"")</f>
        <v/>
      </c>
      <c r="B329" s="4">
        <f>IF(A329&lt;&gt;"",EDATE(StartDate,290),"")</f>
        <v/>
      </c>
      <c r="C329" s="9">
        <f>IF(A329&lt;&gt;"",MIN(MonthlyPmt,F328+D329),"")</f>
        <v/>
      </c>
      <c r="D329" s="9">
        <f>IF(A329&lt;&gt;"",ROUND(F328*AnnualRate/12,2),"")</f>
        <v/>
      </c>
      <c r="E329" s="9">
        <f>IF(A329&lt;&gt;"",MIN(F328,(C329-D329)+SUMPRODUCT(($B$10:$B$19&lt;&gt;"")*($B$10:$B$19&lt;=B329)*($D$10:$D$19="Monthly")*$C$10:$C$19)+SUMPRODUCT(($B$10:$B$19&lt;&gt;"")*($B$10:$B$19&lt;=B329)*($D$10:$D$19="Annual")*(MONTH($B$10:$B$19)=MONTH(B329))*$C$10:$C$19)+SUMPRODUCT(($B$22:$B$36&lt;&gt;"")*(YEAR($B$22:$B$36)=YEAR(B329))*(MONTH($B$22:$B$36)=MONTH(B329))*$C$22:$C$36)),"")</f>
        <v/>
      </c>
      <c r="F329" s="9">
        <f>IF(A329&lt;&gt;"",ROUND(F328-E329,2),"")</f>
        <v/>
      </c>
    </row>
    <row r="330">
      <c r="A330" s="15">
        <f>IF(AND(F329&gt;0.005,A329&lt;&gt;""),292,"")</f>
        <v/>
      </c>
      <c r="B330" s="16">
        <f>IF(A330&lt;&gt;"",EDATE(StartDate,291),"")</f>
        <v/>
      </c>
      <c r="C330" s="17">
        <f>IF(A330&lt;&gt;"",MIN(MonthlyPmt,F329+D330),"")</f>
        <v/>
      </c>
      <c r="D330" s="17">
        <f>IF(A330&lt;&gt;"",ROUND(F329*AnnualRate/12,2),"")</f>
        <v/>
      </c>
      <c r="E330" s="17">
        <f>IF(A330&lt;&gt;"",MIN(F329,(C330-D330)+SUMPRODUCT(($B$10:$B$19&lt;&gt;"")*($B$10:$B$19&lt;=B330)*($D$10:$D$19="Monthly")*$C$10:$C$19)+SUMPRODUCT(($B$10:$B$19&lt;&gt;"")*($B$10:$B$19&lt;=B330)*($D$10:$D$19="Annual")*(MONTH($B$10:$B$19)=MONTH(B330))*$C$10:$C$19)+SUMPRODUCT(($B$22:$B$36&lt;&gt;"")*(YEAR($B$22:$B$36)=YEAR(B330))*(MONTH($B$22:$B$36)=MONTH(B330))*$C$22:$C$36)),"")</f>
        <v/>
      </c>
      <c r="F330" s="17">
        <f>IF(A330&lt;&gt;"",ROUND(F329-E330,2),"")</f>
        <v/>
      </c>
    </row>
    <row r="331">
      <c r="A331" s="7">
        <f>IF(AND(F330&gt;0.005,A330&lt;&gt;""),293,"")</f>
        <v/>
      </c>
      <c r="B331" s="4">
        <f>IF(A331&lt;&gt;"",EDATE(StartDate,292),"")</f>
        <v/>
      </c>
      <c r="C331" s="9">
        <f>IF(A331&lt;&gt;"",MIN(MonthlyPmt,F330+D331),"")</f>
        <v/>
      </c>
      <c r="D331" s="9">
        <f>IF(A331&lt;&gt;"",ROUND(F330*AnnualRate/12,2),"")</f>
        <v/>
      </c>
      <c r="E331" s="9">
        <f>IF(A331&lt;&gt;"",MIN(F330,(C331-D331)+SUMPRODUCT(($B$10:$B$19&lt;&gt;"")*($B$10:$B$19&lt;=B331)*($D$10:$D$19="Monthly")*$C$10:$C$19)+SUMPRODUCT(($B$10:$B$19&lt;&gt;"")*($B$10:$B$19&lt;=B331)*($D$10:$D$19="Annual")*(MONTH($B$10:$B$19)=MONTH(B331))*$C$10:$C$19)+SUMPRODUCT(($B$22:$B$36&lt;&gt;"")*(YEAR($B$22:$B$36)=YEAR(B331))*(MONTH($B$22:$B$36)=MONTH(B331))*$C$22:$C$36)),"")</f>
        <v/>
      </c>
      <c r="F331" s="9">
        <f>IF(A331&lt;&gt;"",ROUND(F330-E331,2),"")</f>
        <v/>
      </c>
    </row>
    <row r="332">
      <c r="A332" s="15">
        <f>IF(AND(F331&gt;0.005,A331&lt;&gt;""),294,"")</f>
        <v/>
      </c>
      <c r="B332" s="16">
        <f>IF(A332&lt;&gt;"",EDATE(StartDate,293),"")</f>
        <v/>
      </c>
      <c r="C332" s="17">
        <f>IF(A332&lt;&gt;"",MIN(MonthlyPmt,F331+D332),"")</f>
        <v/>
      </c>
      <c r="D332" s="17">
        <f>IF(A332&lt;&gt;"",ROUND(F331*AnnualRate/12,2),"")</f>
        <v/>
      </c>
      <c r="E332" s="17">
        <f>IF(A332&lt;&gt;"",MIN(F331,(C332-D332)+SUMPRODUCT(($B$10:$B$19&lt;&gt;"")*($B$10:$B$19&lt;=B332)*($D$10:$D$19="Monthly")*$C$10:$C$19)+SUMPRODUCT(($B$10:$B$19&lt;&gt;"")*($B$10:$B$19&lt;=B332)*($D$10:$D$19="Annual")*(MONTH($B$10:$B$19)=MONTH(B332))*$C$10:$C$19)+SUMPRODUCT(($B$22:$B$36&lt;&gt;"")*(YEAR($B$22:$B$36)=YEAR(B332))*(MONTH($B$22:$B$36)=MONTH(B332))*$C$22:$C$36)),"")</f>
        <v/>
      </c>
      <c r="F332" s="17">
        <f>IF(A332&lt;&gt;"",ROUND(F331-E332,2),"")</f>
        <v/>
      </c>
    </row>
    <row r="333">
      <c r="A333" s="7">
        <f>IF(AND(F332&gt;0.005,A332&lt;&gt;""),295,"")</f>
        <v/>
      </c>
      <c r="B333" s="4">
        <f>IF(A333&lt;&gt;"",EDATE(StartDate,294),"")</f>
        <v/>
      </c>
      <c r="C333" s="9">
        <f>IF(A333&lt;&gt;"",MIN(MonthlyPmt,F332+D333),"")</f>
        <v/>
      </c>
      <c r="D333" s="9">
        <f>IF(A333&lt;&gt;"",ROUND(F332*AnnualRate/12,2),"")</f>
        <v/>
      </c>
      <c r="E333" s="9">
        <f>IF(A333&lt;&gt;"",MIN(F332,(C333-D333)+SUMPRODUCT(($B$10:$B$19&lt;&gt;"")*($B$10:$B$19&lt;=B333)*($D$10:$D$19="Monthly")*$C$10:$C$19)+SUMPRODUCT(($B$10:$B$19&lt;&gt;"")*($B$10:$B$19&lt;=B333)*($D$10:$D$19="Annual")*(MONTH($B$10:$B$19)=MONTH(B333))*$C$10:$C$19)+SUMPRODUCT(($B$22:$B$36&lt;&gt;"")*(YEAR($B$22:$B$36)=YEAR(B333))*(MONTH($B$22:$B$36)=MONTH(B333))*$C$22:$C$36)),"")</f>
        <v/>
      </c>
      <c r="F333" s="9">
        <f>IF(A333&lt;&gt;"",ROUND(F332-E333,2),"")</f>
        <v/>
      </c>
    </row>
    <row r="334">
      <c r="A334" s="15">
        <f>IF(AND(F333&gt;0.005,A333&lt;&gt;""),296,"")</f>
        <v/>
      </c>
      <c r="B334" s="16">
        <f>IF(A334&lt;&gt;"",EDATE(StartDate,295),"")</f>
        <v/>
      </c>
      <c r="C334" s="17">
        <f>IF(A334&lt;&gt;"",MIN(MonthlyPmt,F333+D334),"")</f>
        <v/>
      </c>
      <c r="D334" s="17">
        <f>IF(A334&lt;&gt;"",ROUND(F333*AnnualRate/12,2),"")</f>
        <v/>
      </c>
      <c r="E334" s="17">
        <f>IF(A334&lt;&gt;"",MIN(F333,(C334-D334)+SUMPRODUCT(($B$10:$B$19&lt;&gt;"")*($B$10:$B$19&lt;=B334)*($D$10:$D$19="Monthly")*$C$10:$C$19)+SUMPRODUCT(($B$10:$B$19&lt;&gt;"")*($B$10:$B$19&lt;=B334)*($D$10:$D$19="Annual")*(MONTH($B$10:$B$19)=MONTH(B334))*$C$10:$C$19)+SUMPRODUCT(($B$22:$B$36&lt;&gt;"")*(YEAR($B$22:$B$36)=YEAR(B334))*(MONTH($B$22:$B$36)=MONTH(B334))*$C$22:$C$36)),"")</f>
        <v/>
      </c>
      <c r="F334" s="17">
        <f>IF(A334&lt;&gt;"",ROUND(F333-E334,2),"")</f>
        <v/>
      </c>
    </row>
    <row r="335">
      <c r="A335" s="7">
        <f>IF(AND(F334&gt;0.005,A334&lt;&gt;""),297,"")</f>
        <v/>
      </c>
      <c r="B335" s="4">
        <f>IF(A335&lt;&gt;"",EDATE(StartDate,296),"")</f>
        <v/>
      </c>
      <c r="C335" s="9">
        <f>IF(A335&lt;&gt;"",MIN(MonthlyPmt,F334+D335),"")</f>
        <v/>
      </c>
      <c r="D335" s="9">
        <f>IF(A335&lt;&gt;"",ROUND(F334*AnnualRate/12,2),"")</f>
        <v/>
      </c>
      <c r="E335" s="9">
        <f>IF(A335&lt;&gt;"",MIN(F334,(C335-D335)+SUMPRODUCT(($B$10:$B$19&lt;&gt;"")*($B$10:$B$19&lt;=B335)*($D$10:$D$19="Monthly")*$C$10:$C$19)+SUMPRODUCT(($B$10:$B$19&lt;&gt;"")*($B$10:$B$19&lt;=B335)*($D$10:$D$19="Annual")*(MONTH($B$10:$B$19)=MONTH(B335))*$C$10:$C$19)+SUMPRODUCT(($B$22:$B$36&lt;&gt;"")*(YEAR($B$22:$B$36)=YEAR(B335))*(MONTH($B$22:$B$36)=MONTH(B335))*$C$22:$C$36)),"")</f>
        <v/>
      </c>
      <c r="F335" s="9">
        <f>IF(A335&lt;&gt;"",ROUND(F334-E335,2),"")</f>
        <v/>
      </c>
    </row>
    <row r="336">
      <c r="A336" s="15">
        <f>IF(AND(F335&gt;0.005,A335&lt;&gt;""),298,"")</f>
        <v/>
      </c>
      <c r="B336" s="16">
        <f>IF(A336&lt;&gt;"",EDATE(StartDate,297),"")</f>
        <v/>
      </c>
      <c r="C336" s="17">
        <f>IF(A336&lt;&gt;"",MIN(MonthlyPmt,F335+D336),"")</f>
        <v/>
      </c>
      <c r="D336" s="17">
        <f>IF(A336&lt;&gt;"",ROUND(F335*AnnualRate/12,2),"")</f>
        <v/>
      </c>
      <c r="E336" s="17">
        <f>IF(A336&lt;&gt;"",MIN(F335,(C336-D336)+SUMPRODUCT(($B$10:$B$19&lt;&gt;"")*($B$10:$B$19&lt;=B336)*($D$10:$D$19="Monthly")*$C$10:$C$19)+SUMPRODUCT(($B$10:$B$19&lt;&gt;"")*($B$10:$B$19&lt;=B336)*($D$10:$D$19="Annual")*(MONTH($B$10:$B$19)=MONTH(B336))*$C$10:$C$19)+SUMPRODUCT(($B$22:$B$36&lt;&gt;"")*(YEAR($B$22:$B$36)=YEAR(B336))*(MONTH($B$22:$B$36)=MONTH(B336))*$C$22:$C$36)),"")</f>
        <v/>
      </c>
      <c r="F336" s="17">
        <f>IF(A336&lt;&gt;"",ROUND(F335-E336,2),"")</f>
        <v/>
      </c>
    </row>
    <row r="337">
      <c r="A337" s="7">
        <f>IF(AND(F336&gt;0.005,A336&lt;&gt;""),299,"")</f>
        <v/>
      </c>
      <c r="B337" s="4">
        <f>IF(A337&lt;&gt;"",EDATE(StartDate,298),"")</f>
        <v/>
      </c>
      <c r="C337" s="9">
        <f>IF(A337&lt;&gt;"",MIN(MonthlyPmt,F336+D337),"")</f>
        <v/>
      </c>
      <c r="D337" s="9">
        <f>IF(A337&lt;&gt;"",ROUND(F336*AnnualRate/12,2),"")</f>
        <v/>
      </c>
      <c r="E337" s="9">
        <f>IF(A337&lt;&gt;"",MIN(F336,(C337-D337)+SUMPRODUCT(($B$10:$B$19&lt;&gt;"")*($B$10:$B$19&lt;=B337)*($D$10:$D$19="Monthly")*$C$10:$C$19)+SUMPRODUCT(($B$10:$B$19&lt;&gt;"")*($B$10:$B$19&lt;=B337)*($D$10:$D$19="Annual")*(MONTH($B$10:$B$19)=MONTH(B337))*$C$10:$C$19)+SUMPRODUCT(($B$22:$B$36&lt;&gt;"")*(YEAR($B$22:$B$36)=YEAR(B337))*(MONTH($B$22:$B$36)=MONTH(B337))*$C$22:$C$36)),"")</f>
        <v/>
      </c>
      <c r="F337" s="9">
        <f>IF(A337&lt;&gt;"",ROUND(F336-E337,2),"")</f>
        <v/>
      </c>
    </row>
    <row r="338">
      <c r="A338" s="15">
        <f>IF(AND(F337&gt;0.005,A337&lt;&gt;""),300,"")</f>
        <v/>
      </c>
      <c r="B338" s="16">
        <f>IF(A338&lt;&gt;"",EDATE(StartDate,299),"")</f>
        <v/>
      </c>
      <c r="C338" s="17">
        <f>IF(A338&lt;&gt;"",MIN(MonthlyPmt,F337+D338),"")</f>
        <v/>
      </c>
      <c r="D338" s="17">
        <f>IF(A338&lt;&gt;"",ROUND(F337*AnnualRate/12,2),"")</f>
        <v/>
      </c>
      <c r="E338" s="17">
        <f>IF(A338&lt;&gt;"",MIN(F337,(C338-D338)+SUMPRODUCT(($B$10:$B$19&lt;&gt;"")*($B$10:$B$19&lt;=B338)*($D$10:$D$19="Monthly")*$C$10:$C$19)+SUMPRODUCT(($B$10:$B$19&lt;&gt;"")*($B$10:$B$19&lt;=B338)*($D$10:$D$19="Annual")*(MONTH($B$10:$B$19)=MONTH(B338))*$C$10:$C$19)+SUMPRODUCT(($B$22:$B$36&lt;&gt;"")*(YEAR($B$22:$B$36)=YEAR(B338))*(MONTH($B$22:$B$36)=MONTH(B338))*$C$22:$C$36)),"")</f>
        <v/>
      </c>
      <c r="F338" s="17">
        <f>IF(A338&lt;&gt;"",ROUND(F337-E338,2),"")</f>
        <v/>
      </c>
    </row>
    <row r="339">
      <c r="A339" s="7">
        <f>IF(AND(F338&gt;0.005,A338&lt;&gt;""),301,"")</f>
        <v/>
      </c>
      <c r="B339" s="4">
        <f>IF(A339&lt;&gt;"",EDATE(StartDate,300),"")</f>
        <v/>
      </c>
      <c r="C339" s="9">
        <f>IF(A339&lt;&gt;"",MIN(MonthlyPmt,F338+D339),"")</f>
        <v/>
      </c>
      <c r="D339" s="9">
        <f>IF(A339&lt;&gt;"",ROUND(F338*AnnualRate/12,2),"")</f>
        <v/>
      </c>
      <c r="E339" s="9">
        <f>IF(A339&lt;&gt;"",MIN(F338,(C339-D339)+SUMPRODUCT(($B$10:$B$19&lt;&gt;"")*($B$10:$B$19&lt;=B339)*($D$10:$D$19="Monthly")*$C$10:$C$19)+SUMPRODUCT(($B$10:$B$19&lt;&gt;"")*($B$10:$B$19&lt;=B339)*($D$10:$D$19="Annual")*(MONTH($B$10:$B$19)=MONTH(B339))*$C$10:$C$19)+SUMPRODUCT(($B$22:$B$36&lt;&gt;"")*(YEAR($B$22:$B$36)=YEAR(B339))*(MONTH($B$22:$B$36)=MONTH(B339))*$C$22:$C$36)),"")</f>
        <v/>
      </c>
      <c r="F339" s="9">
        <f>IF(A339&lt;&gt;"",ROUND(F338-E339,2),"")</f>
        <v/>
      </c>
    </row>
    <row r="340">
      <c r="A340" s="15">
        <f>IF(AND(F339&gt;0.005,A339&lt;&gt;""),302,"")</f>
        <v/>
      </c>
      <c r="B340" s="16">
        <f>IF(A340&lt;&gt;"",EDATE(StartDate,301),"")</f>
        <v/>
      </c>
      <c r="C340" s="17">
        <f>IF(A340&lt;&gt;"",MIN(MonthlyPmt,F339+D340),"")</f>
        <v/>
      </c>
      <c r="D340" s="17">
        <f>IF(A340&lt;&gt;"",ROUND(F339*AnnualRate/12,2),"")</f>
        <v/>
      </c>
      <c r="E340" s="17">
        <f>IF(A340&lt;&gt;"",MIN(F339,(C340-D340)+SUMPRODUCT(($B$10:$B$19&lt;&gt;"")*($B$10:$B$19&lt;=B340)*($D$10:$D$19="Monthly")*$C$10:$C$19)+SUMPRODUCT(($B$10:$B$19&lt;&gt;"")*($B$10:$B$19&lt;=B340)*($D$10:$D$19="Annual")*(MONTH($B$10:$B$19)=MONTH(B340))*$C$10:$C$19)+SUMPRODUCT(($B$22:$B$36&lt;&gt;"")*(YEAR($B$22:$B$36)=YEAR(B340))*(MONTH($B$22:$B$36)=MONTH(B340))*$C$22:$C$36)),"")</f>
        <v/>
      </c>
      <c r="F340" s="17">
        <f>IF(A340&lt;&gt;"",ROUND(F339-E340,2),"")</f>
        <v/>
      </c>
    </row>
    <row r="341">
      <c r="A341" s="7">
        <f>IF(AND(F340&gt;0.005,A340&lt;&gt;""),303,"")</f>
        <v/>
      </c>
      <c r="B341" s="4">
        <f>IF(A341&lt;&gt;"",EDATE(StartDate,302),"")</f>
        <v/>
      </c>
      <c r="C341" s="9">
        <f>IF(A341&lt;&gt;"",MIN(MonthlyPmt,F340+D341),"")</f>
        <v/>
      </c>
      <c r="D341" s="9">
        <f>IF(A341&lt;&gt;"",ROUND(F340*AnnualRate/12,2),"")</f>
        <v/>
      </c>
      <c r="E341" s="9">
        <f>IF(A341&lt;&gt;"",MIN(F340,(C341-D341)+SUMPRODUCT(($B$10:$B$19&lt;&gt;"")*($B$10:$B$19&lt;=B341)*($D$10:$D$19="Monthly")*$C$10:$C$19)+SUMPRODUCT(($B$10:$B$19&lt;&gt;"")*($B$10:$B$19&lt;=B341)*($D$10:$D$19="Annual")*(MONTH($B$10:$B$19)=MONTH(B341))*$C$10:$C$19)+SUMPRODUCT(($B$22:$B$36&lt;&gt;"")*(YEAR($B$22:$B$36)=YEAR(B341))*(MONTH($B$22:$B$36)=MONTH(B341))*$C$22:$C$36)),"")</f>
        <v/>
      </c>
      <c r="F341" s="9">
        <f>IF(A341&lt;&gt;"",ROUND(F340-E341,2),"")</f>
        <v/>
      </c>
    </row>
    <row r="342">
      <c r="A342" s="15">
        <f>IF(AND(F341&gt;0.005,A341&lt;&gt;""),304,"")</f>
        <v/>
      </c>
      <c r="B342" s="16">
        <f>IF(A342&lt;&gt;"",EDATE(StartDate,303),"")</f>
        <v/>
      </c>
      <c r="C342" s="17">
        <f>IF(A342&lt;&gt;"",MIN(MonthlyPmt,F341+D342),"")</f>
        <v/>
      </c>
      <c r="D342" s="17">
        <f>IF(A342&lt;&gt;"",ROUND(F341*AnnualRate/12,2),"")</f>
        <v/>
      </c>
      <c r="E342" s="17">
        <f>IF(A342&lt;&gt;"",MIN(F341,(C342-D342)+SUMPRODUCT(($B$10:$B$19&lt;&gt;"")*($B$10:$B$19&lt;=B342)*($D$10:$D$19="Monthly")*$C$10:$C$19)+SUMPRODUCT(($B$10:$B$19&lt;&gt;"")*($B$10:$B$19&lt;=B342)*($D$10:$D$19="Annual")*(MONTH($B$10:$B$19)=MONTH(B342))*$C$10:$C$19)+SUMPRODUCT(($B$22:$B$36&lt;&gt;"")*(YEAR($B$22:$B$36)=YEAR(B342))*(MONTH($B$22:$B$36)=MONTH(B342))*$C$22:$C$36)),"")</f>
        <v/>
      </c>
      <c r="F342" s="17">
        <f>IF(A342&lt;&gt;"",ROUND(F341-E342,2),"")</f>
        <v/>
      </c>
    </row>
    <row r="343">
      <c r="A343" s="7">
        <f>IF(AND(F342&gt;0.005,A342&lt;&gt;""),305,"")</f>
        <v/>
      </c>
      <c r="B343" s="4">
        <f>IF(A343&lt;&gt;"",EDATE(StartDate,304),"")</f>
        <v/>
      </c>
      <c r="C343" s="9">
        <f>IF(A343&lt;&gt;"",MIN(MonthlyPmt,F342+D343),"")</f>
        <v/>
      </c>
      <c r="D343" s="9">
        <f>IF(A343&lt;&gt;"",ROUND(F342*AnnualRate/12,2),"")</f>
        <v/>
      </c>
      <c r="E343" s="9">
        <f>IF(A343&lt;&gt;"",MIN(F342,(C343-D343)+SUMPRODUCT(($B$10:$B$19&lt;&gt;"")*($B$10:$B$19&lt;=B343)*($D$10:$D$19="Monthly")*$C$10:$C$19)+SUMPRODUCT(($B$10:$B$19&lt;&gt;"")*($B$10:$B$19&lt;=B343)*($D$10:$D$19="Annual")*(MONTH($B$10:$B$19)=MONTH(B343))*$C$10:$C$19)+SUMPRODUCT(($B$22:$B$36&lt;&gt;"")*(YEAR($B$22:$B$36)=YEAR(B343))*(MONTH($B$22:$B$36)=MONTH(B343))*$C$22:$C$36)),"")</f>
        <v/>
      </c>
      <c r="F343" s="9">
        <f>IF(A343&lt;&gt;"",ROUND(F342-E343,2),"")</f>
        <v/>
      </c>
    </row>
    <row r="344">
      <c r="A344" s="15">
        <f>IF(AND(F343&gt;0.005,A343&lt;&gt;""),306,"")</f>
        <v/>
      </c>
      <c r="B344" s="16">
        <f>IF(A344&lt;&gt;"",EDATE(StartDate,305),"")</f>
        <v/>
      </c>
      <c r="C344" s="17">
        <f>IF(A344&lt;&gt;"",MIN(MonthlyPmt,F343+D344),"")</f>
        <v/>
      </c>
      <c r="D344" s="17">
        <f>IF(A344&lt;&gt;"",ROUND(F343*AnnualRate/12,2),"")</f>
        <v/>
      </c>
      <c r="E344" s="17">
        <f>IF(A344&lt;&gt;"",MIN(F343,(C344-D344)+SUMPRODUCT(($B$10:$B$19&lt;&gt;"")*($B$10:$B$19&lt;=B344)*($D$10:$D$19="Monthly")*$C$10:$C$19)+SUMPRODUCT(($B$10:$B$19&lt;&gt;"")*($B$10:$B$19&lt;=B344)*($D$10:$D$19="Annual")*(MONTH($B$10:$B$19)=MONTH(B344))*$C$10:$C$19)+SUMPRODUCT(($B$22:$B$36&lt;&gt;"")*(YEAR($B$22:$B$36)=YEAR(B344))*(MONTH($B$22:$B$36)=MONTH(B344))*$C$22:$C$36)),"")</f>
        <v/>
      </c>
      <c r="F344" s="17">
        <f>IF(A344&lt;&gt;"",ROUND(F343-E344,2),"")</f>
        <v/>
      </c>
    </row>
    <row r="345">
      <c r="A345" s="7">
        <f>IF(AND(F344&gt;0.005,A344&lt;&gt;""),307,"")</f>
        <v/>
      </c>
      <c r="B345" s="4">
        <f>IF(A345&lt;&gt;"",EDATE(StartDate,306),"")</f>
        <v/>
      </c>
      <c r="C345" s="9">
        <f>IF(A345&lt;&gt;"",MIN(MonthlyPmt,F344+D345),"")</f>
        <v/>
      </c>
      <c r="D345" s="9">
        <f>IF(A345&lt;&gt;"",ROUND(F344*AnnualRate/12,2),"")</f>
        <v/>
      </c>
      <c r="E345" s="9">
        <f>IF(A345&lt;&gt;"",MIN(F344,(C345-D345)+SUMPRODUCT(($B$10:$B$19&lt;&gt;"")*($B$10:$B$19&lt;=B345)*($D$10:$D$19="Monthly")*$C$10:$C$19)+SUMPRODUCT(($B$10:$B$19&lt;&gt;"")*($B$10:$B$19&lt;=B345)*($D$10:$D$19="Annual")*(MONTH($B$10:$B$19)=MONTH(B345))*$C$10:$C$19)+SUMPRODUCT(($B$22:$B$36&lt;&gt;"")*(YEAR($B$22:$B$36)=YEAR(B345))*(MONTH($B$22:$B$36)=MONTH(B345))*$C$22:$C$36)),"")</f>
        <v/>
      </c>
      <c r="F345" s="9">
        <f>IF(A345&lt;&gt;"",ROUND(F344-E345,2),"")</f>
        <v/>
      </c>
    </row>
    <row r="346">
      <c r="A346" s="15">
        <f>IF(AND(F345&gt;0.005,A345&lt;&gt;""),308,"")</f>
        <v/>
      </c>
      <c r="B346" s="16">
        <f>IF(A346&lt;&gt;"",EDATE(StartDate,307),"")</f>
        <v/>
      </c>
      <c r="C346" s="17">
        <f>IF(A346&lt;&gt;"",MIN(MonthlyPmt,F345+D346),"")</f>
        <v/>
      </c>
      <c r="D346" s="17">
        <f>IF(A346&lt;&gt;"",ROUND(F345*AnnualRate/12,2),"")</f>
        <v/>
      </c>
      <c r="E346" s="17">
        <f>IF(A346&lt;&gt;"",MIN(F345,(C346-D346)+SUMPRODUCT(($B$10:$B$19&lt;&gt;"")*($B$10:$B$19&lt;=B346)*($D$10:$D$19="Monthly")*$C$10:$C$19)+SUMPRODUCT(($B$10:$B$19&lt;&gt;"")*($B$10:$B$19&lt;=B346)*($D$10:$D$19="Annual")*(MONTH($B$10:$B$19)=MONTH(B346))*$C$10:$C$19)+SUMPRODUCT(($B$22:$B$36&lt;&gt;"")*(YEAR($B$22:$B$36)=YEAR(B346))*(MONTH($B$22:$B$36)=MONTH(B346))*$C$22:$C$36)),"")</f>
        <v/>
      </c>
      <c r="F346" s="17">
        <f>IF(A346&lt;&gt;"",ROUND(F345-E346,2),"")</f>
        <v/>
      </c>
    </row>
    <row r="347">
      <c r="A347" s="7">
        <f>IF(AND(F346&gt;0.005,A346&lt;&gt;""),309,"")</f>
        <v/>
      </c>
      <c r="B347" s="4">
        <f>IF(A347&lt;&gt;"",EDATE(StartDate,308),"")</f>
        <v/>
      </c>
      <c r="C347" s="9">
        <f>IF(A347&lt;&gt;"",MIN(MonthlyPmt,F346+D347),"")</f>
        <v/>
      </c>
      <c r="D347" s="9">
        <f>IF(A347&lt;&gt;"",ROUND(F346*AnnualRate/12,2),"")</f>
        <v/>
      </c>
      <c r="E347" s="9">
        <f>IF(A347&lt;&gt;"",MIN(F346,(C347-D347)+SUMPRODUCT(($B$10:$B$19&lt;&gt;"")*($B$10:$B$19&lt;=B347)*($D$10:$D$19="Monthly")*$C$10:$C$19)+SUMPRODUCT(($B$10:$B$19&lt;&gt;"")*($B$10:$B$19&lt;=B347)*($D$10:$D$19="Annual")*(MONTH($B$10:$B$19)=MONTH(B347))*$C$10:$C$19)+SUMPRODUCT(($B$22:$B$36&lt;&gt;"")*(YEAR($B$22:$B$36)=YEAR(B347))*(MONTH($B$22:$B$36)=MONTH(B347))*$C$22:$C$36)),"")</f>
        <v/>
      </c>
      <c r="F347" s="9">
        <f>IF(A347&lt;&gt;"",ROUND(F346-E347,2),"")</f>
        <v/>
      </c>
    </row>
    <row r="348">
      <c r="A348" s="15">
        <f>IF(AND(F347&gt;0.005,A347&lt;&gt;""),310,"")</f>
        <v/>
      </c>
      <c r="B348" s="16">
        <f>IF(A348&lt;&gt;"",EDATE(StartDate,309),"")</f>
        <v/>
      </c>
      <c r="C348" s="17">
        <f>IF(A348&lt;&gt;"",MIN(MonthlyPmt,F347+D348),"")</f>
        <v/>
      </c>
      <c r="D348" s="17">
        <f>IF(A348&lt;&gt;"",ROUND(F347*AnnualRate/12,2),"")</f>
        <v/>
      </c>
      <c r="E348" s="17">
        <f>IF(A348&lt;&gt;"",MIN(F347,(C348-D348)+SUMPRODUCT(($B$10:$B$19&lt;&gt;"")*($B$10:$B$19&lt;=B348)*($D$10:$D$19="Monthly")*$C$10:$C$19)+SUMPRODUCT(($B$10:$B$19&lt;&gt;"")*($B$10:$B$19&lt;=B348)*($D$10:$D$19="Annual")*(MONTH($B$10:$B$19)=MONTH(B348))*$C$10:$C$19)+SUMPRODUCT(($B$22:$B$36&lt;&gt;"")*(YEAR($B$22:$B$36)=YEAR(B348))*(MONTH($B$22:$B$36)=MONTH(B348))*$C$22:$C$36)),"")</f>
        <v/>
      </c>
      <c r="F348" s="17">
        <f>IF(A348&lt;&gt;"",ROUND(F347-E348,2),"")</f>
        <v/>
      </c>
    </row>
    <row r="349">
      <c r="A349" s="7">
        <f>IF(AND(F348&gt;0.005,A348&lt;&gt;""),311,"")</f>
        <v/>
      </c>
      <c r="B349" s="4">
        <f>IF(A349&lt;&gt;"",EDATE(StartDate,310),"")</f>
        <v/>
      </c>
      <c r="C349" s="9">
        <f>IF(A349&lt;&gt;"",MIN(MonthlyPmt,F348+D349),"")</f>
        <v/>
      </c>
      <c r="D349" s="9">
        <f>IF(A349&lt;&gt;"",ROUND(F348*AnnualRate/12,2),"")</f>
        <v/>
      </c>
      <c r="E349" s="9">
        <f>IF(A349&lt;&gt;"",MIN(F348,(C349-D349)+SUMPRODUCT(($B$10:$B$19&lt;&gt;"")*($B$10:$B$19&lt;=B349)*($D$10:$D$19="Monthly")*$C$10:$C$19)+SUMPRODUCT(($B$10:$B$19&lt;&gt;"")*($B$10:$B$19&lt;=B349)*($D$10:$D$19="Annual")*(MONTH($B$10:$B$19)=MONTH(B349))*$C$10:$C$19)+SUMPRODUCT(($B$22:$B$36&lt;&gt;"")*(YEAR($B$22:$B$36)=YEAR(B349))*(MONTH($B$22:$B$36)=MONTH(B349))*$C$22:$C$36)),"")</f>
        <v/>
      </c>
      <c r="F349" s="9">
        <f>IF(A349&lt;&gt;"",ROUND(F348-E349,2),"")</f>
        <v/>
      </c>
    </row>
    <row r="350">
      <c r="A350" s="15">
        <f>IF(AND(F349&gt;0.005,A349&lt;&gt;""),312,"")</f>
        <v/>
      </c>
      <c r="B350" s="16">
        <f>IF(A350&lt;&gt;"",EDATE(StartDate,311),"")</f>
        <v/>
      </c>
      <c r="C350" s="17">
        <f>IF(A350&lt;&gt;"",MIN(MonthlyPmt,F349+D350),"")</f>
        <v/>
      </c>
      <c r="D350" s="17">
        <f>IF(A350&lt;&gt;"",ROUND(F349*AnnualRate/12,2),"")</f>
        <v/>
      </c>
      <c r="E350" s="17">
        <f>IF(A350&lt;&gt;"",MIN(F349,(C350-D350)+SUMPRODUCT(($B$10:$B$19&lt;&gt;"")*($B$10:$B$19&lt;=B350)*($D$10:$D$19="Monthly")*$C$10:$C$19)+SUMPRODUCT(($B$10:$B$19&lt;&gt;"")*($B$10:$B$19&lt;=B350)*($D$10:$D$19="Annual")*(MONTH($B$10:$B$19)=MONTH(B350))*$C$10:$C$19)+SUMPRODUCT(($B$22:$B$36&lt;&gt;"")*(YEAR($B$22:$B$36)=YEAR(B350))*(MONTH($B$22:$B$36)=MONTH(B350))*$C$22:$C$36)),"")</f>
        <v/>
      </c>
      <c r="F350" s="17">
        <f>IF(A350&lt;&gt;"",ROUND(F349-E350,2),"")</f>
        <v/>
      </c>
    </row>
    <row r="351">
      <c r="A351" s="7">
        <f>IF(AND(F350&gt;0.005,A350&lt;&gt;""),313,"")</f>
        <v/>
      </c>
      <c r="B351" s="4">
        <f>IF(A351&lt;&gt;"",EDATE(StartDate,312),"")</f>
        <v/>
      </c>
      <c r="C351" s="9">
        <f>IF(A351&lt;&gt;"",MIN(MonthlyPmt,F350+D351),"")</f>
        <v/>
      </c>
      <c r="D351" s="9">
        <f>IF(A351&lt;&gt;"",ROUND(F350*AnnualRate/12,2),"")</f>
        <v/>
      </c>
      <c r="E351" s="9">
        <f>IF(A351&lt;&gt;"",MIN(F350,(C351-D351)+SUMPRODUCT(($B$10:$B$19&lt;&gt;"")*($B$10:$B$19&lt;=B351)*($D$10:$D$19="Monthly")*$C$10:$C$19)+SUMPRODUCT(($B$10:$B$19&lt;&gt;"")*($B$10:$B$19&lt;=B351)*($D$10:$D$19="Annual")*(MONTH($B$10:$B$19)=MONTH(B351))*$C$10:$C$19)+SUMPRODUCT(($B$22:$B$36&lt;&gt;"")*(YEAR($B$22:$B$36)=YEAR(B351))*(MONTH($B$22:$B$36)=MONTH(B351))*$C$22:$C$36)),"")</f>
        <v/>
      </c>
      <c r="F351" s="9">
        <f>IF(A351&lt;&gt;"",ROUND(F350-E351,2),"")</f>
        <v/>
      </c>
    </row>
    <row r="352">
      <c r="A352" s="15">
        <f>IF(AND(F351&gt;0.005,A351&lt;&gt;""),314,"")</f>
        <v/>
      </c>
      <c r="B352" s="16">
        <f>IF(A352&lt;&gt;"",EDATE(StartDate,313),"")</f>
        <v/>
      </c>
      <c r="C352" s="17">
        <f>IF(A352&lt;&gt;"",MIN(MonthlyPmt,F351+D352),"")</f>
        <v/>
      </c>
      <c r="D352" s="17">
        <f>IF(A352&lt;&gt;"",ROUND(F351*AnnualRate/12,2),"")</f>
        <v/>
      </c>
      <c r="E352" s="17">
        <f>IF(A352&lt;&gt;"",MIN(F351,(C352-D352)+SUMPRODUCT(($B$10:$B$19&lt;&gt;"")*($B$10:$B$19&lt;=B352)*($D$10:$D$19="Monthly")*$C$10:$C$19)+SUMPRODUCT(($B$10:$B$19&lt;&gt;"")*($B$10:$B$19&lt;=B352)*($D$10:$D$19="Annual")*(MONTH($B$10:$B$19)=MONTH(B352))*$C$10:$C$19)+SUMPRODUCT(($B$22:$B$36&lt;&gt;"")*(YEAR($B$22:$B$36)=YEAR(B352))*(MONTH($B$22:$B$36)=MONTH(B352))*$C$22:$C$36)),"")</f>
        <v/>
      </c>
      <c r="F352" s="17">
        <f>IF(A352&lt;&gt;"",ROUND(F351-E352,2),"")</f>
        <v/>
      </c>
    </row>
    <row r="353">
      <c r="A353" s="7">
        <f>IF(AND(F352&gt;0.005,A352&lt;&gt;""),315,"")</f>
        <v/>
      </c>
      <c r="B353" s="4">
        <f>IF(A353&lt;&gt;"",EDATE(StartDate,314),"")</f>
        <v/>
      </c>
      <c r="C353" s="9">
        <f>IF(A353&lt;&gt;"",MIN(MonthlyPmt,F352+D353),"")</f>
        <v/>
      </c>
      <c r="D353" s="9">
        <f>IF(A353&lt;&gt;"",ROUND(F352*AnnualRate/12,2),"")</f>
        <v/>
      </c>
      <c r="E353" s="9">
        <f>IF(A353&lt;&gt;"",MIN(F352,(C353-D353)+SUMPRODUCT(($B$10:$B$19&lt;&gt;"")*($B$10:$B$19&lt;=B353)*($D$10:$D$19="Monthly")*$C$10:$C$19)+SUMPRODUCT(($B$10:$B$19&lt;&gt;"")*($B$10:$B$19&lt;=B353)*($D$10:$D$19="Annual")*(MONTH($B$10:$B$19)=MONTH(B353))*$C$10:$C$19)+SUMPRODUCT(($B$22:$B$36&lt;&gt;"")*(YEAR($B$22:$B$36)=YEAR(B353))*(MONTH($B$22:$B$36)=MONTH(B353))*$C$22:$C$36)),"")</f>
        <v/>
      </c>
      <c r="F353" s="9">
        <f>IF(A353&lt;&gt;"",ROUND(F352-E353,2),"")</f>
        <v/>
      </c>
    </row>
    <row r="354">
      <c r="A354" s="15">
        <f>IF(AND(F353&gt;0.005,A353&lt;&gt;""),316,"")</f>
        <v/>
      </c>
      <c r="B354" s="16">
        <f>IF(A354&lt;&gt;"",EDATE(StartDate,315),"")</f>
        <v/>
      </c>
      <c r="C354" s="17">
        <f>IF(A354&lt;&gt;"",MIN(MonthlyPmt,F353+D354),"")</f>
        <v/>
      </c>
      <c r="D354" s="17">
        <f>IF(A354&lt;&gt;"",ROUND(F353*AnnualRate/12,2),"")</f>
        <v/>
      </c>
      <c r="E354" s="17">
        <f>IF(A354&lt;&gt;"",MIN(F353,(C354-D354)+SUMPRODUCT(($B$10:$B$19&lt;&gt;"")*($B$10:$B$19&lt;=B354)*($D$10:$D$19="Monthly")*$C$10:$C$19)+SUMPRODUCT(($B$10:$B$19&lt;&gt;"")*($B$10:$B$19&lt;=B354)*($D$10:$D$19="Annual")*(MONTH($B$10:$B$19)=MONTH(B354))*$C$10:$C$19)+SUMPRODUCT(($B$22:$B$36&lt;&gt;"")*(YEAR($B$22:$B$36)=YEAR(B354))*(MONTH($B$22:$B$36)=MONTH(B354))*$C$22:$C$36)),"")</f>
        <v/>
      </c>
      <c r="F354" s="17">
        <f>IF(A354&lt;&gt;"",ROUND(F353-E354,2),"")</f>
        <v/>
      </c>
    </row>
    <row r="355">
      <c r="A355" s="7">
        <f>IF(AND(F354&gt;0.005,A354&lt;&gt;""),317,"")</f>
        <v/>
      </c>
      <c r="B355" s="4">
        <f>IF(A355&lt;&gt;"",EDATE(StartDate,316),"")</f>
        <v/>
      </c>
      <c r="C355" s="9">
        <f>IF(A355&lt;&gt;"",MIN(MonthlyPmt,F354+D355),"")</f>
        <v/>
      </c>
      <c r="D355" s="9">
        <f>IF(A355&lt;&gt;"",ROUND(F354*AnnualRate/12,2),"")</f>
        <v/>
      </c>
      <c r="E355" s="9">
        <f>IF(A355&lt;&gt;"",MIN(F354,(C355-D355)+SUMPRODUCT(($B$10:$B$19&lt;&gt;"")*($B$10:$B$19&lt;=B355)*($D$10:$D$19="Monthly")*$C$10:$C$19)+SUMPRODUCT(($B$10:$B$19&lt;&gt;"")*($B$10:$B$19&lt;=B355)*($D$10:$D$19="Annual")*(MONTH($B$10:$B$19)=MONTH(B355))*$C$10:$C$19)+SUMPRODUCT(($B$22:$B$36&lt;&gt;"")*(YEAR($B$22:$B$36)=YEAR(B355))*(MONTH($B$22:$B$36)=MONTH(B355))*$C$22:$C$36)),"")</f>
        <v/>
      </c>
      <c r="F355" s="9">
        <f>IF(A355&lt;&gt;"",ROUND(F354-E355,2),"")</f>
        <v/>
      </c>
    </row>
    <row r="356">
      <c r="A356" s="15">
        <f>IF(AND(F355&gt;0.005,A355&lt;&gt;""),318,"")</f>
        <v/>
      </c>
      <c r="B356" s="16">
        <f>IF(A356&lt;&gt;"",EDATE(StartDate,317),"")</f>
        <v/>
      </c>
      <c r="C356" s="17">
        <f>IF(A356&lt;&gt;"",MIN(MonthlyPmt,F355+D356),"")</f>
        <v/>
      </c>
      <c r="D356" s="17">
        <f>IF(A356&lt;&gt;"",ROUND(F355*AnnualRate/12,2),"")</f>
        <v/>
      </c>
      <c r="E356" s="17">
        <f>IF(A356&lt;&gt;"",MIN(F355,(C356-D356)+SUMPRODUCT(($B$10:$B$19&lt;&gt;"")*($B$10:$B$19&lt;=B356)*($D$10:$D$19="Monthly")*$C$10:$C$19)+SUMPRODUCT(($B$10:$B$19&lt;&gt;"")*($B$10:$B$19&lt;=B356)*($D$10:$D$19="Annual")*(MONTH($B$10:$B$19)=MONTH(B356))*$C$10:$C$19)+SUMPRODUCT(($B$22:$B$36&lt;&gt;"")*(YEAR($B$22:$B$36)=YEAR(B356))*(MONTH($B$22:$B$36)=MONTH(B356))*$C$22:$C$36)),"")</f>
        <v/>
      </c>
      <c r="F356" s="17">
        <f>IF(A356&lt;&gt;"",ROUND(F355-E356,2),"")</f>
        <v/>
      </c>
    </row>
    <row r="357">
      <c r="A357" s="7">
        <f>IF(AND(F356&gt;0.005,A356&lt;&gt;""),319,"")</f>
        <v/>
      </c>
      <c r="B357" s="4">
        <f>IF(A357&lt;&gt;"",EDATE(StartDate,318),"")</f>
        <v/>
      </c>
      <c r="C357" s="9">
        <f>IF(A357&lt;&gt;"",MIN(MonthlyPmt,F356+D357),"")</f>
        <v/>
      </c>
      <c r="D357" s="9">
        <f>IF(A357&lt;&gt;"",ROUND(F356*AnnualRate/12,2),"")</f>
        <v/>
      </c>
      <c r="E357" s="9">
        <f>IF(A357&lt;&gt;"",MIN(F356,(C357-D357)+SUMPRODUCT(($B$10:$B$19&lt;&gt;"")*($B$10:$B$19&lt;=B357)*($D$10:$D$19="Monthly")*$C$10:$C$19)+SUMPRODUCT(($B$10:$B$19&lt;&gt;"")*($B$10:$B$19&lt;=B357)*($D$10:$D$19="Annual")*(MONTH($B$10:$B$19)=MONTH(B357))*$C$10:$C$19)+SUMPRODUCT(($B$22:$B$36&lt;&gt;"")*(YEAR($B$22:$B$36)=YEAR(B357))*(MONTH($B$22:$B$36)=MONTH(B357))*$C$22:$C$36)),"")</f>
        <v/>
      </c>
      <c r="F357" s="9">
        <f>IF(A357&lt;&gt;"",ROUND(F356-E357,2),"")</f>
        <v/>
      </c>
    </row>
    <row r="358">
      <c r="A358" s="15">
        <f>IF(AND(F357&gt;0.005,A357&lt;&gt;""),320,"")</f>
        <v/>
      </c>
      <c r="B358" s="16">
        <f>IF(A358&lt;&gt;"",EDATE(StartDate,319),"")</f>
        <v/>
      </c>
      <c r="C358" s="17">
        <f>IF(A358&lt;&gt;"",MIN(MonthlyPmt,F357+D358),"")</f>
        <v/>
      </c>
      <c r="D358" s="17">
        <f>IF(A358&lt;&gt;"",ROUND(F357*AnnualRate/12,2),"")</f>
        <v/>
      </c>
      <c r="E358" s="17">
        <f>IF(A358&lt;&gt;"",MIN(F357,(C358-D358)+SUMPRODUCT(($B$10:$B$19&lt;&gt;"")*($B$10:$B$19&lt;=B358)*($D$10:$D$19="Monthly")*$C$10:$C$19)+SUMPRODUCT(($B$10:$B$19&lt;&gt;"")*($B$10:$B$19&lt;=B358)*($D$10:$D$19="Annual")*(MONTH($B$10:$B$19)=MONTH(B358))*$C$10:$C$19)+SUMPRODUCT(($B$22:$B$36&lt;&gt;"")*(YEAR($B$22:$B$36)=YEAR(B358))*(MONTH($B$22:$B$36)=MONTH(B358))*$C$22:$C$36)),"")</f>
        <v/>
      </c>
      <c r="F358" s="17">
        <f>IF(A358&lt;&gt;"",ROUND(F357-E358,2),"")</f>
        <v/>
      </c>
    </row>
    <row r="359">
      <c r="A359" s="7">
        <f>IF(AND(F358&gt;0.005,A358&lt;&gt;""),321,"")</f>
        <v/>
      </c>
      <c r="B359" s="4">
        <f>IF(A359&lt;&gt;"",EDATE(StartDate,320),"")</f>
        <v/>
      </c>
      <c r="C359" s="9">
        <f>IF(A359&lt;&gt;"",MIN(MonthlyPmt,F358+D359),"")</f>
        <v/>
      </c>
      <c r="D359" s="9">
        <f>IF(A359&lt;&gt;"",ROUND(F358*AnnualRate/12,2),"")</f>
        <v/>
      </c>
      <c r="E359" s="9">
        <f>IF(A359&lt;&gt;"",MIN(F358,(C359-D359)+SUMPRODUCT(($B$10:$B$19&lt;&gt;"")*($B$10:$B$19&lt;=B359)*($D$10:$D$19="Monthly")*$C$10:$C$19)+SUMPRODUCT(($B$10:$B$19&lt;&gt;"")*($B$10:$B$19&lt;=B359)*($D$10:$D$19="Annual")*(MONTH($B$10:$B$19)=MONTH(B359))*$C$10:$C$19)+SUMPRODUCT(($B$22:$B$36&lt;&gt;"")*(YEAR($B$22:$B$36)=YEAR(B359))*(MONTH($B$22:$B$36)=MONTH(B359))*$C$22:$C$36)),"")</f>
        <v/>
      </c>
      <c r="F359" s="9">
        <f>IF(A359&lt;&gt;"",ROUND(F358-E359,2),"")</f>
        <v/>
      </c>
    </row>
    <row r="360">
      <c r="A360" s="15">
        <f>IF(AND(F359&gt;0.005,A359&lt;&gt;""),322,"")</f>
        <v/>
      </c>
      <c r="B360" s="16">
        <f>IF(A360&lt;&gt;"",EDATE(StartDate,321),"")</f>
        <v/>
      </c>
      <c r="C360" s="17">
        <f>IF(A360&lt;&gt;"",MIN(MonthlyPmt,F359+D360),"")</f>
        <v/>
      </c>
      <c r="D360" s="17">
        <f>IF(A360&lt;&gt;"",ROUND(F359*AnnualRate/12,2),"")</f>
        <v/>
      </c>
      <c r="E360" s="17">
        <f>IF(A360&lt;&gt;"",MIN(F359,(C360-D360)+SUMPRODUCT(($B$10:$B$19&lt;&gt;"")*($B$10:$B$19&lt;=B360)*($D$10:$D$19="Monthly")*$C$10:$C$19)+SUMPRODUCT(($B$10:$B$19&lt;&gt;"")*($B$10:$B$19&lt;=B360)*($D$10:$D$19="Annual")*(MONTH($B$10:$B$19)=MONTH(B360))*$C$10:$C$19)+SUMPRODUCT(($B$22:$B$36&lt;&gt;"")*(YEAR($B$22:$B$36)=YEAR(B360))*(MONTH($B$22:$B$36)=MONTH(B360))*$C$22:$C$36)),"")</f>
        <v/>
      </c>
      <c r="F360" s="17">
        <f>IF(A360&lt;&gt;"",ROUND(F359-E360,2),"")</f>
        <v/>
      </c>
    </row>
    <row r="361">
      <c r="A361" s="7">
        <f>IF(AND(F360&gt;0.005,A360&lt;&gt;""),323,"")</f>
        <v/>
      </c>
      <c r="B361" s="4">
        <f>IF(A361&lt;&gt;"",EDATE(StartDate,322),"")</f>
        <v/>
      </c>
      <c r="C361" s="9">
        <f>IF(A361&lt;&gt;"",MIN(MonthlyPmt,F360+D361),"")</f>
        <v/>
      </c>
      <c r="D361" s="9">
        <f>IF(A361&lt;&gt;"",ROUND(F360*AnnualRate/12,2),"")</f>
        <v/>
      </c>
      <c r="E361" s="9">
        <f>IF(A361&lt;&gt;"",MIN(F360,(C361-D361)+SUMPRODUCT(($B$10:$B$19&lt;&gt;"")*($B$10:$B$19&lt;=B361)*($D$10:$D$19="Monthly")*$C$10:$C$19)+SUMPRODUCT(($B$10:$B$19&lt;&gt;"")*($B$10:$B$19&lt;=B361)*($D$10:$D$19="Annual")*(MONTH($B$10:$B$19)=MONTH(B361))*$C$10:$C$19)+SUMPRODUCT(($B$22:$B$36&lt;&gt;"")*(YEAR($B$22:$B$36)=YEAR(B361))*(MONTH($B$22:$B$36)=MONTH(B361))*$C$22:$C$36)),"")</f>
        <v/>
      </c>
      <c r="F361" s="9">
        <f>IF(A361&lt;&gt;"",ROUND(F360-E361,2),"")</f>
        <v/>
      </c>
    </row>
    <row r="362">
      <c r="A362" s="15">
        <f>IF(AND(F361&gt;0.005,A361&lt;&gt;""),324,"")</f>
        <v/>
      </c>
      <c r="B362" s="16">
        <f>IF(A362&lt;&gt;"",EDATE(StartDate,323),"")</f>
        <v/>
      </c>
      <c r="C362" s="17">
        <f>IF(A362&lt;&gt;"",MIN(MonthlyPmt,F361+D362),"")</f>
        <v/>
      </c>
      <c r="D362" s="17">
        <f>IF(A362&lt;&gt;"",ROUND(F361*AnnualRate/12,2),"")</f>
        <v/>
      </c>
      <c r="E362" s="17">
        <f>IF(A362&lt;&gt;"",MIN(F361,(C362-D362)+SUMPRODUCT(($B$10:$B$19&lt;&gt;"")*($B$10:$B$19&lt;=B362)*($D$10:$D$19="Monthly")*$C$10:$C$19)+SUMPRODUCT(($B$10:$B$19&lt;&gt;"")*($B$10:$B$19&lt;=B362)*($D$10:$D$19="Annual")*(MONTH($B$10:$B$19)=MONTH(B362))*$C$10:$C$19)+SUMPRODUCT(($B$22:$B$36&lt;&gt;"")*(YEAR($B$22:$B$36)=YEAR(B362))*(MONTH($B$22:$B$36)=MONTH(B362))*$C$22:$C$36)),"")</f>
        <v/>
      </c>
      <c r="F362" s="17">
        <f>IF(A362&lt;&gt;"",ROUND(F361-E362,2),"")</f>
        <v/>
      </c>
    </row>
    <row r="363">
      <c r="A363" s="7">
        <f>IF(AND(F362&gt;0.005,A362&lt;&gt;""),325,"")</f>
        <v/>
      </c>
      <c r="B363" s="4">
        <f>IF(A363&lt;&gt;"",EDATE(StartDate,324),"")</f>
        <v/>
      </c>
      <c r="C363" s="9">
        <f>IF(A363&lt;&gt;"",MIN(MonthlyPmt,F362+D363),"")</f>
        <v/>
      </c>
      <c r="D363" s="9">
        <f>IF(A363&lt;&gt;"",ROUND(F362*AnnualRate/12,2),"")</f>
        <v/>
      </c>
      <c r="E363" s="9">
        <f>IF(A363&lt;&gt;"",MIN(F362,(C363-D363)+SUMPRODUCT(($B$10:$B$19&lt;&gt;"")*($B$10:$B$19&lt;=B363)*($D$10:$D$19="Monthly")*$C$10:$C$19)+SUMPRODUCT(($B$10:$B$19&lt;&gt;"")*($B$10:$B$19&lt;=B363)*($D$10:$D$19="Annual")*(MONTH($B$10:$B$19)=MONTH(B363))*$C$10:$C$19)+SUMPRODUCT(($B$22:$B$36&lt;&gt;"")*(YEAR($B$22:$B$36)=YEAR(B363))*(MONTH($B$22:$B$36)=MONTH(B363))*$C$22:$C$36)),"")</f>
        <v/>
      </c>
      <c r="F363" s="9">
        <f>IF(A363&lt;&gt;"",ROUND(F362-E363,2),"")</f>
        <v/>
      </c>
    </row>
    <row r="364">
      <c r="A364" s="15">
        <f>IF(AND(F363&gt;0.005,A363&lt;&gt;""),326,"")</f>
        <v/>
      </c>
      <c r="B364" s="16">
        <f>IF(A364&lt;&gt;"",EDATE(StartDate,325),"")</f>
        <v/>
      </c>
      <c r="C364" s="17">
        <f>IF(A364&lt;&gt;"",MIN(MonthlyPmt,F363+D364),"")</f>
        <v/>
      </c>
      <c r="D364" s="17">
        <f>IF(A364&lt;&gt;"",ROUND(F363*AnnualRate/12,2),"")</f>
        <v/>
      </c>
      <c r="E364" s="17">
        <f>IF(A364&lt;&gt;"",MIN(F363,(C364-D364)+SUMPRODUCT(($B$10:$B$19&lt;&gt;"")*($B$10:$B$19&lt;=B364)*($D$10:$D$19="Monthly")*$C$10:$C$19)+SUMPRODUCT(($B$10:$B$19&lt;&gt;"")*($B$10:$B$19&lt;=B364)*($D$10:$D$19="Annual")*(MONTH($B$10:$B$19)=MONTH(B364))*$C$10:$C$19)+SUMPRODUCT(($B$22:$B$36&lt;&gt;"")*(YEAR($B$22:$B$36)=YEAR(B364))*(MONTH($B$22:$B$36)=MONTH(B364))*$C$22:$C$36)),"")</f>
        <v/>
      </c>
      <c r="F364" s="17">
        <f>IF(A364&lt;&gt;"",ROUND(F363-E364,2),"")</f>
        <v/>
      </c>
    </row>
    <row r="365">
      <c r="A365" s="7">
        <f>IF(AND(F364&gt;0.005,A364&lt;&gt;""),327,"")</f>
        <v/>
      </c>
      <c r="B365" s="4">
        <f>IF(A365&lt;&gt;"",EDATE(StartDate,326),"")</f>
        <v/>
      </c>
      <c r="C365" s="9">
        <f>IF(A365&lt;&gt;"",MIN(MonthlyPmt,F364+D365),"")</f>
        <v/>
      </c>
      <c r="D365" s="9">
        <f>IF(A365&lt;&gt;"",ROUND(F364*AnnualRate/12,2),"")</f>
        <v/>
      </c>
      <c r="E365" s="9">
        <f>IF(A365&lt;&gt;"",MIN(F364,(C365-D365)+SUMPRODUCT(($B$10:$B$19&lt;&gt;"")*($B$10:$B$19&lt;=B365)*($D$10:$D$19="Monthly")*$C$10:$C$19)+SUMPRODUCT(($B$10:$B$19&lt;&gt;"")*($B$10:$B$19&lt;=B365)*($D$10:$D$19="Annual")*(MONTH($B$10:$B$19)=MONTH(B365))*$C$10:$C$19)+SUMPRODUCT(($B$22:$B$36&lt;&gt;"")*(YEAR($B$22:$B$36)=YEAR(B365))*(MONTH($B$22:$B$36)=MONTH(B365))*$C$22:$C$36)),"")</f>
        <v/>
      </c>
      <c r="F365" s="9">
        <f>IF(A365&lt;&gt;"",ROUND(F364-E365,2),"")</f>
        <v/>
      </c>
    </row>
    <row r="366">
      <c r="A366" s="15">
        <f>IF(AND(F365&gt;0.005,A365&lt;&gt;""),328,"")</f>
        <v/>
      </c>
      <c r="B366" s="16">
        <f>IF(A366&lt;&gt;"",EDATE(StartDate,327),"")</f>
        <v/>
      </c>
      <c r="C366" s="17">
        <f>IF(A366&lt;&gt;"",MIN(MonthlyPmt,F365+D366),"")</f>
        <v/>
      </c>
      <c r="D366" s="17">
        <f>IF(A366&lt;&gt;"",ROUND(F365*AnnualRate/12,2),"")</f>
        <v/>
      </c>
      <c r="E366" s="17">
        <f>IF(A366&lt;&gt;"",MIN(F365,(C366-D366)+SUMPRODUCT(($B$10:$B$19&lt;&gt;"")*($B$10:$B$19&lt;=B366)*($D$10:$D$19="Monthly")*$C$10:$C$19)+SUMPRODUCT(($B$10:$B$19&lt;&gt;"")*($B$10:$B$19&lt;=B366)*($D$10:$D$19="Annual")*(MONTH($B$10:$B$19)=MONTH(B366))*$C$10:$C$19)+SUMPRODUCT(($B$22:$B$36&lt;&gt;"")*(YEAR($B$22:$B$36)=YEAR(B366))*(MONTH($B$22:$B$36)=MONTH(B366))*$C$22:$C$36)),"")</f>
        <v/>
      </c>
      <c r="F366" s="17">
        <f>IF(A366&lt;&gt;"",ROUND(F365-E366,2),"")</f>
        <v/>
      </c>
    </row>
    <row r="367">
      <c r="A367" s="7">
        <f>IF(AND(F366&gt;0.005,A366&lt;&gt;""),329,"")</f>
        <v/>
      </c>
      <c r="B367" s="4">
        <f>IF(A367&lt;&gt;"",EDATE(StartDate,328),"")</f>
        <v/>
      </c>
      <c r="C367" s="9">
        <f>IF(A367&lt;&gt;"",MIN(MonthlyPmt,F366+D367),"")</f>
        <v/>
      </c>
      <c r="D367" s="9">
        <f>IF(A367&lt;&gt;"",ROUND(F366*AnnualRate/12,2),"")</f>
        <v/>
      </c>
      <c r="E367" s="9">
        <f>IF(A367&lt;&gt;"",MIN(F366,(C367-D367)+SUMPRODUCT(($B$10:$B$19&lt;&gt;"")*($B$10:$B$19&lt;=B367)*($D$10:$D$19="Monthly")*$C$10:$C$19)+SUMPRODUCT(($B$10:$B$19&lt;&gt;"")*($B$10:$B$19&lt;=B367)*($D$10:$D$19="Annual")*(MONTH($B$10:$B$19)=MONTH(B367))*$C$10:$C$19)+SUMPRODUCT(($B$22:$B$36&lt;&gt;"")*(YEAR($B$22:$B$36)=YEAR(B367))*(MONTH($B$22:$B$36)=MONTH(B367))*$C$22:$C$36)),"")</f>
        <v/>
      </c>
      <c r="F367" s="9">
        <f>IF(A367&lt;&gt;"",ROUND(F366-E367,2),"")</f>
        <v/>
      </c>
    </row>
    <row r="368">
      <c r="A368" s="15">
        <f>IF(AND(F367&gt;0.005,A367&lt;&gt;""),330,"")</f>
        <v/>
      </c>
      <c r="B368" s="16">
        <f>IF(A368&lt;&gt;"",EDATE(StartDate,329),"")</f>
        <v/>
      </c>
      <c r="C368" s="17">
        <f>IF(A368&lt;&gt;"",MIN(MonthlyPmt,F367+D368),"")</f>
        <v/>
      </c>
      <c r="D368" s="17">
        <f>IF(A368&lt;&gt;"",ROUND(F367*AnnualRate/12,2),"")</f>
        <v/>
      </c>
      <c r="E368" s="17">
        <f>IF(A368&lt;&gt;"",MIN(F367,(C368-D368)+SUMPRODUCT(($B$10:$B$19&lt;&gt;"")*($B$10:$B$19&lt;=B368)*($D$10:$D$19="Monthly")*$C$10:$C$19)+SUMPRODUCT(($B$10:$B$19&lt;&gt;"")*($B$10:$B$19&lt;=B368)*($D$10:$D$19="Annual")*(MONTH($B$10:$B$19)=MONTH(B368))*$C$10:$C$19)+SUMPRODUCT(($B$22:$B$36&lt;&gt;"")*(YEAR($B$22:$B$36)=YEAR(B368))*(MONTH($B$22:$B$36)=MONTH(B368))*$C$22:$C$36)),"")</f>
        <v/>
      </c>
      <c r="F368" s="17">
        <f>IF(A368&lt;&gt;"",ROUND(F367-E368,2),"")</f>
        <v/>
      </c>
    </row>
    <row r="369">
      <c r="A369" s="7">
        <f>IF(AND(F368&gt;0.005,A368&lt;&gt;""),331,"")</f>
        <v/>
      </c>
      <c r="B369" s="4">
        <f>IF(A369&lt;&gt;"",EDATE(StartDate,330),"")</f>
        <v/>
      </c>
      <c r="C369" s="9">
        <f>IF(A369&lt;&gt;"",MIN(MonthlyPmt,F368+D369),"")</f>
        <v/>
      </c>
      <c r="D369" s="9">
        <f>IF(A369&lt;&gt;"",ROUND(F368*AnnualRate/12,2),"")</f>
        <v/>
      </c>
      <c r="E369" s="9">
        <f>IF(A369&lt;&gt;"",MIN(F368,(C369-D369)+SUMPRODUCT(($B$10:$B$19&lt;&gt;"")*($B$10:$B$19&lt;=B369)*($D$10:$D$19="Monthly")*$C$10:$C$19)+SUMPRODUCT(($B$10:$B$19&lt;&gt;"")*($B$10:$B$19&lt;=B369)*($D$10:$D$19="Annual")*(MONTH($B$10:$B$19)=MONTH(B369))*$C$10:$C$19)+SUMPRODUCT(($B$22:$B$36&lt;&gt;"")*(YEAR($B$22:$B$36)=YEAR(B369))*(MONTH($B$22:$B$36)=MONTH(B369))*$C$22:$C$36)),"")</f>
        <v/>
      </c>
      <c r="F369" s="9">
        <f>IF(A369&lt;&gt;"",ROUND(F368-E369,2),"")</f>
        <v/>
      </c>
    </row>
    <row r="370">
      <c r="A370" s="15">
        <f>IF(AND(F369&gt;0.005,A369&lt;&gt;""),332,"")</f>
        <v/>
      </c>
      <c r="B370" s="16">
        <f>IF(A370&lt;&gt;"",EDATE(StartDate,331),"")</f>
        <v/>
      </c>
      <c r="C370" s="17">
        <f>IF(A370&lt;&gt;"",MIN(MonthlyPmt,F369+D370),"")</f>
        <v/>
      </c>
      <c r="D370" s="17">
        <f>IF(A370&lt;&gt;"",ROUND(F369*AnnualRate/12,2),"")</f>
        <v/>
      </c>
      <c r="E370" s="17">
        <f>IF(A370&lt;&gt;"",MIN(F369,(C370-D370)+SUMPRODUCT(($B$10:$B$19&lt;&gt;"")*($B$10:$B$19&lt;=B370)*($D$10:$D$19="Monthly")*$C$10:$C$19)+SUMPRODUCT(($B$10:$B$19&lt;&gt;"")*($B$10:$B$19&lt;=B370)*($D$10:$D$19="Annual")*(MONTH($B$10:$B$19)=MONTH(B370))*$C$10:$C$19)+SUMPRODUCT(($B$22:$B$36&lt;&gt;"")*(YEAR($B$22:$B$36)=YEAR(B370))*(MONTH($B$22:$B$36)=MONTH(B370))*$C$22:$C$36)),"")</f>
        <v/>
      </c>
      <c r="F370" s="17">
        <f>IF(A370&lt;&gt;"",ROUND(F369-E370,2),"")</f>
        <v/>
      </c>
    </row>
    <row r="371">
      <c r="A371" s="7">
        <f>IF(AND(F370&gt;0.005,A370&lt;&gt;""),333,"")</f>
        <v/>
      </c>
      <c r="B371" s="4">
        <f>IF(A371&lt;&gt;"",EDATE(StartDate,332),"")</f>
        <v/>
      </c>
      <c r="C371" s="9">
        <f>IF(A371&lt;&gt;"",MIN(MonthlyPmt,F370+D371),"")</f>
        <v/>
      </c>
      <c r="D371" s="9">
        <f>IF(A371&lt;&gt;"",ROUND(F370*AnnualRate/12,2),"")</f>
        <v/>
      </c>
      <c r="E371" s="9">
        <f>IF(A371&lt;&gt;"",MIN(F370,(C371-D371)+SUMPRODUCT(($B$10:$B$19&lt;&gt;"")*($B$10:$B$19&lt;=B371)*($D$10:$D$19="Monthly")*$C$10:$C$19)+SUMPRODUCT(($B$10:$B$19&lt;&gt;"")*($B$10:$B$19&lt;=B371)*($D$10:$D$19="Annual")*(MONTH($B$10:$B$19)=MONTH(B371))*$C$10:$C$19)+SUMPRODUCT(($B$22:$B$36&lt;&gt;"")*(YEAR($B$22:$B$36)=YEAR(B371))*(MONTH($B$22:$B$36)=MONTH(B371))*$C$22:$C$36)),"")</f>
        <v/>
      </c>
      <c r="F371" s="9">
        <f>IF(A371&lt;&gt;"",ROUND(F370-E371,2),"")</f>
        <v/>
      </c>
    </row>
    <row r="372">
      <c r="A372" s="15">
        <f>IF(AND(F371&gt;0.005,A371&lt;&gt;""),334,"")</f>
        <v/>
      </c>
      <c r="B372" s="16">
        <f>IF(A372&lt;&gt;"",EDATE(StartDate,333),"")</f>
        <v/>
      </c>
      <c r="C372" s="17">
        <f>IF(A372&lt;&gt;"",MIN(MonthlyPmt,F371+D372),"")</f>
        <v/>
      </c>
      <c r="D372" s="17">
        <f>IF(A372&lt;&gt;"",ROUND(F371*AnnualRate/12,2),"")</f>
        <v/>
      </c>
      <c r="E372" s="17">
        <f>IF(A372&lt;&gt;"",MIN(F371,(C372-D372)+SUMPRODUCT(($B$10:$B$19&lt;&gt;"")*($B$10:$B$19&lt;=B372)*($D$10:$D$19="Monthly")*$C$10:$C$19)+SUMPRODUCT(($B$10:$B$19&lt;&gt;"")*($B$10:$B$19&lt;=B372)*($D$10:$D$19="Annual")*(MONTH($B$10:$B$19)=MONTH(B372))*$C$10:$C$19)+SUMPRODUCT(($B$22:$B$36&lt;&gt;"")*(YEAR($B$22:$B$36)=YEAR(B372))*(MONTH($B$22:$B$36)=MONTH(B372))*$C$22:$C$36)),"")</f>
        <v/>
      </c>
      <c r="F372" s="17">
        <f>IF(A372&lt;&gt;"",ROUND(F371-E372,2),"")</f>
        <v/>
      </c>
    </row>
    <row r="373">
      <c r="A373" s="7">
        <f>IF(AND(F372&gt;0.005,A372&lt;&gt;""),335,"")</f>
        <v/>
      </c>
      <c r="B373" s="4">
        <f>IF(A373&lt;&gt;"",EDATE(StartDate,334),"")</f>
        <v/>
      </c>
      <c r="C373" s="9">
        <f>IF(A373&lt;&gt;"",MIN(MonthlyPmt,F372+D373),"")</f>
        <v/>
      </c>
      <c r="D373" s="9">
        <f>IF(A373&lt;&gt;"",ROUND(F372*AnnualRate/12,2),"")</f>
        <v/>
      </c>
      <c r="E373" s="9">
        <f>IF(A373&lt;&gt;"",MIN(F372,(C373-D373)+SUMPRODUCT(($B$10:$B$19&lt;&gt;"")*($B$10:$B$19&lt;=B373)*($D$10:$D$19="Monthly")*$C$10:$C$19)+SUMPRODUCT(($B$10:$B$19&lt;&gt;"")*($B$10:$B$19&lt;=B373)*($D$10:$D$19="Annual")*(MONTH($B$10:$B$19)=MONTH(B373))*$C$10:$C$19)+SUMPRODUCT(($B$22:$B$36&lt;&gt;"")*(YEAR($B$22:$B$36)=YEAR(B373))*(MONTH($B$22:$B$36)=MONTH(B373))*$C$22:$C$36)),"")</f>
        <v/>
      </c>
      <c r="F373" s="9">
        <f>IF(A373&lt;&gt;"",ROUND(F372-E373,2),"")</f>
        <v/>
      </c>
    </row>
    <row r="374">
      <c r="A374" s="15">
        <f>IF(AND(F373&gt;0.005,A373&lt;&gt;""),336,"")</f>
        <v/>
      </c>
      <c r="B374" s="16">
        <f>IF(A374&lt;&gt;"",EDATE(StartDate,335),"")</f>
        <v/>
      </c>
      <c r="C374" s="17">
        <f>IF(A374&lt;&gt;"",MIN(MonthlyPmt,F373+D374),"")</f>
        <v/>
      </c>
      <c r="D374" s="17">
        <f>IF(A374&lt;&gt;"",ROUND(F373*AnnualRate/12,2),"")</f>
        <v/>
      </c>
      <c r="E374" s="17">
        <f>IF(A374&lt;&gt;"",MIN(F373,(C374-D374)+SUMPRODUCT(($B$10:$B$19&lt;&gt;"")*($B$10:$B$19&lt;=B374)*($D$10:$D$19="Monthly")*$C$10:$C$19)+SUMPRODUCT(($B$10:$B$19&lt;&gt;"")*($B$10:$B$19&lt;=B374)*($D$10:$D$19="Annual")*(MONTH($B$10:$B$19)=MONTH(B374))*$C$10:$C$19)+SUMPRODUCT(($B$22:$B$36&lt;&gt;"")*(YEAR($B$22:$B$36)=YEAR(B374))*(MONTH($B$22:$B$36)=MONTH(B374))*$C$22:$C$36)),"")</f>
        <v/>
      </c>
      <c r="F374" s="17">
        <f>IF(A374&lt;&gt;"",ROUND(F373-E374,2),"")</f>
        <v/>
      </c>
    </row>
    <row r="375">
      <c r="A375" s="7">
        <f>IF(AND(F374&gt;0.005,A374&lt;&gt;""),337,"")</f>
        <v/>
      </c>
      <c r="B375" s="4">
        <f>IF(A375&lt;&gt;"",EDATE(StartDate,336),"")</f>
        <v/>
      </c>
      <c r="C375" s="9">
        <f>IF(A375&lt;&gt;"",MIN(MonthlyPmt,F374+D375),"")</f>
        <v/>
      </c>
      <c r="D375" s="9">
        <f>IF(A375&lt;&gt;"",ROUND(F374*AnnualRate/12,2),"")</f>
        <v/>
      </c>
      <c r="E375" s="9">
        <f>IF(A375&lt;&gt;"",MIN(F374,(C375-D375)+SUMPRODUCT(($B$10:$B$19&lt;&gt;"")*($B$10:$B$19&lt;=B375)*($D$10:$D$19="Monthly")*$C$10:$C$19)+SUMPRODUCT(($B$10:$B$19&lt;&gt;"")*($B$10:$B$19&lt;=B375)*($D$10:$D$19="Annual")*(MONTH($B$10:$B$19)=MONTH(B375))*$C$10:$C$19)+SUMPRODUCT(($B$22:$B$36&lt;&gt;"")*(YEAR($B$22:$B$36)=YEAR(B375))*(MONTH($B$22:$B$36)=MONTH(B375))*$C$22:$C$36)),"")</f>
        <v/>
      </c>
      <c r="F375" s="9">
        <f>IF(A375&lt;&gt;"",ROUND(F374-E375,2),"")</f>
        <v/>
      </c>
    </row>
    <row r="376">
      <c r="A376" s="15">
        <f>IF(AND(F375&gt;0.005,A375&lt;&gt;""),338,"")</f>
        <v/>
      </c>
      <c r="B376" s="16">
        <f>IF(A376&lt;&gt;"",EDATE(StartDate,337),"")</f>
        <v/>
      </c>
      <c r="C376" s="17">
        <f>IF(A376&lt;&gt;"",MIN(MonthlyPmt,F375+D376),"")</f>
        <v/>
      </c>
      <c r="D376" s="17">
        <f>IF(A376&lt;&gt;"",ROUND(F375*AnnualRate/12,2),"")</f>
        <v/>
      </c>
      <c r="E376" s="17">
        <f>IF(A376&lt;&gt;"",MIN(F375,(C376-D376)+SUMPRODUCT(($B$10:$B$19&lt;&gt;"")*($B$10:$B$19&lt;=B376)*($D$10:$D$19="Monthly")*$C$10:$C$19)+SUMPRODUCT(($B$10:$B$19&lt;&gt;"")*($B$10:$B$19&lt;=B376)*($D$10:$D$19="Annual")*(MONTH($B$10:$B$19)=MONTH(B376))*$C$10:$C$19)+SUMPRODUCT(($B$22:$B$36&lt;&gt;"")*(YEAR($B$22:$B$36)=YEAR(B376))*(MONTH($B$22:$B$36)=MONTH(B376))*$C$22:$C$36)),"")</f>
        <v/>
      </c>
      <c r="F376" s="17">
        <f>IF(A376&lt;&gt;"",ROUND(F375-E376,2),"")</f>
        <v/>
      </c>
    </row>
    <row r="377">
      <c r="A377" s="7">
        <f>IF(AND(F376&gt;0.005,A376&lt;&gt;""),339,"")</f>
        <v/>
      </c>
      <c r="B377" s="4">
        <f>IF(A377&lt;&gt;"",EDATE(StartDate,338),"")</f>
        <v/>
      </c>
      <c r="C377" s="9">
        <f>IF(A377&lt;&gt;"",MIN(MonthlyPmt,F376+D377),"")</f>
        <v/>
      </c>
      <c r="D377" s="9">
        <f>IF(A377&lt;&gt;"",ROUND(F376*AnnualRate/12,2),"")</f>
        <v/>
      </c>
      <c r="E377" s="9">
        <f>IF(A377&lt;&gt;"",MIN(F376,(C377-D377)+SUMPRODUCT(($B$10:$B$19&lt;&gt;"")*($B$10:$B$19&lt;=B377)*($D$10:$D$19="Monthly")*$C$10:$C$19)+SUMPRODUCT(($B$10:$B$19&lt;&gt;"")*($B$10:$B$19&lt;=B377)*($D$10:$D$19="Annual")*(MONTH($B$10:$B$19)=MONTH(B377))*$C$10:$C$19)+SUMPRODUCT(($B$22:$B$36&lt;&gt;"")*(YEAR($B$22:$B$36)=YEAR(B377))*(MONTH($B$22:$B$36)=MONTH(B377))*$C$22:$C$36)),"")</f>
        <v/>
      </c>
      <c r="F377" s="9">
        <f>IF(A377&lt;&gt;"",ROUND(F376-E377,2),"")</f>
        <v/>
      </c>
    </row>
    <row r="378">
      <c r="A378" s="15">
        <f>IF(AND(F377&gt;0.005,A377&lt;&gt;""),340,"")</f>
        <v/>
      </c>
      <c r="B378" s="16">
        <f>IF(A378&lt;&gt;"",EDATE(StartDate,339),"")</f>
        <v/>
      </c>
      <c r="C378" s="17">
        <f>IF(A378&lt;&gt;"",MIN(MonthlyPmt,F377+D378),"")</f>
        <v/>
      </c>
      <c r="D378" s="17">
        <f>IF(A378&lt;&gt;"",ROUND(F377*AnnualRate/12,2),"")</f>
        <v/>
      </c>
      <c r="E378" s="17">
        <f>IF(A378&lt;&gt;"",MIN(F377,(C378-D378)+SUMPRODUCT(($B$10:$B$19&lt;&gt;"")*($B$10:$B$19&lt;=B378)*($D$10:$D$19="Monthly")*$C$10:$C$19)+SUMPRODUCT(($B$10:$B$19&lt;&gt;"")*($B$10:$B$19&lt;=B378)*($D$10:$D$19="Annual")*(MONTH($B$10:$B$19)=MONTH(B378))*$C$10:$C$19)+SUMPRODUCT(($B$22:$B$36&lt;&gt;"")*(YEAR($B$22:$B$36)=YEAR(B378))*(MONTH($B$22:$B$36)=MONTH(B378))*$C$22:$C$36)),"")</f>
        <v/>
      </c>
      <c r="F378" s="17">
        <f>IF(A378&lt;&gt;"",ROUND(F377-E378,2),"")</f>
        <v/>
      </c>
    </row>
    <row r="379">
      <c r="A379" s="7">
        <f>IF(AND(F378&gt;0.005,A378&lt;&gt;""),341,"")</f>
        <v/>
      </c>
      <c r="B379" s="4">
        <f>IF(A379&lt;&gt;"",EDATE(StartDate,340),"")</f>
        <v/>
      </c>
      <c r="C379" s="9">
        <f>IF(A379&lt;&gt;"",MIN(MonthlyPmt,F378+D379),"")</f>
        <v/>
      </c>
      <c r="D379" s="9">
        <f>IF(A379&lt;&gt;"",ROUND(F378*AnnualRate/12,2),"")</f>
        <v/>
      </c>
      <c r="E379" s="9">
        <f>IF(A379&lt;&gt;"",MIN(F378,(C379-D379)+SUMPRODUCT(($B$10:$B$19&lt;&gt;"")*($B$10:$B$19&lt;=B379)*($D$10:$D$19="Monthly")*$C$10:$C$19)+SUMPRODUCT(($B$10:$B$19&lt;&gt;"")*($B$10:$B$19&lt;=B379)*($D$10:$D$19="Annual")*(MONTH($B$10:$B$19)=MONTH(B379))*$C$10:$C$19)+SUMPRODUCT(($B$22:$B$36&lt;&gt;"")*(YEAR($B$22:$B$36)=YEAR(B379))*(MONTH($B$22:$B$36)=MONTH(B379))*$C$22:$C$36)),"")</f>
        <v/>
      </c>
      <c r="F379" s="9">
        <f>IF(A379&lt;&gt;"",ROUND(F378-E379,2),"")</f>
        <v/>
      </c>
    </row>
    <row r="380">
      <c r="A380" s="15">
        <f>IF(AND(F379&gt;0.005,A379&lt;&gt;""),342,"")</f>
        <v/>
      </c>
      <c r="B380" s="16">
        <f>IF(A380&lt;&gt;"",EDATE(StartDate,341),"")</f>
        <v/>
      </c>
      <c r="C380" s="17">
        <f>IF(A380&lt;&gt;"",MIN(MonthlyPmt,F379+D380),"")</f>
        <v/>
      </c>
      <c r="D380" s="17">
        <f>IF(A380&lt;&gt;"",ROUND(F379*AnnualRate/12,2),"")</f>
        <v/>
      </c>
      <c r="E380" s="17">
        <f>IF(A380&lt;&gt;"",MIN(F379,(C380-D380)+SUMPRODUCT(($B$10:$B$19&lt;&gt;"")*($B$10:$B$19&lt;=B380)*($D$10:$D$19="Monthly")*$C$10:$C$19)+SUMPRODUCT(($B$10:$B$19&lt;&gt;"")*($B$10:$B$19&lt;=B380)*($D$10:$D$19="Annual")*(MONTH($B$10:$B$19)=MONTH(B380))*$C$10:$C$19)+SUMPRODUCT(($B$22:$B$36&lt;&gt;"")*(YEAR($B$22:$B$36)=YEAR(B380))*(MONTH($B$22:$B$36)=MONTH(B380))*$C$22:$C$36)),"")</f>
        <v/>
      </c>
      <c r="F380" s="17">
        <f>IF(A380&lt;&gt;"",ROUND(F379-E380,2),"")</f>
        <v/>
      </c>
    </row>
    <row r="381">
      <c r="A381" s="7">
        <f>IF(AND(F380&gt;0.005,A380&lt;&gt;""),343,"")</f>
        <v/>
      </c>
      <c r="B381" s="4">
        <f>IF(A381&lt;&gt;"",EDATE(StartDate,342),"")</f>
        <v/>
      </c>
      <c r="C381" s="9">
        <f>IF(A381&lt;&gt;"",MIN(MonthlyPmt,F380+D381),"")</f>
        <v/>
      </c>
      <c r="D381" s="9">
        <f>IF(A381&lt;&gt;"",ROUND(F380*AnnualRate/12,2),"")</f>
        <v/>
      </c>
      <c r="E381" s="9">
        <f>IF(A381&lt;&gt;"",MIN(F380,(C381-D381)+SUMPRODUCT(($B$10:$B$19&lt;&gt;"")*($B$10:$B$19&lt;=B381)*($D$10:$D$19="Monthly")*$C$10:$C$19)+SUMPRODUCT(($B$10:$B$19&lt;&gt;"")*($B$10:$B$19&lt;=B381)*($D$10:$D$19="Annual")*(MONTH($B$10:$B$19)=MONTH(B381))*$C$10:$C$19)+SUMPRODUCT(($B$22:$B$36&lt;&gt;"")*(YEAR($B$22:$B$36)=YEAR(B381))*(MONTH($B$22:$B$36)=MONTH(B381))*$C$22:$C$36)),"")</f>
        <v/>
      </c>
      <c r="F381" s="9">
        <f>IF(A381&lt;&gt;"",ROUND(F380-E381,2),"")</f>
        <v/>
      </c>
    </row>
    <row r="382">
      <c r="A382" s="15">
        <f>IF(AND(F381&gt;0.005,A381&lt;&gt;""),344,"")</f>
        <v/>
      </c>
      <c r="B382" s="16">
        <f>IF(A382&lt;&gt;"",EDATE(StartDate,343),"")</f>
        <v/>
      </c>
      <c r="C382" s="17">
        <f>IF(A382&lt;&gt;"",MIN(MonthlyPmt,F381+D382),"")</f>
        <v/>
      </c>
      <c r="D382" s="17">
        <f>IF(A382&lt;&gt;"",ROUND(F381*AnnualRate/12,2),"")</f>
        <v/>
      </c>
      <c r="E382" s="17">
        <f>IF(A382&lt;&gt;"",MIN(F381,(C382-D382)+SUMPRODUCT(($B$10:$B$19&lt;&gt;"")*($B$10:$B$19&lt;=B382)*($D$10:$D$19="Monthly")*$C$10:$C$19)+SUMPRODUCT(($B$10:$B$19&lt;&gt;"")*($B$10:$B$19&lt;=B382)*($D$10:$D$19="Annual")*(MONTH($B$10:$B$19)=MONTH(B382))*$C$10:$C$19)+SUMPRODUCT(($B$22:$B$36&lt;&gt;"")*(YEAR($B$22:$B$36)=YEAR(B382))*(MONTH($B$22:$B$36)=MONTH(B382))*$C$22:$C$36)),"")</f>
        <v/>
      </c>
      <c r="F382" s="17">
        <f>IF(A382&lt;&gt;"",ROUND(F381-E382,2),"")</f>
        <v/>
      </c>
    </row>
    <row r="383">
      <c r="A383" s="7">
        <f>IF(AND(F382&gt;0.005,A382&lt;&gt;""),345,"")</f>
        <v/>
      </c>
      <c r="B383" s="4">
        <f>IF(A383&lt;&gt;"",EDATE(StartDate,344),"")</f>
        <v/>
      </c>
      <c r="C383" s="9">
        <f>IF(A383&lt;&gt;"",MIN(MonthlyPmt,F382+D383),"")</f>
        <v/>
      </c>
      <c r="D383" s="9">
        <f>IF(A383&lt;&gt;"",ROUND(F382*AnnualRate/12,2),"")</f>
        <v/>
      </c>
      <c r="E383" s="9">
        <f>IF(A383&lt;&gt;"",MIN(F382,(C383-D383)+SUMPRODUCT(($B$10:$B$19&lt;&gt;"")*($B$10:$B$19&lt;=B383)*($D$10:$D$19="Monthly")*$C$10:$C$19)+SUMPRODUCT(($B$10:$B$19&lt;&gt;"")*($B$10:$B$19&lt;=B383)*($D$10:$D$19="Annual")*(MONTH($B$10:$B$19)=MONTH(B383))*$C$10:$C$19)+SUMPRODUCT(($B$22:$B$36&lt;&gt;"")*(YEAR($B$22:$B$36)=YEAR(B383))*(MONTH($B$22:$B$36)=MONTH(B383))*$C$22:$C$36)),"")</f>
        <v/>
      </c>
      <c r="F383" s="9">
        <f>IF(A383&lt;&gt;"",ROUND(F382-E383,2),"")</f>
        <v/>
      </c>
    </row>
    <row r="384">
      <c r="A384" s="15">
        <f>IF(AND(F383&gt;0.005,A383&lt;&gt;""),346,"")</f>
        <v/>
      </c>
      <c r="B384" s="16">
        <f>IF(A384&lt;&gt;"",EDATE(StartDate,345),"")</f>
        <v/>
      </c>
      <c r="C384" s="17">
        <f>IF(A384&lt;&gt;"",MIN(MonthlyPmt,F383+D384),"")</f>
        <v/>
      </c>
      <c r="D384" s="17">
        <f>IF(A384&lt;&gt;"",ROUND(F383*AnnualRate/12,2),"")</f>
        <v/>
      </c>
      <c r="E384" s="17">
        <f>IF(A384&lt;&gt;"",MIN(F383,(C384-D384)+SUMPRODUCT(($B$10:$B$19&lt;&gt;"")*($B$10:$B$19&lt;=B384)*($D$10:$D$19="Monthly")*$C$10:$C$19)+SUMPRODUCT(($B$10:$B$19&lt;&gt;"")*($B$10:$B$19&lt;=B384)*($D$10:$D$19="Annual")*(MONTH($B$10:$B$19)=MONTH(B384))*$C$10:$C$19)+SUMPRODUCT(($B$22:$B$36&lt;&gt;"")*(YEAR($B$22:$B$36)=YEAR(B384))*(MONTH($B$22:$B$36)=MONTH(B384))*$C$22:$C$36)),"")</f>
        <v/>
      </c>
      <c r="F384" s="17">
        <f>IF(A384&lt;&gt;"",ROUND(F383-E384,2),"")</f>
        <v/>
      </c>
    </row>
    <row r="385">
      <c r="A385" s="7">
        <f>IF(AND(F384&gt;0.005,A384&lt;&gt;""),347,"")</f>
        <v/>
      </c>
      <c r="B385" s="4">
        <f>IF(A385&lt;&gt;"",EDATE(StartDate,346),"")</f>
        <v/>
      </c>
      <c r="C385" s="9">
        <f>IF(A385&lt;&gt;"",MIN(MonthlyPmt,F384+D385),"")</f>
        <v/>
      </c>
      <c r="D385" s="9">
        <f>IF(A385&lt;&gt;"",ROUND(F384*AnnualRate/12,2),"")</f>
        <v/>
      </c>
      <c r="E385" s="9">
        <f>IF(A385&lt;&gt;"",MIN(F384,(C385-D385)+SUMPRODUCT(($B$10:$B$19&lt;&gt;"")*($B$10:$B$19&lt;=B385)*($D$10:$D$19="Monthly")*$C$10:$C$19)+SUMPRODUCT(($B$10:$B$19&lt;&gt;"")*($B$10:$B$19&lt;=B385)*($D$10:$D$19="Annual")*(MONTH($B$10:$B$19)=MONTH(B385))*$C$10:$C$19)+SUMPRODUCT(($B$22:$B$36&lt;&gt;"")*(YEAR($B$22:$B$36)=YEAR(B385))*(MONTH($B$22:$B$36)=MONTH(B385))*$C$22:$C$36)),"")</f>
        <v/>
      </c>
      <c r="F385" s="9">
        <f>IF(A385&lt;&gt;"",ROUND(F384-E385,2),"")</f>
        <v/>
      </c>
    </row>
    <row r="386">
      <c r="A386" s="15">
        <f>IF(AND(F385&gt;0.005,A385&lt;&gt;""),348,"")</f>
        <v/>
      </c>
      <c r="B386" s="16">
        <f>IF(A386&lt;&gt;"",EDATE(StartDate,347),"")</f>
        <v/>
      </c>
      <c r="C386" s="17">
        <f>IF(A386&lt;&gt;"",MIN(MonthlyPmt,F385+D386),"")</f>
        <v/>
      </c>
      <c r="D386" s="17">
        <f>IF(A386&lt;&gt;"",ROUND(F385*AnnualRate/12,2),"")</f>
        <v/>
      </c>
      <c r="E386" s="17">
        <f>IF(A386&lt;&gt;"",MIN(F385,(C386-D386)+SUMPRODUCT(($B$10:$B$19&lt;&gt;"")*($B$10:$B$19&lt;=B386)*($D$10:$D$19="Monthly")*$C$10:$C$19)+SUMPRODUCT(($B$10:$B$19&lt;&gt;"")*($B$10:$B$19&lt;=B386)*($D$10:$D$19="Annual")*(MONTH($B$10:$B$19)=MONTH(B386))*$C$10:$C$19)+SUMPRODUCT(($B$22:$B$36&lt;&gt;"")*(YEAR($B$22:$B$36)=YEAR(B386))*(MONTH($B$22:$B$36)=MONTH(B386))*$C$22:$C$36)),"")</f>
        <v/>
      </c>
      <c r="F386" s="17">
        <f>IF(A386&lt;&gt;"",ROUND(F385-E386,2),"")</f>
        <v/>
      </c>
    </row>
    <row r="387">
      <c r="A387" s="7">
        <f>IF(AND(F386&gt;0.005,A386&lt;&gt;""),349,"")</f>
        <v/>
      </c>
      <c r="B387" s="4">
        <f>IF(A387&lt;&gt;"",EDATE(StartDate,348),"")</f>
        <v/>
      </c>
      <c r="C387" s="9">
        <f>IF(A387&lt;&gt;"",MIN(MonthlyPmt,F386+D387),"")</f>
        <v/>
      </c>
      <c r="D387" s="9">
        <f>IF(A387&lt;&gt;"",ROUND(F386*AnnualRate/12,2),"")</f>
        <v/>
      </c>
      <c r="E387" s="9">
        <f>IF(A387&lt;&gt;"",MIN(F386,(C387-D387)+SUMPRODUCT(($B$10:$B$19&lt;&gt;"")*($B$10:$B$19&lt;=B387)*($D$10:$D$19="Monthly")*$C$10:$C$19)+SUMPRODUCT(($B$10:$B$19&lt;&gt;"")*($B$10:$B$19&lt;=B387)*($D$10:$D$19="Annual")*(MONTH($B$10:$B$19)=MONTH(B387))*$C$10:$C$19)+SUMPRODUCT(($B$22:$B$36&lt;&gt;"")*(YEAR($B$22:$B$36)=YEAR(B387))*(MONTH($B$22:$B$36)=MONTH(B387))*$C$22:$C$36)),"")</f>
        <v/>
      </c>
      <c r="F387" s="9">
        <f>IF(A387&lt;&gt;"",ROUND(F386-E387,2),"")</f>
        <v/>
      </c>
    </row>
    <row r="388">
      <c r="A388" s="15">
        <f>IF(AND(F387&gt;0.005,A387&lt;&gt;""),350,"")</f>
        <v/>
      </c>
      <c r="B388" s="16">
        <f>IF(A388&lt;&gt;"",EDATE(StartDate,349),"")</f>
        <v/>
      </c>
      <c r="C388" s="17">
        <f>IF(A388&lt;&gt;"",MIN(MonthlyPmt,F387+D388),"")</f>
        <v/>
      </c>
      <c r="D388" s="17">
        <f>IF(A388&lt;&gt;"",ROUND(F387*AnnualRate/12,2),"")</f>
        <v/>
      </c>
      <c r="E388" s="17">
        <f>IF(A388&lt;&gt;"",MIN(F387,(C388-D388)+SUMPRODUCT(($B$10:$B$19&lt;&gt;"")*($B$10:$B$19&lt;=B388)*($D$10:$D$19="Monthly")*$C$10:$C$19)+SUMPRODUCT(($B$10:$B$19&lt;&gt;"")*($B$10:$B$19&lt;=B388)*($D$10:$D$19="Annual")*(MONTH($B$10:$B$19)=MONTH(B388))*$C$10:$C$19)+SUMPRODUCT(($B$22:$B$36&lt;&gt;"")*(YEAR($B$22:$B$36)=YEAR(B388))*(MONTH($B$22:$B$36)=MONTH(B388))*$C$22:$C$36)),"")</f>
        <v/>
      </c>
      <c r="F388" s="17">
        <f>IF(A388&lt;&gt;"",ROUND(F387-E388,2),"")</f>
        <v/>
      </c>
    </row>
    <row r="389">
      <c r="A389" s="7">
        <f>IF(AND(F388&gt;0.005,A388&lt;&gt;""),351,"")</f>
        <v/>
      </c>
      <c r="B389" s="4">
        <f>IF(A389&lt;&gt;"",EDATE(StartDate,350),"")</f>
        <v/>
      </c>
      <c r="C389" s="9">
        <f>IF(A389&lt;&gt;"",MIN(MonthlyPmt,F388+D389),"")</f>
        <v/>
      </c>
      <c r="D389" s="9">
        <f>IF(A389&lt;&gt;"",ROUND(F388*AnnualRate/12,2),"")</f>
        <v/>
      </c>
      <c r="E389" s="9">
        <f>IF(A389&lt;&gt;"",MIN(F388,(C389-D389)+SUMPRODUCT(($B$10:$B$19&lt;&gt;"")*($B$10:$B$19&lt;=B389)*($D$10:$D$19="Monthly")*$C$10:$C$19)+SUMPRODUCT(($B$10:$B$19&lt;&gt;"")*($B$10:$B$19&lt;=B389)*($D$10:$D$19="Annual")*(MONTH($B$10:$B$19)=MONTH(B389))*$C$10:$C$19)+SUMPRODUCT(($B$22:$B$36&lt;&gt;"")*(YEAR($B$22:$B$36)=YEAR(B389))*(MONTH($B$22:$B$36)=MONTH(B389))*$C$22:$C$36)),"")</f>
        <v/>
      </c>
      <c r="F389" s="9">
        <f>IF(A389&lt;&gt;"",ROUND(F388-E389,2),"")</f>
        <v/>
      </c>
    </row>
    <row r="390">
      <c r="A390" s="15">
        <f>IF(AND(F389&gt;0.005,A389&lt;&gt;""),352,"")</f>
        <v/>
      </c>
      <c r="B390" s="16">
        <f>IF(A390&lt;&gt;"",EDATE(StartDate,351),"")</f>
        <v/>
      </c>
      <c r="C390" s="17">
        <f>IF(A390&lt;&gt;"",MIN(MonthlyPmt,F389+D390),"")</f>
        <v/>
      </c>
      <c r="D390" s="17">
        <f>IF(A390&lt;&gt;"",ROUND(F389*AnnualRate/12,2),"")</f>
        <v/>
      </c>
      <c r="E390" s="17">
        <f>IF(A390&lt;&gt;"",MIN(F389,(C390-D390)+SUMPRODUCT(($B$10:$B$19&lt;&gt;"")*($B$10:$B$19&lt;=B390)*($D$10:$D$19="Monthly")*$C$10:$C$19)+SUMPRODUCT(($B$10:$B$19&lt;&gt;"")*($B$10:$B$19&lt;=B390)*($D$10:$D$19="Annual")*(MONTH($B$10:$B$19)=MONTH(B390))*$C$10:$C$19)+SUMPRODUCT(($B$22:$B$36&lt;&gt;"")*(YEAR($B$22:$B$36)=YEAR(B390))*(MONTH($B$22:$B$36)=MONTH(B390))*$C$22:$C$36)),"")</f>
        <v/>
      </c>
      <c r="F390" s="17">
        <f>IF(A390&lt;&gt;"",ROUND(F389-E390,2),"")</f>
        <v/>
      </c>
    </row>
    <row r="391">
      <c r="A391" s="7">
        <f>IF(AND(F390&gt;0.005,A390&lt;&gt;""),353,"")</f>
        <v/>
      </c>
      <c r="B391" s="4">
        <f>IF(A391&lt;&gt;"",EDATE(StartDate,352),"")</f>
        <v/>
      </c>
      <c r="C391" s="9">
        <f>IF(A391&lt;&gt;"",MIN(MonthlyPmt,F390+D391),"")</f>
        <v/>
      </c>
      <c r="D391" s="9">
        <f>IF(A391&lt;&gt;"",ROUND(F390*AnnualRate/12,2),"")</f>
        <v/>
      </c>
      <c r="E391" s="9">
        <f>IF(A391&lt;&gt;"",MIN(F390,(C391-D391)+SUMPRODUCT(($B$10:$B$19&lt;&gt;"")*($B$10:$B$19&lt;=B391)*($D$10:$D$19="Monthly")*$C$10:$C$19)+SUMPRODUCT(($B$10:$B$19&lt;&gt;"")*($B$10:$B$19&lt;=B391)*($D$10:$D$19="Annual")*(MONTH($B$10:$B$19)=MONTH(B391))*$C$10:$C$19)+SUMPRODUCT(($B$22:$B$36&lt;&gt;"")*(YEAR($B$22:$B$36)=YEAR(B391))*(MONTH($B$22:$B$36)=MONTH(B391))*$C$22:$C$36)),"")</f>
        <v/>
      </c>
      <c r="F391" s="9">
        <f>IF(A391&lt;&gt;"",ROUND(F390-E391,2),"")</f>
        <v/>
      </c>
    </row>
    <row r="392">
      <c r="A392" s="15">
        <f>IF(AND(F391&gt;0.005,A391&lt;&gt;""),354,"")</f>
        <v/>
      </c>
      <c r="B392" s="16">
        <f>IF(A392&lt;&gt;"",EDATE(StartDate,353),"")</f>
        <v/>
      </c>
      <c r="C392" s="17">
        <f>IF(A392&lt;&gt;"",MIN(MonthlyPmt,F391+D392),"")</f>
        <v/>
      </c>
      <c r="D392" s="17">
        <f>IF(A392&lt;&gt;"",ROUND(F391*AnnualRate/12,2),"")</f>
        <v/>
      </c>
      <c r="E392" s="17">
        <f>IF(A392&lt;&gt;"",MIN(F391,(C392-D392)+SUMPRODUCT(($B$10:$B$19&lt;&gt;"")*($B$10:$B$19&lt;=B392)*($D$10:$D$19="Monthly")*$C$10:$C$19)+SUMPRODUCT(($B$10:$B$19&lt;&gt;"")*($B$10:$B$19&lt;=B392)*($D$10:$D$19="Annual")*(MONTH($B$10:$B$19)=MONTH(B392))*$C$10:$C$19)+SUMPRODUCT(($B$22:$B$36&lt;&gt;"")*(YEAR($B$22:$B$36)=YEAR(B392))*(MONTH($B$22:$B$36)=MONTH(B392))*$C$22:$C$36)),"")</f>
        <v/>
      </c>
      <c r="F392" s="17">
        <f>IF(A392&lt;&gt;"",ROUND(F391-E392,2),"")</f>
        <v/>
      </c>
    </row>
    <row r="393">
      <c r="A393" s="7">
        <f>IF(AND(F392&gt;0.005,A392&lt;&gt;""),355,"")</f>
        <v/>
      </c>
      <c r="B393" s="4">
        <f>IF(A393&lt;&gt;"",EDATE(StartDate,354),"")</f>
        <v/>
      </c>
      <c r="C393" s="9">
        <f>IF(A393&lt;&gt;"",MIN(MonthlyPmt,F392+D393),"")</f>
        <v/>
      </c>
      <c r="D393" s="9">
        <f>IF(A393&lt;&gt;"",ROUND(F392*AnnualRate/12,2),"")</f>
        <v/>
      </c>
      <c r="E393" s="9">
        <f>IF(A393&lt;&gt;"",MIN(F392,(C393-D393)+SUMPRODUCT(($B$10:$B$19&lt;&gt;"")*($B$10:$B$19&lt;=B393)*($D$10:$D$19="Monthly")*$C$10:$C$19)+SUMPRODUCT(($B$10:$B$19&lt;&gt;"")*($B$10:$B$19&lt;=B393)*($D$10:$D$19="Annual")*(MONTH($B$10:$B$19)=MONTH(B393))*$C$10:$C$19)+SUMPRODUCT(($B$22:$B$36&lt;&gt;"")*(YEAR($B$22:$B$36)=YEAR(B393))*(MONTH($B$22:$B$36)=MONTH(B393))*$C$22:$C$36)),"")</f>
        <v/>
      </c>
      <c r="F393" s="9">
        <f>IF(A393&lt;&gt;"",ROUND(F392-E393,2),"")</f>
        <v/>
      </c>
    </row>
    <row r="394">
      <c r="A394" s="15">
        <f>IF(AND(F393&gt;0.005,A393&lt;&gt;""),356,"")</f>
        <v/>
      </c>
      <c r="B394" s="16">
        <f>IF(A394&lt;&gt;"",EDATE(StartDate,355),"")</f>
        <v/>
      </c>
      <c r="C394" s="17">
        <f>IF(A394&lt;&gt;"",MIN(MonthlyPmt,F393+D394),"")</f>
        <v/>
      </c>
      <c r="D394" s="17">
        <f>IF(A394&lt;&gt;"",ROUND(F393*AnnualRate/12,2),"")</f>
        <v/>
      </c>
      <c r="E394" s="17">
        <f>IF(A394&lt;&gt;"",MIN(F393,(C394-D394)+SUMPRODUCT(($B$10:$B$19&lt;&gt;"")*($B$10:$B$19&lt;=B394)*($D$10:$D$19="Monthly")*$C$10:$C$19)+SUMPRODUCT(($B$10:$B$19&lt;&gt;"")*($B$10:$B$19&lt;=B394)*($D$10:$D$19="Annual")*(MONTH($B$10:$B$19)=MONTH(B394))*$C$10:$C$19)+SUMPRODUCT(($B$22:$B$36&lt;&gt;"")*(YEAR($B$22:$B$36)=YEAR(B394))*(MONTH($B$22:$B$36)=MONTH(B394))*$C$22:$C$36)),"")</f>
        <v/>
      </c>
      <c r="F394" s="17">
        <f>IF(A394&lt;&gt;"",ROUND(F393-E394,2),"")</f>
        <v/>
      </c>
    </row>
    <row r="395">
      <c r="A395" s="7">
        <f>IF(AND(F394&gt;0.005,A394&lt;&gt;""),357,"")</f>
        <v/>
      </c>
      <c r="B395" s="4">
        <f>IF(A395&lt;&gt;"",EDATE(StartDate,356),"")</f>
        <v/>
      </c>
      <c r="C395" s="9">
        <f>IF(A395&lt;&gt;"",MIN(MonthlyPmt,F394+D395),"")</f>
        <v/>
      </c>
      <c r="D395" s="9">
        <f>IF(A395&lt;&gt;"",ROUND(F394*AnnualRate/12,2),"")</f>
        <v/>
      </c>
      <c r="E395" s="9">
        <f>IF(A395&lt;&gt;"",MIN(F394,(C395-D395)+SUMPRODUCT(($B$10:$B$19&lt;&gt;"")*($B$10:$B$19&lt;=B395)*($D$10:$D$19="Monthly")*$C$10:$C$19)+SUMPRODUCT(($B$10:$B$19&lt;&gt;"")*($B$10:$B$19&lt;=B395)*($D$10:$D$19="Annual")*(MONTH($B$10:$B$19)=MONTH(B395))*$C$10:$C$19)+SUMPRODUCT(($B$22:$B$36&lt;&gt;"")*(YEAR($B$22:$B$36)=YEAR(B395))*(MONTH($B$22:$B$36)=MONTH(B395))*$C$22:$C$36)),"")</f>
        <v/>
      </c>
      <c r="F395" s="9">
        <f>IF(A395&lt;&gt;"",ROUND(F394-E395,2),"")</f>
        <v/>
      </c>
    </row>
    <row r="396">
      <c r="A396" s="15">
        <f>IF(AND(F395&gt;0.005,A395&lt;&gt;""),358,"")</f>
        <v/>
      </c>
      <c r="B396" s="16">
        <f>IF(A396&lt;&gt;"",EDATE(StartDate,357),"")</f>
        <v/>
      </c>
      <c r="C396" s="17">
        <f>IF(A396&lt;&gt;"",MIN(MonthlyPmt,F395+D396),"")</f>
        <v/>
      </c>
      <c r="D396" s="17">
        <f>IF(A396&lt;&gt;"",ROUND(F395*AnnualRate/12,2),"")</f>
        <v/>
      </c>
      <c r="E396" s="17">
        <f>IF(A396&lt;&gt;"",MIN(F395,(C396-D396)+SUMPRODUCT(($B$10:$B$19&lt;&gt;"")*($B$10:$B$19&lt;=B396)*($D$10:$D$19="Monthly")*$C$10:$C$19)+SUMPRODUCT(($B$10:$B$19&lt;&gt;"")*($B$10:$B$19&lt;=B396)*($D$10:$D$19="Annual")*(MONTH($B$10:$B$19)=MONTH(B396))*$C$10:$C$19)+SUMPRODUCT(($B$22:$B$36&lt;&gt;"")*(YEAR($B$22:$B$36)=YEAR(B396))*(MONTH($B$22:$B$36)=MONTH(B396))*$C$22:$C$36)),"")</f>
        <v/>
      </c>
      <c r="F396" s="17">
        <f>IF(A396&lt;&gt;"",ROUND(F395-E396,2),"")</f>
        <v/>
      </c>
    </row>
    <row r="397">
      <c r="A397" s="7">
        <f>IF(AND(F396&gt;0.005,A396&lt;&gt;""),359,"")</f>
        <v/>
      </c>
      <c r="B397" s="4">
        <f>IF(A397&lt;&gt;"",EDATE(StartDate,358),"")</f>
        <v/>
      </c>
      <c r="C397" s="9">
        <f>IF(A397&lt;&gt;"",MIN(MonthlyPmt,F396+D397),"")</f>
        <v/>
      </c>
      <c r="D397" s="9">
        <f>IF(A397&lt;&gt;"",ROUND(F396*AnnualRate/12,2),"")</f>
        <v/>
      </c>
      <c r="E397" s="9">
        <f>IF(A397&lt;&gt;"",MIN(F396,(C397-D397)+SUMPRODUCT(($B$10:$B$19&lt;&gt;"")*($B$10:$B$19&lt;=B397)*($D$10:$D$19="Monthly")*$C$10:$C$19)+SUMPRODUCT(($B$10:$B$19&lt;&gt;"")*($B$10:$B$19&lt;=B397)*($D$10:$D$19="Annual")*(MONTH($B$10:$B$19)=MONTH(B397))*$C$10:$C$19)+SUMPRODUCT(($B$22:$B$36&lt;&gt;"")*(YEAR($B$22:$B$36)=YEAR(B397))*(MONTH($B$22:$B$36)=MONTH(B397))*$C$22:$C$36)),"")</f>
        <v/>
      </c>
      <c r="F397" s="9">
        <f>IF(A397&lt;&gt;"",ROUND(F396-E397,2),"")</f>
        <v/>
      </c>
    </row>
    <row r="398">
      <c r="A398" s="15">
        <f>IF(AND(F397&gt;0.005,A397&lt;&gt;""),360,"")</f>
        <v/>
      </c>
      <c r="B398" s="16">
        <f>IF(A398&lt;&gt;"",EDATE(StartDate,359),"")</f>
        <v/>
      </c>
      <c r="C398" s="17">
        <f>IF(A398&lt;&gt;"",MIN(MonthlyPmt,F397+D398),"")</f>
        <v/>
      </c>
      <c r="D398" s="17">
        <f>IF(A398&lt;&gt;"",ROUND(F397*AnnualRate/12,2),"")</f>
        <v/>
      </c>
      <c r="E398" s="17">
        <f>IF(A398&lt;&gt;"",MIN(F397,(C398-D398)+SUMPRODUCT(($B$10:$B$19&lt;&gt;"")*($B$10:$B$19&lt;=B398)*($D$10:$D$19="Monthly")*$C$10:$C$19)+SUMPRODUCT(($B$10:$B$19&lt;&gt;"")*($B$10:$B$19&lt;=B398)*($D$10:$D$19="Annual")*(MONTH($B$10:$B$19)=MONTH(B398))*$C$10:$C$19)+SUMPRODUCT(($B$22:$B$36&lt;&gt;"")*(YEAR($B$22:$B$36)=YEAR(B398))*(MONTH($B$22:$B$36)=MONTH(B398))*$C$22:$C$36)),"")</f>
        <v/>
      </c>
      <c r="F398" s="17">
        <f>IF(A398&lt;&gt;"",ROUND(F397-E398,2),"")</f>
        <v/>
      </c>
    </row>
  </sheetData>
  <mergeCells count="5">
    <mergeCell ref="A8:D8"/>
    <mergeCell ref="A1:C1"/>
    <mergeCell ref="A37:F37"/>
    <mergeCell ref="A20:C20"/>
    <mergeCell ref="E1:G1"/>
  </mergeCells>
  <dataValidations count="1">
    <dataValidation sqref="D10:D19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2026-05-15T19:59:43Z</dcterms:created>
  <dcterms:modified xsi:type="dcterms:W3CDTF">2026-05-15T19:59:43Z</dcterms:modified>
</cp:coreProperties>
</file>