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</sheets>
  <definedNames>
    <definedName name="LoanAmount">Calculator!$B$2</definedName>
    <definedName name="AnnualRate">Calculator!$B$3</definedName>
    <definedName name="TermYears">Calculator!$B$4</definedName>
    <definedName name="StartDate">Calculator!$B$5</definedName>
    <definedName name="MonthlyPmt">Calculator!$B$6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MMM YYYY"/>
  </numFmts>
  <fonts count="7">
    <font>
      <name val="Calibri"/>
      <family val="2"/>
      <color theme="1"/>
      <sz val="11"/>
      <scheme val="minor"/>
    </font>
    <font>
      <b val="1"/>
      <color rgb="002F5496"/>
      <sz val="12"/>
    </font>
    <font>
      <b val="1"/>
    </font>
    <font>
      <b val="1"/>
      <color rgb="00006600"/>
    </font>
    <font>
      <b val="1"/>
      <color rgb="00006600"/>
      <sz val="12"/>
    </font>
    <font>
      <b val="1"/>
      <color rgb="00FFFFFF"/>
      <sz val="11"/>
    </font>
    <font>
      <color rgb="00FFFFFF"/>
      <sz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right"/>
    </xf>
    <xf numFmtId="4" fontId="0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3" fontId="0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/>
    </xf>
    <xf numFmtId="4" fontId="3" fillId="0" borderId="1" pivotButton="0" quotePrefix="0" xfId="0"/>
    <xf numFmtId="4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Principal vs Interest</a:t>
            </a:r>
          </a:p>
        </rich>
      </tx>
    </title>
    <plotArea>
      <pieChart>
        <varyColors val="1"/>
        <ser>
          <idx val="0"/>
          <order val="0"/>
          <tx>
            <strRef>
              <f>'Calculator'!Q1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619CFF"/>
              </a:solidFill>
              <a:ln>
                <a:prstDash val="solid"/>
              </a:ln>
            </spPr>
          </dPt>
          <dPt>
            <idx val="1"/>
            <spPr>
              <a:solidFill>
                <a:srgbClr val="F8766D"/>
              </a:solidFill>
              <a:ln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'Calculator'!$P$2:$P$3</f>
            </numRef>
          </cat>
          <val>
            <numRef>
              <f>'Calculator'!$Q$2:$Q$3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Loan Amortization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'Calculator'!N2</f>
            </strRef>
          </tx>
          <spPr>
            <a:ln w="28000">
              <a:solidFill>
                <a:srgbClr val="619C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'Calculator'!$I$3:$I$362</f>
            </numRef>
          </cat>
          <val>
            <numRef>
              <f>'Calculator'!$N$3:$N$362</f>
            </numRef>
          </val>
          <smooth val="0"/>
        </ser>
        <ser>
          <idx val="1"/>
          <order val="1"/>
          <tx>
            <strRef>
              <f>'Calculator'!O2</f>
            </strRef>
          </tx>
          <spPr>
            <a:ln w="28000">
              <a:solidFill>
                <a:srgbClr val="F8766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'Calculator'!$I$3:$I$362</f>
            </numRef>
          </cat>
          <val>
            <numRef>
              <f>'Calculator'!$O$3:$O$362</f>
            </numRef>
          </val>
          <smooth val="0"/>
        </ser>
        <ser>
          <idx val="2"/>
          <order val="2"/>
          <tx>
            <strRef>
              <f>'Calculator'!M2</f>
            </strRef>
          </tx>
          <spPr>
            <a:ln w="28000">
              <a:solidFill>
                <a:srgbClr val="00BA3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'Calculator'!$I$3:$I$362</f>
            </numRef>
          </cat>
          <val>
            <numRef>
              <f>'Calculator'!$M$3:$M$362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Gridlines>
          <spPr>
            <a:ln w="6350">
              <a:solidFill>
                <a:srgbClr val="E0E0E0"/>
              </a:solidFill>
              <a:prstDash val="solid"/>
            </a:ln>
          </spPr>
        </majorGridlines>
        <numFmt formatCode="YY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0E0E0"/>
              </a:solidFill>
              <a:prstDash val="solid"/>
            </a:ln>
          </spPr>
        </majorGridlines>
        <numFmt formatCode="$#,##0,K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13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  <col width="14" customWidth="1" min="5" max="5"/>
    <col width="3" customWidth="1" min="6" max="6"/>
    <col width="3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  <col width="0.5" customWidth="1" min="14" max="14"/>
    <col width="0.5" customWidth="1" min="15" max="15"/>
    <col width="0.5" customWidth="1" min="16" max="16"/>
    <col width="0.5" customWidth="1" min="17" max="17"/>
  </cols>
  <sheetData>
    <row r="1">
      <c r="A1" s="1" t="inlineStr">
        <is>
          <t>LOAN DETAILS</t>
        </is>
      </c>
      <c r="H1" s="1" t="inlineStr">
        <is>
          <t>AMORTIZATION SCHEDULE</t>
        </is>
      </c>
      <c r="P1" s="2" t="inlineStr">
        <is>
          <t>Category</t>
        </is>
      </c>
      <c r="Q1" s="2" t="inlineStr">
        <is>
          <t>Amount</t>
        </is>
      </c>
    </row>
    <row r="2">
      <c r="A2" s="3" t="inlineStr">
        <is>
          <t>Loan Amount ($)</t>
        </is>
      </c>
      <c r="B2" s="4" t="n">
        <v>300000</v>
      </c>
      <c r="H2" s="5" t="inlineStr">
        <is>
          <t>Payment #</t>
        </is>
      </c>
      <c r="I2" s="5" t="inlineStr">
        <is>
          <t>Date</t>
        </is>
      </c>
      <c r="J2" s="5" t="inlineStr">
        <is>
          <t>Payment</t>
        </is>
      </c>
      <c r="K2" s="5" t="inlineStr">
        <is>
          <t>Interest</t>
        </is>
      </c>
      <c r="L2" s="5" t="inlineStr">
        <is>
          <t>Principal</t>
        </is>
      </c>
      <c r="M2" s="5" t="inlineStr">
        <is>
          <t>Ending Balance</t>
        </is>
      </c>
      <c r="N2" t="inlineStr">
        <is>
          <t>Cumul. Principal</t>
        </is>
      </c>
      <c r="O2" t="inlineStr">
        <is>
          <t>Cumul. Interest</t>
        </is>
      </c>
      <c r="P2" s="2" t="inlineStr">
        <is>
          <t>Principal</t>
        </is>
      </c>
      <c r="Q2" s="2">
        <f>LoanAmount</f>
        <v/>
      </c>
    </row>
    <row r="3">
      <c r="A3" s="3" t="inlineStr">
        <is>
          <t>Annual Interest Rate</t>
        </is>
      </c>
      <c r="B3" s="6" t="n">
        <v>0.05875</v>
      </c>
      <c r="H3" s="7">
        <f>IF(LoanAmount&gt;0,1,"")</f>
        <v/>
      </c>
      <c r="I3" s="8">
        <f>IF(H3&lt;&gt;"",StartDate,"")</f>
        <v/>
      </c>
      <c r="J3" s="9">
        <f>IF(H3&lt;&gt;"",MIN(MonthlyPmt,LoanAmount+K3),"")</f>
        <v/>
      </c>
      <c r="K3" s="9">
        <f>IF(H3&lt;&gt;"",ROUND(LoanAmount*AnnualRate/12,2),"")</f>
        <v/>
      </c>
      <c r="L3" s="9">
        <f>IF(H3&lt;&gt;"",MIN(LoanAmount,(J3-K3)+SUMPRODUCT(($B$21:$B$30&lt;&gt;"")*($B$21:$B$30&lt;=I3)*(($C$21:$C$30="")+($C$21:$C$30&lt;&gt;"")*($C$21:$C$30&gt;=I3))*($E$21:$E$30="Monthly")*$D$21:$D$30)+SUMPRODUCT(($B$21:$B$30&lt;&gt;"")*($B$21:$B$30&lt;=I3)*(($C$21:$C$30="")+($C$21:$C$30&lt;&gt;"")*($C$21:$C$30&gt;=I3))*($E$21:$E$30="Annual")*(MONTH($B$21:$B$30)=MONTH(I3))*$D$21:$D$30)+SUMPRODUCT(($B$34:$B$48&lt;&gt;"")*(YEAR($B$34:$B$48)=YEAR(I3))*(MONTH($B$34:$B$48)=MONTH(I3))*$C$34:$C$48)),"")</f>
        <v/>
      </c>
      <c r="M3" s="9">
        <f>IF(H3&lt;&gt;"",ROUND(LoanAmount-L3,2),"")</f>
        <v/>
      </c>
      <c r="N3" s="10">
        <f>IF(H3&lt;&gt;"",L3,"")</f>
        <v/>
      </c>
      <c r="O3" s="10">
        <f>IF(H3&lt;&gt;"",K3,"")</f>
        <v/>
      </c>
      <c r="P3" s="2" t="inlineStr">
        <is>
          <t>Interest</t>
        </is>
      </c>
      <c r="Q3" s="2">
        <f>B13</f>
        <v/>
      </c>
    </row>
    <row r="4">
      <c r="A4" s="3" t="inlineStr">
        <is>
          <t>Loan Term (years)</t>
        </is>
      </c>
      <c r="B4" s="11" t="n">
        <v>30</v>
      </c>
      <c r="H4" s="12">
        <f>IF(AND(M3&gt;0.005,H3&lt;&gt;""),2,"")</f>
        <v/>
      </c>
      <c r="I4" s="13">
        <f>IF(H4&lt;&gt;"",EDATE(StartDate,1),"")</f>
        <v/>
      </c>
      <c r="J4" s="14">
        <f>IF(H4&lt;&gt;"",MIN(MonthlyPmt,M3+K4),"")</f>
        <v/>
      </c>
      <c r="K4" s="14">
        <f>IF(H4&lt;&gt;"",ROUND(M3*AnnualRate/12,2),"")</f>
        <v/>
      </c>
      <c r="L4" s="14">
        <f>IF(H4&lt;&gt;"",MIN(M3,(J4-K4)+SUMPRODUCT(($B$21:$B$30&lt;&gt;"")*($B$21:$B$30&lt;=I4)*(($C$21:$C$30="")+($C$21:$C$30&lt;&gt;"")*($C$21:$C$30&gt;=I4))*($E$21:$E$30="Monthly")*$D$21:$D$30)+SUMPRODUCT(($B$21:$B$30&lt;&gt;"")*($B$21:$B$30&lt;=I4)*(($C$21:$C$30="")+($C$21:$C$30&lt;&gt;"")*($C$21:$C$30&gt;=I4))*($E$21:$E$30="Annual")*(MONTH($B$21:$B$30)=MONTH(I4))*$D$21:$D$30)+SUMPRODUCT(($B$34:$B$48&lt;&gt;"")*(YEAR($B$34:$B$48)=YEAR(I4))*(MONTH($B$34:$B$48)=MONTH(I4))*$C$34:$C$48)),"")</f>
        <v/>
      </c>
      <c r="M4" s="14">
        <f>IF(H4&lt;&gt;"",ROUND(M3-L4,2),"")</f>
        <v/>
      </c>
      <c r="N4" s="10">
        <f>IF(H4&lt;&gt;"",N3+L4,"")</f>
        <v/>
      </c>
      <c r="O4" s="10">
        <f>IF(H4&lt;&gt;"",O3+K4,"")</f>
        <v/>
      </c>
    </row>
    <row r="5">
      <c r="A5" s="3" t="inlineStr">
        <is>
          <t>Start Date</t>
        </is>
      </c>
      <c r="B5" s="15" t="n">
        <v>46023</v>
      </c>
      <c r="H5" s="7">
        <f>IF(AND(M4&gt;0.005,H4&lt;&gt;""),3,"")</f>
        <v/>
      </c>
      <c r="I5" s="8">
        <f>IF(H5&lt;&gt;"",EDATE(StartDate,2),"")</f>
        <v/>
      </c>
      <c r="J5" s="9">
        <f>IF(H5&lt;&gt;"",MIN(MonthlyPmt,M4+K5),"")</f>
        <v/>
      </c>
      <c r="K5" s="9">
        <f>IF(H5&lt;&gt;"",ROUND(M4*AnnualRate/12,2),"")</f>
        <v/>
      </c>
      <c r="L5" s="9">
        <f>IF(H5&lt;&gt;"",MIN(M4,(J5-K5)+SUMPRODUCT(($B$21:$B$30&lt;&gt;"")*($B$21:$B$30&lt;=I5)*(($C$21:$C$30="")+($C$21:$C$30&lt;&gt;"")*($C$21:$C$30&gt;=I5))*($E$21:$E$30="Monthly")*$D$21:$D$30)+SUMPRODUCT(($B$21:$B$30&lt;&gt;"")*($B$21:$B$30&lt;=I5)*(($C$21:$C$30="")+($C$21:$C$30&lt;&gt;"")*($C$21:$C$30&gt;=I5))*($E$21:$E$30="Annual")*(MONTH($B$21:$B$30)=MONTH(I5))*$D$21:$D$30)+SUMPRODUCT(($B$34:$B$48&lt;&gt;"")*(YEAR($B$34:$B$48)=YEAR(I5))*(MONTH($B$34:$B$48)=MONTH(I5))*$C$34:$C$48)),"")</f>
        <v/>
      </c>
      <c r="M5" s="9">
        <f>IF(H5&lt;&gt;"",ROUND(M4-L5,2),"")</f>
        <v/>
      </c>
      <c r="N5" s="10">
        <f>IF(H5&lt;&gt;"",N4+L5,"")</f>
        <v/>
      </c>
      <c r="O5" s="10">
        <f>IF(H5&lt;&gt;"",O4+K5,"")</f>
        <v/>
      </c>
    </row>
    <row r="6">
      <c r="A6" s="3" t="inlineStr">
        <is>
          <t>Monthly Payment</t>
        </is>
      </c>
      <c r="B6" s="16">
        <f>ROUND(-PMT(B3/12,B4*12,B2),2)</f>
        <v/>
      </c>
      <c r="H6" s="12">
        <f>IF(AND(M5&gt;0.005,H5&lt;&gt;""),4,"")</f>
        <v/>
      </c>
      <c r="I6" s="13">
        <f>IF(H6&lt;&gt;"",EDATE(StartDate,3),"")</f>
        <v/>
      </c>
      <c r="J6" s="14">
        <f>IF(H6&lt;&gt;"",MIN(MonthlyPmt,M5+K6),"")</f>
        <v/>
      </c>
      <c r="K6" s="14">
        <f>IF(H6&lt;&gt;"",ROUND(M5*AnnualRate/12,2),"")</f>
        <v/>
      </c>
      <c r="L6" s="14">
        <f>IF(H6&lt;&gt;"",MIN(M5,(J6-K6)+SUMPRODUCT(($B$21:$B$30&lt;&gt;"")*($B$21:$B$30&lt;=I6)*(($C$21:$C$30="")+($C$21:$C$30&lt;&gt;"")*($C$21:$C$30&gt;=I6))*($E$21:$E$30="Monthly")*$D$21:$D$30)+SUMPRODUCT(($B$21:$B$30&lt;&gt;"")*($B$21:$B$30&lt;=I6)*(($C$21:$C$30="")+($C$21:$C$30&lt;&gt;"")*($C$21:$C$30&gt;=I6))*($E$21:$E$30="Annual")*(MONTH($B$21:$B$30)=MONTH(I6))*$D$21:$D$30)+SUMPRODUCT(($B$34:$B$48&lt;&gt;"")*(YEAR($B$34:$B$48)=YEAR(I6))*(MONTH($B$34:$B$48)=MONTH(I6))*$C$34:$C$48)),"")</f>
        <v/>
      </c>
      <c r="M6" s="14">
        <f>IF(H6&lt;&gt;"",ROUND(M5-L6,2),"")</f>
        <v/>
      </c>
      <c r="N6" s="10">
        <f>IF(H6&lt;&gt;"",N5+L6,"")</f>
        <v/>
      </c>
      <c r="O6" s="10">
        <f>IF(H6&lt;&gt;"",O5+K6,"")</f>
        <v/>
      </c>
    </row>
    <row r="7">
      <c r="H7" s="7">
        <f>IF(AND(M6&gt;0.005,H6&lt;&gt;""),5,"")</f>
        <v/>
      </c>
      <c r="I7" s="8">
        <f>IF(H7&lt;&gt;"",EDATE(StartDate,4),"")</f>
        <v/>
      </c>
      <c r="J7" s="9">
        <f>IF(H7&lt;&gt;"",MIN(MonthlyPmt,M6+K7),"")</f>
        <v/>
      </c>
      <c r="K7" s="9">
        <f>IF(H7&lt;&gt;"",ROUND(M6*AnnualRate/12,2),"")</f>
        <v/>
      </c>
      <c r="L7" s="9">
        <f>IF(H7&lt;&gt;"",MIN(M6,(J7-K7)+SUMPRODUCT(($B$21:$B$30&lt;&gt;"")*($B$21:$B$30&lt;=I7)*(($C$21:$C$30="")+($C$21:$C$30&lt;&gt;"")*($C$21:$C$30&gt;=I7))*($E$21:$E$30="Monthly")*$D$21:$D$30)+SUMPRODUCT(($B$21:$B$30&lt;&gt;"")*($B$21:$B$30&lt;=I7)*(($C$21:$C$30="")+($C$21:$C$30&lt;&gt;"")*($C$21:$C$30&gt;=I7))*($E$21:$E$30="Annual")*(MONTH($B$21:$B$30)=MONTH(I7))*$D$21:$D$30)+SUMPRODUCT(($B$34:$B$48&lt;&gt;"")*(YEAR($B$34:$B$48)=YEAR(I7))*(MONTH($B$34:$B$48)=MONTH(I7))*$C$34:$C$48)),"")</f>
        <v/>
      </c>
      <c r="M7" s="9">
        <f>IF(H7&lt;&gt;"",ROUND(M6-L7,2),"")</f>
        <v/>
      </c>
      <c r="N7" s="10">
        <f>IF(H7&lt;&gt;"",N6+L7,"")</f>
        <v/>
      </c>
      <c r="O7" s="10">
        <f>IF(H7&lt;&gt;"",O6+K7,"")</f>
        <v/>
      </c>
    </row>
    <row r="8">
      <c r="A8" s="1" t="inlineStr">
        <is>
          <t>LOAN SUMMARY</t>
        </is>
      </c>
      <c r="H8" s="12">
        <f>IF(AND(M7&gt;0.005,H7&lt;&gt;""),6,"")</f>
        <v/>
      </c>
      <c r="I8" s="13">
        <f>IF(H8&lt;&gt;"",EDATE(StartDate,5),"")</f>
        <v/>
      </c>
      <c r="J8" s="14">
        <f>IF(H8&lt;&gt;"",MIN(MonthlyPmt,M7+K8),"")</f>
        <v/>
      </c>
      <c r="K8" s="14">
        <f>IF(H8&lt;&gt;"",ROUND(M7*AnnualRate/12,2),"")</f>
        <v/>
      </c>
      <c r="L8" s="14">
        <f>IF(H8&lt;&gt;"",MIN(M7,(J8-K8)+SUMPRODUCT(($B$21:$B$30&lt;&gt;"")*($B$21:$B$30&lt;=I8)*(($C$21:$C$30="")+($C$21:$C$30&lt;&gt;"")*($C$21:$C$30&gt;=I8))*($E$21:$E$30="Monthly")*$D$21:$D$30)+SUMPRODUCT(($B$21:$B$30&lt;&gt;"")*($B$21:$B$30&lt;=I8)*(($C$21:$C$30="")+($C$21:$C$30&lt;&gt;"")*($C$21:$C$30&gt;=I8))*($E$21:$E$30="Annual")*(MONTH($B$21:$B$30)=MONTH(I8))*$D$21:$D$30)+SUMPRODUCT(($B$34:$B$48&lt;&gt;"")*(YEAR($B$34:$B$48)=YEAR(I8))*(MONTH($B$34:$B$48)=MONTH(I8))*$C$34:$C$48)),"")</f>
        <v/>
      </c>
      <c r="M8" s="14">
        <f>IF(H8&lt;&gt;"",ROUND(M7-L8,2),"")</f>
        <v/>
      </c>
      <c r="N8" s="10">
        <f>IF(H8&lt;&gt;"",N7+L8,"")</f>
        <v/>
      </c>
      <c r="O8" s="10">
        <f>IF(H8&lt;&gt;"",O7+K8,"")</f>
        <v/>
      </c>
    </row>
    <row r="9">
      <c r="A9" s="3" t="inlineStr">
        <is>
          <t>Original Payoff Date</t>
        </is>
      </c>
      <c r="B9" s="8">
        <f>EDATE(StartDate,TermYears*12-1)</f>
        <v/>
      </c>
      <c r="H9" s="7">
        <f>IF(AND(M8&gt;0.005,H8&lt;&gt;""),7,"")</f>
        <v/>
      </c>
      <c r="I9" s="8">
        <f>IF(H9&lt;&gt;"",EDATE(StartDate,6),"")</f>
        <v/>
      </c>
      <c r="J9" s="9">
        <f>IF(H9&lt;&gt;"",MIN(MonthlyPmt,M8+K9),"")</f>
        <v/>
      </c>
      <c r="K9" s="9">
        <f>IF(H9&lt;&gt;"",ROUND(M8*AnnualRate/12,2),"")</f>
        <v/>
      </c>
      <c r="L9" s="9">
        <f>IF(H9&lt;&gt;"",MIN(M8,(J9-K9)+SUMPRODUCT(($B$21:$B$30&lt;&gt;"")*($B$21:$B$30&lt;=I9)*(($C$21:$C$30="")+($C$21:$C$30&lt;&gt;"")*($C$21:$C$30&gt;=I9))*($E$21:$E$30="Monthly")*$D$21:$D$30)+SUMPRODUCT(($B$21:$B$30&lt;&gt;"")*($B$21:$B$30&lt;=I9)*(($C$21:$C$30="")+($C$21:$C$30&lt;&gt;"")*($C$21:$C$30&gt;=I9))*($E$21:$E$30="Annual")*(MONTH($B$21:$B$30)=MONTH(I9))*$D$21:$D$30)+SUMPRODUCT(($B$34:$B$48&lt;&gt;"")*(YEAR($B$34:$B$48)=YEAR(I9))*(MONTH($B$34:$B$48)=MONTH(I9))*$C$34:$C$48)),"")</f>
        <v/>
      </c>
      <c r="M9" s="9">
        <f>IF(H9&lt;&gt;"",ROUND(M8-L9,2),"")</f>
        <v/>
      </c>
      <c r="N9" s="10">
        <f>IF(H9&lt;&gt;"",N8+L9,"")</f>
        <v/>
      </c>
      <c r="O9" s="10">
        <f>IF(H9&lt;&gt;"",O8+K9,"")</f>
        <v/>
      </c>
    </row>
    <row r="10">
      <c r="A10" s="3" t="inlineStr">
        <is>
          <t>Accelerated Payoff Date</t>
        </is>
      </c>
      <c r="B10" s="8">
        <f>LOOKUP(2,1/(I3:I362&lt;&gt;""),I3:I362)</f>
        <v/>
      </c>
      <c r="H10" s="12">
        <f>IF(AND(M9&gt;0.005,H9&lt;&gt;""),8,"")</f>
        <v/>
      </c>
      <c r="I10" s="13">
        <f>IF(H10&lt;&gt;"",EDATE(StartDate,7),"")</f>
        <v/>
      </c>
      <c r="J10" s="14">
        <f>IF(H10&lt;&gt;"",MIN(MonthlyPmt,M9+K10),"")</f>
        <v/>
      </c>
      <c r="K10" s="14">
        <f>IF(H10&lt;&gt;"",ROUND(M9*AnnualRate/12,2),"")</f>
        <v/>
      </c>
      <c r="L10" s="14">
        <f>IF(H10&lt;&gt;"",MIN(M9,(J10-K10)+SUMPRODUCT(($B$21:$B$30&lt;&gt;"")*($B$21:$B$30&lt;=I10)*(($C$21:$C$30="")+($C$21:$C$30&lt;&gt;"")*($C$21:$C$30&gt;=I10))*($E$21:$E$30="Monthly")*$D$21:$D$30)+SUMPRODUCT(($B$21:$B$30&lt;&gt;"")*($B$21:$B$30&lt;=I10)*(($C$21:$C$30="")+($C$21:$C$30&lt;&gt;"")*($C$21:$C$30&gt;=I10))*($E$21:$E$30="Annual")*(MONTH($B$21:$B$30)=MONTH(I10))*$D$21:$D$30)+SUMPRODUCT(($B$34:$B$48&lt;&gt;"")*(YEAR($B$34:$B$48)=YEAR(I10))*(MONTH($B$34:$B$48)=MONTH(I10))*$C$34:$C$48)),"")</f>
        <v/>
      </c>
      <c r="M10" s="14">
        <f>IF(H10&lt;&gt;"",ROUND(M9-L10,2),"")</f>
        <v/>
      </c>
      <c r="N10" s="10">
        <f>IF(H10&lt;&gt;"",N9+L10,"")</f>
        <v/>
      </c>
      <c r="O10" s="10">
        <f>IF(H10&lt;&gt;"",O9+K10,"")</f>
        <v/>
      </c>
    </row>
    <row r="11">
      <c r="A11" s="3" t="inlineStr">
        <is>
          <t>Accelerated Payoff Time</t>
        </is>
      </c>
      <c r="B11" s="7">
        <f>INT(SUMPRODUCT(1*(ISNUMBER(H3:H362)))/12)&amp;" years, "&amp;MOD(SUMPRODUCT(1*(ISNUMBER(H3:H362))),12)&amp;" months"</f>
        <v/>
      </c>
      <c r="H11" s="7">
        <f>IF(AND(M10&gt;0.005,H10&lt;&gt;""),9,"")</f>
        <v/>
      </c>
      <c r="I11" s="8">
        <f>IF(H11&lt;&gt;"",EDATE(StartDate,8),"")</f>
        <v/>
      </c>
      <c r="J11" s="9">
        <f>IF(H11&lt;&gt;"",MIN(MonthlyPmt,M10+K11),"")</f>
        <v/>
      </c>
      <c r="K11" s="9">
        <f>IF(H11&lt;&gt;"",ROUND(M10*AnnualRate/12,2),"")</f>
        <v/>
      </c>
      <c r="L11" s="9">
        <f>IF(H11&lt;&gt;"",MIN(M10,(J11-K11)+SUMPRODUCT(($B$21:$B$30&lt;&gt;"")*($B$21:$B$30&lt;=I11)*(($C$21:$C$30="")+($C$21:$C$30&lt;&gt;"")*($C$21:$C$30&gt;=I11))*($E$21:$E$30="Monthly")*$D$21:$D$30)+SUMPRODUCT(($B$21:$B$30&lt;&gt;"")*($B$21:$B$30&lt;=I11)*(($C$21:$C$30="")+($C$21:$C$30&lt;&gt;"")*($C$21:$C$30&gt;=I11))*($E$21:$E$30="Annual")*(MONTH($B$21:$B$30)=MONTH(I11))*$D$21:$D$30)+SUMPRODUCT(($B$34:$B$48&lt;&gt;"")*(YEAR($B$34:$B$48)=YEAR(I11))*(MONTH($B$34:$B$48)=MONTH(I11))*$C$34:$C$48)),"")</f>
        <v/>
      </c>
      <c r="M11" s="9">
        <f>IF(H11&lt;&gt;"",ROUND(M10-L11,2),"")</f>
        <v/>
      </c>
      <c r="N11" s="10">
        <f>IF(H11&lt;&gt;"",N10+L11,"")</f>
        <v/>
      </c>
      <c r="O11" s="10">
        <f>IF(H11&lt;&gt;"",O10+K11,"")</f>
        <v/>
      </c>
    </row>
    <row r="12">
      <c r="A12" s="3" t="inlineStr">
        <is>
          <t>Original Total Interest</t>
        </is>
      </c>
      <c r="B12" s="9">
        <f>ROUND(MonthlyPmt*TermYears*12-LoanAmount,2)</f>
        <v/>
      </c>
      <c r="H12" s="12">
        <f>IF(AND(M11&gt;0.005,H11&lt;&gt;""),10,"")</f>
        <v/>
      </c>
      <c r="I12" s="13">
        <f>IF(H12&lt;&gt;"",EDATE(StartDate,9),"")</f>
        <v/>
      </c>
      <c r="J12" s="14">
        <f>IF(H12&lt;&gt;"",MIN(MonthlyPmt,M11+K12),"")</f>
        <v/>
      </c>
      <c r="K12" s="14">
        <f>IF(H12&lt;&gt;"",ROUND(M11*AnnualRate/12,2),"")</f>
        <v/>
      </c>
      <c r="L12" s="14">
        <f>IF(H12&lt;&gt;"",MIN(M11,(J12-K12)+SUMPRODUCT(($B$21:$B$30&lt;&gt;"")*($B$21:$B$30&lt;=I12)*(($C$21:$C$30="")+($C$21:$C$30&lt;&gt;"")*($C$21:$C$30&gt;=I12))*($E$21:$E$30="Monthly")*$D$21:$D$30)+SUMPRODUCT(($B$21:$B$30&lt;&gt;"")*($B$21:$B$30&lt;=I12)*(($C$21:$C$30="")+($C$21:$C$30&lt;&gt;"")*($C$21:$C$30&gt;=I12))*($E$21:$E$30="Annual")*(MONTH($B$21:$B$30)=MONTH(I12))*$D$21:$D$30)+SUMPRODUCT(($B$34:$B$48&lt;&gt;"")*(YEAR($B$34:$B$48)=YEAR(I12))*(MONTH($B$34:$B$48)=MONTH(I12))*$C$34:$C$48)),"")</f>
        <v/>
      </c>
      <c r="M12" s="14">
        <f>IF(H12&lt;&gt;"",ROUND(M11-L12,2),"")</f>
        <v/>
      </c>
      <c r="N12" s="10">
        <f>IF(H12&lt;&gt;"",N11+L12,"")</f>
        <v/>
      </c>
      <c r="O12" s="10">
        <f>IF(H12&lt;&gt;"",O11+K12,"")</f>
        <v/>
      </c>
    </row>
    <row r="13">
      <c r="A13" s="3" t="inlineStr">
        <is>
          <t>Accelerated Total Interest</t>
        </is>
      </c>
      <c r="B13" s="9">
        <f>ROUND(SUM(K3:K362),2)</f>
        <v/>
      </c>
      <c r="H13" s="7">
        <f>IF(AND(M12&gt;0.005,H12&lt;&gt;""),11,"")</f>
        <v/>
      </c>
      <c r="I13" s="8">
        <f>IF(H13&lt;&gt;"",EDATE(StartDate,10),"")</f>
        <v/>
      </c>
      <c r="J13" s="9">
        <f>IF(H13&lt;&gt;"",MIN(MonthlyPmt,M12+K13),"")</f>
        <v/>
      </c>
      <c r="K13" s="9">
        <f>IF(H13&lt;&gt;"",ROUND(M12*AnnualRate/12,2),"")</f>
        <v/>
      </c>
      <c r="L13" s="9">
        <f>IF(H13&lt;&gt;"",MIN(M12,(J13-K13)+SUMPRODUCT(($B$21:$B$30&lt;&gt;"")*($B$21:$B$30&lt;=I13)*(($C$21:$C$30="")+($C$21:$C$30&lt;&gt;"")*($C$21:$C$30&gt;=I13))*($E$21:$E$30="Monthly")*$D$21:$D$30)+SUMPRODUCT(($B$21:$B$30&lt;&gt;"")*($B$21:$B$30&lt;=I13)*(($C$21:$C$30="")+($C$21:$C$30&lt;&gt;"")*($C$21:$C$30&gt;=I13))*($E$21:$E$30="Annual")*(MONTH($B$21:$B$30)=MONTH(I13))*$D$21:$D$30)+SUMPRODUCT(($B$34:$B$48&lt;&gt;"")*(YEAR($B$34:$B$48)=YEAR(I13))*(MONTH($B$34:$B$48)=MONTH(I13))*$C$34:$C$48)),"")</f>
        <v/>
      </c>
      <c r="M13" s="9">
        <f>IF(H13&lt;&gt;"",ROUND(M12-L13,2),"")</f>
        <v/>
      </c>
      <c r="N13" s="10">
        <f>IF(H13&lt;&gt;"",N12+L13,"")</f>
        <v/>
      </c>
      <c r="O13" s="10">
        <f>IF(H13&lt;&gt;"",O12+K13,"")</f>
        <v/>
      </c>
    </row>
    <row r="14">
      <c r="A14" s="3" t="inlineStr">
        <is>
          <t>Interest Saved</t>
        </is>
      </c>
      <c r="B14" s="17">
        <f>B12-B13</f>
        <v/>
      </c>
      <c r="H14" s="12">
        <f>IF(AND(M13&gt;0.005,H13&lt;&gt;""),12,"")</f>
        <v/>
      </c>
      <c r="I14" s="13">
        <f>IF(H14&lt;&gt;"",EDATE(StartDate,11),"")</f>
        <v/>
      </c>
      <c r="J14" s="14">
        <f>IF(H14&lt;&gt;"",MIN(MonthlyPmt,M13+K14),"")</f>
        <v/>
      </c>
      <c r="K14" s="14">
        <f>IF(H14&lt;&gt;"",ROUND(M13*AnnualRate/12,2),"")</f>
        <v/>
      </c>
      <c r="L14" s="14">
        <f>IF(H14&lt;&gt;"",MIN(M13,(J14-K14)+SUMPRODUCT(($B$21:$B$30&lt;&gt;"")*($B$21:$B$30&lt;=I14)*(($C$21:$C$30="")+($C$21:$C$30&lt;&gt;"")*($C$21:$C$30&gt;=I14))*($E$21:$E$30="Monthly")*$D$21:$D$30)+SUMPRODUCT(($B$21:$B$30&lt;&gt;"")*($B$21:$B$30&lt;=I14)*(($C$21:$C$30="")+($C$21:$C$30&lt;&gt;"")*($C$21:$C$30&gt;=I14))*($E$21:$E$30="Annual")*(MONTH($B$21:$B$30)=MONTH(I14))*$D$21:$D$30)+SUMPRODUCT(($B$34:$B$48&lt;&gt;"")*(YEAR($B$34:$B$48)=YEAR(I14))*(MONTH($B$34:$B$48)=MONTH(I14))*$C$34:$C$48)),"")</f>
        <v/>
      </c>
      <c r="M14" s="14">
        <f>IF(H14&lt;&gt;"",ROUND(M13-L14,2),"")</f>
        <v/>
      </c>
      <c r="N14" s="10">
        <f>IF(H14&lt;&gt;"",N13+L14,"")</f>
        <v/>
      </c>
      <c r="O14" s="10">
        <f>IF(H14&lt;&gt;"",O13+K14,"")</f>
        <v/>
      </c>
    </row>
    <row r="15">
      <c r="A15" s="3" t="inlineStr">
        <is>
          <t>Months Saved</t>
        </is>
      </c>
      <c r="B15" s="18">
        <f>TermYears*12-SUMPRODUCT(1*(ISNUMBER(H3:H362)))</f>
        <v/>
      </c>
      <c r="H15" s="7">
        <f>IF(AND(M14&gt;0.005,H14&lt;&gt;""),13,"")</f>
        <v/>
      </c>
      <c r="I15" s="8">
        <f>IF(H15&lt;&gt;"",EDATE(StartDate,12),"")</f>
        <v/>
      </c>
      <c r="J15" s="9">
        <f>IF(H15&lt;&gt;"",MIN(MonthlyPmt,M14+K15),"")</f>
        <v/>
      </c>
      <c r="K15" s="9">
        <f>IF(H15&lt;&gt;"",ROUND(M14*AnnualRate/12,2),"")</f>
        <v/>
      </c>
      <c r="L15" s="9">
        <f>IF(H15&lt;&gt;"",MIN(M14,(J15-K15)+SUMPRODUCT(($B$21:$B$30&lt;&gt;"")*($B$21:$B$30&lt;=I15)*(($C$21:$C$30="")+($C$21:$C$30&lt;&gt;"")*($C$21:$C$30&gt;=I15))*($E$21:$E$30="Monthly")*$D$21:$D$30)+SUMPRODUCT(($B$21:$B$30&lt;&gt;"")*($B$21:$B$30&lt;=I15)*(($C$21:$C$30="")+($C$21:$C$30&lt;&gt;"")*($C$21:$C$30&gt;=I15))*($E$21:$E$30="Annual")*(MONTH($B$21:$B$30)=MONTH(I15))*$D$21:$D$30)+SUMPRODUCT(($B$34:$B$48&lt;&gt;"")*(YEAR($B$34:$B$48)=YEAR(I15))*(MONTH($B$34:$B$48)=MONTH(I15))*$C$34:$C$48)),"")</f>
        <v/>
      </c>
      <c r="M15" s="9">
        <f>IF(H15&lt;&gt;"",ROUND(M14-L15,2),"")</f>
        <v/>
      </c>
      <c r="N15" s="10">
        <f>IF(H15&lt;&gt;"",N14+L15,"")</f>
        <v/>
      </c>
      <c r="O15" s="10">
        <f>IF(H15&lt;&gt;"",O14+K15,"")</f>
        <v/>
      </c>
    </row>
    <row r="16">
      <c r="A16" s="3" t="inlineStr">
        <is>
          <t>Total of Payments (P+I)</t>
        </is>
      </c>
      <c r="B16" s="9">
        <f>ROUND(SUM(J3:J362),2)</f>
        <v/>
      </c>
      <c r="H16" s="12">
        <f>IF(AND(M15&gt;0.005,H15&lt;&gt;""),14,"")</f>
        <v/>
      </c>
      <c r="I16" s="13">
        <f>IF(H16&lt;&gt;"",EDATE(StartDate,13),"")</f>
        <v/>
      </c>
      <c r="J16" s="14">
        <f>IF(H16&lt;&gt;"",MIN(MonthlyPmt,M15+K16),"")</f>
        <v/>
      </c>
      <c r="K16" s="14">
        <f>IF(H16&lt;&gt;"",ROUND(M15*AnnualRate/12,2),"")</f>
        <v/>
      </c>
      <c r="L16" s="14">
        <f>IF(H16&lt;&gt;"",MIN(M15,(J16-K16)+SUMPRODUCT(($B$21:$B$30&lt;&gt;"")*($B$21:$B$30&lt;=I16)*(($C$21:$C$30="")+($C$21:$C$30&lt;&gt;"")*($C$21:$C$30&gt;=I16))*($E$21:$E$30="Monthly")*$D$21:$D$30)+SUMPRODUCT(($B$21:$B$30&lt;&gt;"")*($B$21:$B$30&lt;=I16)*(($C$21:$C$30="")+($C$21:$C$30&lt;&gt;"")*($C$21:$C$30&gt;=I16))*($E$21:$E$30="Annual")*(MONTH($B$21:$B$30)=MONTH(I16))*$D$21:$D$30)+SUMPRODUCT(($B$34:$B$48&lt;&gt;"")*(YEAR($B$34:$B$48)=YEAR(I16))*(MONTH($B$34:$B$48)=MONTH(I16))*$C$34:$C$48)),"")</f>
        <v/>
      </c>
      <c r="M16" s="14">
        <f>IF(H16&lt;&gt;"",ROUND(M15-L16,2),"")</f>
        <v/>
      </c>
      <c r="N16" s="10">
        <f>IF(H16&lt;&gt;"",N15+L16,"")</f>
        <v/>
      </c>
      <c r="O16" s="10">
        <f>IF(H16&lt;&gt;"",O15+K16,"")</f>
        <v/>
      </c>
    </row>
    <row r="17">
      <c r="A17" s="3" t="inlineStr">
        <is>
          <t>Total Extra Payments</t>
        </is>
      </c>
      <c r="B17" s="9">
        <f>ROUND(SUM(L3:L362)-SUM(J3:J362)+SUM(K3:K362),2)</f>
        <v/>
      </c>
      <c r="H17" s="7">
        <f>IF(AND(M16&gt;0.005,H16&lt;&gt;""),15,"")</f>
        <v/>
      </c>
      <c r="I17" s="8">
        <f>IF(H17&lt;&gt;"",EDATE(StartDate,14),"")</f>
        <v/>
      </c>
      <c r="J17" s="9">
        <f>IF(H17&lt;&gt;"",MIN(MonthlyPmt,M16+K17),"")</f>
        <v/>
      </c>
      <c r="K17" s="9">
        <f>IF(H17&lt;&gt;"",ROUND(M16*AnnualRate/12,2),"")</f>
        <v/>
      </c>
      <c r="L17" s="9">
        <f>IF(H17&lt;&gt;"",MIN(M16,(J17-K17)+SUMPRODUCT(($B$21:$B$30&lt;&gt;"")*($B$21:$B$30&lt;=I17)*(($C$21:$C$30="")+($C$21:$C$30&lt;&gt;"")*($C$21:$C$30&gt;=I17))*($E$21:$E$30="Monthly")*$D$21:$D$30)+SUMPRODUCT(($B$21:$B$30&lt;&gt;"")*($B$21:$B$30&lt;=I17)*(($C$21:$C$30="")+($C$21:$C$30&lt;&gt;"")*($C$21:$C$30&gt;=I17))*($E$21:$E$30="Annual")*(MONTH($B$21:$B$30)=MONTH(I17))*$D$21:$D$30)+SUMPRODUCT(($B$34:$B$48&lt;&gt;"")*(YEAR($B$34:$B$48)=YEAR(I17))*(MONTH($B$34:$B$48)=MONTH(I17))*$C$34:$C$48)),"")</f>
        <v/>
      </c>
      <c r="M17" s="9">
        <f>IF(H17&lt;&gt;"",ROUND(M16-L17,2),"")</f>
        <v/>
      </c>
      <c r="N17" s="10">
        <f>IF(H17&lt;&gt;"",N16+L17,"")</f>
        <v/>
      </c>
      <c r="O17" s="10">
        <f>IF(H17&lt;&gt;"",O16+K17,"")</f>
        <v/>
      </c>
    </row>
    <row r="18">
      <c r="H18" s="12">
        <f>IF(AND(M17&gt;0.005,H17&lt;&gt;""),16,"")</f>
        <v/>
      </c>
      <c r="I18" s="13">
        <f>IF(H18&lt;&gt;"",EDATE(StartDate,15),"")</f>
        <v/>
      </c>
      <c r="J18" s="14">
        <f>IF(H18&lt;&gt;"",MIN(MonthlyPmt,M17+K18),"")</f>
        <v/>
      </c>
      <c r="K18" s="14">
        <f>IF(H18&lt;&gt;"",ROUND(M17*AnnualRate/12,2),"")</f>
        <v/>
      </c>
      <c r="L18" s="14">
        <f>IF(H18&lt;&gt;"",MIN(M17,(J18-K18)+SUMPRODUCT(($B$21:$B$30&lt;&gt;"")*($B$21:$B$30&lt;=I18)*(($C$21:$C$30="")+($C$21:$C$30&lt;&gt;"")*($C$21:$C$30&gt;=I18))*($E$21:$E$30="Monthly")*$D$21:$D$30)+SUMPRODUCT(($B$21:$B$30&lt;&gt;"")*($B$21:$B$30&lt;=I18)*(($C$21:$C$30="")+($C$21:$C$30&lt;&gt;"")*($C$21:$C$30&gt;=I18))*($E$21:$E$30="Annual")*(MONTH($B$21:$B$30)=MONTH(I18))*$D$21:$D$30)+SUMPRODUCT(($B$34:$B$48&lt;&gt;"")*(YEAR($B$34:$B$48)=YEAR(I18))*(MONTH($B$34:$B$48)=MONTH(I18))*$C$34:$C$48)),"")</f>
        <v/>
      </c>
      <c r="M18" s="14">
        <f>IF(H18&lt;&gt;"",ROUND(M17-L18,2),"")</f>
        <v/>
      </c>
      <c r="N18" s="10">
        <f>IF(H18&lt;&gt;"",N17+L18,"")</f>
        <v/>
      </c>
      <c r="O18" s="10">
        <f>IF(H18&lt;&gt;"",O17+K18,"")</f>
        <v/>
      </c>
    </row>
    <row r="19">
      <c r="A19" s="1" t="inlineStr">
        <is>
          <t>RECURRING EXTRA PAYMENTS</t>
        </is>
      </c>
      <c r="H19" s="7">
        <f>IF(AND(M18&gt;0.005,H18&lt;&gt;""),17,"")</f>
        <v/>
      </c>
      <c r="I19" s="8">
        <f>IF(H19&lt;&gt;"",EDATE(StartDate,16),"")</f>
        <v/>
      </c>
      <c r="J19" s="9">
        <f>IF(H19&lt;&gt;"",MIN(MonthlyPmt,M18+K19),"")</f>
        <v/>
      </c>
      <c r="K19" s="9">
        <f>IF(H19&lt;&gt;"",ROUND(M18*AnnualRate/12,2),"")</f>
        <v/>
      </c>
      <c r="L19" s="9">
        <f>IF(H19&lt;&gt;"",MIN(M18,(J19-K19)+SUMPRODUCT(($B$21:$B$30&lt;&gt;"")*($B$21:$B$30&lt;=I19)*(($C$21:$C$30="")+($C$21:$C$30&lt;&gt;"")*($C$21:$C$30&gt;=I19))*($E$21:$E$30="Monthly")*$D$21:$D$30)+SUMPRODUCT(($B$21:$B$30&lt;&gt;"")*($B$21:$B$30&lt;=I19)*(($C$21:$C$30="")+($C$21:$C$30&lt;&gt;"")*($C$21:$C$30&gt;=I19))*($E$21:$E$30="Annual")*(MONTH($B$21:$B$30)=MONTH(I19))*$D$21:$D$30)+SUMPRODUCT(($B$34:$B$48&lt;&gt;"")*(YEAR($B$34:$B$48)=YEAR(I19))*(MONTH($B$34:$B$48)=MONTH(I19))*$C$34:$C$48)),"")</f>
        <v/>
      </c>
      <c r="M19" s="9">
        <f>IF(H19&lt;&gt;"",ROUND(M18-L19,2),"")</f>
        <v/>
      </c>
      <c r="N19" s="10">
        <f>IF(H19&lt;&gt;"",N18+L19,"")</f>
        <v/>
      </c>
      <c r="O19" s="10">
        <f>IF(H19&lt;&gt;"",O18+K19,"")</f>
        <v/>
      </c>
    </row>
    <row r="20">
      <c r="A20" s="5" t="inlineStr">
        <is>
          <t>#</t>
        </is>
      </c>
      <c r="B20" s="5" t="inlineStr">
        <is>
          <t>Start Date</t>
        </is>
      </c>
      <c r="C20" s="5" t="inlineStr">
        <is>
          <t>End Date (optional)</t>
        </is>
      </c>
      <c r="D20" s="5" t="inlineStr">
        <is>
          <t>Amount ($)</t>
        </is>
      </c>
      <c r="E20" s="5" t="inlineStr">
        <is>
          <t>Frequency</t>
        </is>
      </c>
      <c r="H20" s="12">
        <f>IF(AND(M19&gt;0.005,H19&lt;&gt;""),18,"")</f>
        <v/>
      </c>
      <c r="I20" s="13">
        <f>IF(H20&lt;&gt;"",EDATE(StartDate,17),"")</f>
        <v/>
      </c>
      <c r="J20" s="14">
        <f>IF(H20&lt;&gt;"",MIN(MonthlyPmt,M19+K20),"")</f>
        <v/>
      </c>
      <c r="K20" s="14">
        <f>IF(H20&lt;&gt;"",ROUND(M19*AnnualRate/12,2),"")</f>
        <v/>
      </c>
      <c r="L20" s="14">
        <f>IF(H20&lt;&gt;"",MIN(M19,(J20-K20)+SUMPRODUCT(($B$21:$B$30&lt;&gt;"")*($B$21:$B$30&lt;=I20)*(($C$21:$C$30="")+($C$21:$C$30&lt;&gt;"")*($C$21:$C$30&gt;=I20))*($E$21:$E$30="Monthly")*$D$21:$D$30)+SUMPRODUCT(($B$21:$B$30&lt;&gt;"")*($B$21:$B$30&lt;=I20)*(($C$21:$C$30="")+($C$21:$C$30&lt;&gt;"")*($C$21:$C$30&gt;=I20))*($E$21:$E$30="Annual")*(MONTH($B$21:$B$30)=MONTH(I20))*$D$21:$D$30)+SUMPRODUCT(($B$34:$B$48&lt;&gt;"")*(YEAR($B$34:$B$48)=YEAR(I20))*(MONTH($B$34:$B$48)=MONTH(I20))*$C$34:$C$48)),"")</f>
        <v/>
      </c>
      <c r="M20" s="14">
        <f>IF(H20&lt;&gt;"",ROUND(M19-L20,2),"")</f>
        <v/>
      </c>
      <c r="N20" s="10">
        <f>IF(H20&lt;&gt;"",N19+L20,"")</f>
        <v/>
      </c>
      <c r="O20" s="10">
        <f>IF(H20&lt;&gt;"",O19+K20,"")</f>
        <v/>
      </c>
    </row>
    <row r="21">
      <c r="A21" s="7" t="n">
        <v>1</v>
      </c>
      <c r="B21" s="15" t="n"/>
      <c r="C21" s="15" t="n"/>
      <c r="D21" s="4" t="n"/>
      <c r="E21" s="19" t="n"/>
      <c r="H21" s="7">
        <f>IF(AND(M20&gt;0.005,H20&lt;&gt;""),19,"")</f>
        <v/>
      </c>
      <c r="I21" s="8">
        <f>IF(H21&lt;&gt;"",EDATE(StartDate,18),"")</f>
        <v/>
      </c>
      <c r="J21" s="9">
        <f>IF(H21&lt;&gt;"",MIN(MonthlyPmt,M20+K21),"")</f>
        <v/>
      </c>
      <c r="K21" s="9">
        <f>IF(H21&lt;&gt;"",ROUND(M20*AnnualRate/12,2),"")</f>
        <v/>
      </c>
      <c r="L21" s="9">
        <f>IF(H21&lt;&gt;"",MIN(M20,(J21-K21)+SUMPRODUCT(($B$21:$B$30&lt;&gt;"")*($B$21:$B$30&lt;=I21)*(($C$21:$C$30="")+($C$21:$C$30&lt;&gt;"")*($C$21:$C$30&gt;=I21))*($E$21:$E$30="Monthly")*$D$21:$D$30)+SUMPRODUCT(($B$21:$B$30&lt;&gt;"")*($B$21:$B$30&lt;=I21)*(($C$21:$C$30="")+($C$21:$C$30&lt;&gt;"")*($C$21:$C$30&gt;=I21))*($E$21:$E$30="Annual")*(MONTH($B$21:$B$30)=MONTH(I21))*$D$21:$D$30)+SUMPRODUCT(($B$34:$B$48&lt;&gt;"")*(YEAR($B$34:$B$48)=YEAR(I21))*(MONTH($B$34:$B$48)=MONTH(I21))*$C$34:$C$48)),"")</f>
        <v/>
      </c>
      <c r="M21" s="9">
        <f>IF(H21&lt;&gt;"",ROUND(M20-L21,2),"")</f>
        <v/>
      </c>
      <c r="N21" s="10">
        <f>IF(H21&lt;&gt;"",N20+L21,"")</f>
        <v/>
      </c>
      <c r="O21" s="10">
        <f>IF(H21&lt;&gt;"",O20+K21,"")</f>
        <v/>
      </c>
    </row>
    <row r="22">
      <c r="A22" s="7" t="n">
        <v>2</v>
      </c>
      <c r="B22" s="15" t="n"/>
      <c r="C22" s="15" t="n"/>
      <c r="D22" s="4" t="n"/>
      <c r="E22" s="19" t="n"/>
      <c r="H22" s="12">
        <f>IF(AND(M21&gt;0.005,H21&lt;&gt;""),20,"")</f>
        <v/>
      </c>
      <c r="I22" s="13">
        <f>IF(H22&lt;&gt;"",EDATE(StartDate,19),"")</f>
        <v/>
      </c>
      <c r="J22" s="14">
        <f>IF(H22&lt;&gt;"",MIN(MonthlyPmt,M21+K22),"")</f>
        <v/>
      </c>
      <c r="K22" s="14">
        <f>IF(H22&lt;&gt;"",ROUND(M21*AnnualRate/12,2),"")</f>
        <v/>
      </c>
      <c r="L22" s="14">
        <f>IF(H22&lt;&gt;"",MIN(M21,(J22-K22)+SUMPRODUCT(($B$21:$B$30&lt;&gt;"")*($B$21:$B$30&lt;=I22)*(($C$21:$C$30="")+($C$21:$C$30&lt;&gt;"")*($C$21:$C$30&gt;=I22))*($E$21:$E$30="Monthly")*$D$21:$D$30)+SUMPRODUCT(($B$21:$B$30&lt;&gt;"")*($B$21:$B$30&lt;=I22)*(($C$21:$C$30="")+($C$21:$C$30&lt;&gt;"")*($C$21:$C$30&gt;=I22))*($E$21:$E$30="Annual")*(MONTH($B$21:$B$30)=MONTH(I22))*$D$21:$D$30)+SUMPRODUCT(($B$34:$B$48&lt;&gt;"")*(YEAR($B$34:$B$48)=YEAR(I22))*(MONTH($B$34:$B$48)=MONTH(I22))*$C$34:$C$48)),"")</f>
        <v/>
      </c>
      <c r="M22" s="14">
        <f>IF(H22&lt;&gt;"",ROUND(M21-L22,2),"")</f>
        <v/>
      </c>
      <c r="N22" s="10">
        <f>IF(H22&lt;&gt;"",N21+L22,"")</f>
        <v/>
      </c>
      <c r="O22" s="10">
        <f>IF(H22&lt;&gt;"",O21+K22,"")</f>
        <v/>
      </c>
    </row>
    <row r="23">
      <c r="A23" s="7" t="n">
        <v>3</v>
      </c>
      <c r="B23" s="15" t="n"/>
      <c r="C23" s="15" t="n"/>
      <c r="D23" s="4" t="n"/>
      <c r="E23" s="19" t="n"/>
      <c r="H23" s="7">
        <f>IF(AND(M22&gt;0.005,H22&lt;&gt;""),21,"")</f>
        <v/>
      </c>
      <c r="I23" s="8">
        <f>IF(H23&lt;&gt;"",EDATE(StartDate,20),"")</f>
        <v/>
      </c>
      <c r="J23" s="9">
        <f>IF(H23&lt;&gt;"",MIN(MonthlyPmt,M22+K23),"")</f>
        <v/>
      </c>
      <c r="K23" s="9">
        <f>IF(H23&lt;&gt;"",ROUND(M22*AnnualRate/12,2),"")</f>
        <v/>
      </c>
      <c r="L23" s="9">
        <f>IF(H23&lt;&gt;"",MIN(M22,(J23-K23)+SUMPRODUCT(($B$21:$B$30&lt;&gt;"")*($B$21:$B$30&lt;=I23)*(($C$21:$C$30="")+($C$21:$C$30&lt;&gt;"")*($C$21:$C$30&gt;=I23))*($E$21:$E$30="Monthly")*$D$21:$D$30)+SUMPRODUCT(($B$21:$B$30&lt;&gt;"")*($B$21:$B$30&lt;=I23)*(($C$21:$C$30="")+($C$21:$C$30&lt;&gt;"")*($C$21:$C$30&gt;=I23))*($E$21:$E$30="Annual")*(MONTH($B$21:$B$30)=MONTH(I23))*$D$21:$D$30)+SUMPRODUCT(($B$34:$B$48&lt;&gt;"")*(YEAR($B$34:$B$48)=YEAR(I23))*(MONTH($B$34:$B$48)=MONTH(I23))*$C$34:$C$48)),"")</f>
        <v/>
      </c>
      <c r="M23" s="9">
        <f>IF(H23&lt;&gt;"",ROUND(M22-L23,2),"")</f>
        <v/>
      </c>
      <c r="N23" s="10">
        <f>IF(H23&lt;&gt;"",N22+L23,"")</f>
        <v/>
      </c>
      <c r="O23" s="10">
        <f>IF(H23&lt;&gt;"",O22+K23,"")</f>
        <v/>
      </c>
    </row>
    <row r="24">
      <c r="A24" s="7" t="n">
        <v>4</v>
      </c>
      <c r="B24" s="15" t="n"/>
      <c r="C24" s="15" t="n"/>
      <c r="D24" s="4" t="n"/>
      <c r="E24" s="19" t="n"/>
      <c r="H24" s="12">
        <f>IF(AND(M23&gt;0.005,H23&lt;&gt;""),22,"")</f>
        <v/>
      </c>
      <c r="I24" s="13">
        <f>IF(H24&lt;&gt;"",EDATE(StartDate,21),"")</f>
        <v/>
      </c>
      <c r="J24" s="14">
        <f>IF(H24&lt;&gt;"",MIN(MonthlyPmt,M23+K24),"")</f>
        <v/>
      </c>
      <c r="K24" s="14">
        <f>IF(H24&lt;&gt;"",ROUND(M23*AnnualRate/12,2),"")</f>
        <v/>
      </c>
      <c r="L24" s="14">
        <f>IF(H24&lt;&gt;"",MIN(M23,(J24-K24)+SUMPRODUCT(($B$21:$B$30&lt;&gt;"")*($B$21:$B$30&lt;=I24)*(($C$21:$C$30="")+($C$21:$C$30&lt;&gt;"")*($C$21:$C$30&gt;=I24))*($E$21:$E$30="Monthly")*$D$21:$D$30)+SUMPRODUCT(($B$21:$B$30&lt;&gt;"")*($B$21:$B$30&lt;=I24)*(($C$21:$C$30="")+($C$21:$C$30&lt;&gt;"")*($C$21:$C$30&gt;=I24))*($E$21:$E$30="Annual")*(MONTH($B$21:$B$30)=MONTH(I24))*$D$21:$D$30)+SUMPRODUCT(($B$34:$B$48&lt;&gt;"")*(YEAR($B$34:$B$48)=YEAR(I24))*(MONTH($B$34:$B$48)=MONTH(I24))*$C$34:$C$48)),"")</f>
        <v/>
      </c>
      <c r="M24" s="14">
        <f>IF(H24&lt;&gt;"",ROUND(M23-L24,2),"")</f>
        <v/>
      </c>
      <c r="N24" s="10">
        <f>IF(H24&lt;&gt;"",N23+L24,"")</f>
        <v/>
      </c>
      <c r="O24" s="10">
        <f>IF(H24&lt;&gt;"",O23+K24,"")</f>
        <v/>
      </c>
    </row>
    <row r="25">
      <c r="A25" s="7" t="n">
        <v>5</v>
      </c>
      <c r="B25" s="15" t="n"/>
      <c r="C25" s="15" t="n"/>
      <c r="D25" s="4" t="n"/>
      <c r="E25" s="19" t="n"/>
      <c r="H25" s="7">
        <f>IF(AND(M24&gt;0.005,H24&lt;&gt;""),23,"")</f>
        <v/>
      </c>
      <c r="I25" s="8">
        <f>IF(H25&lt;&gt;"",EDATE(StartDate,22),"")</f>
        <v/>
      </c>
      <c r="J25" s="9">
        <f>IF(H25&lt;&gt;"",MIN(MonthlyPmt,M24+K25),"")</f>
        <v/>
      </c>
      <c r="K25" s="9">
        <f>IF(H25&lt;&gt;"",ROUND(M24*AnnualRate/12,2),"")</f>
        <v/>
      </c>
      <c r="L25" s="9">
        <f>IF(H25&lt;&gt;"",MIN(M24,(J25-K25)+SUMPRODUCT(($B$21:$B$30&lt;&gt;"")*($B$21:$B$30&lt;=I25)*(($C$21:$C$30="")+($C$21:$C$30&lt;&gt;"")*($C$21:$C$30&gt;=I25))*($E$21:$E$30="Monthly")*$D$21:$D$30)+SUMPRODUCT(($B$21:$B$30&lt;&gt;"")*($B$21:$B$30&lt;=I25)*(($C$21:$C$30="")+($C$21:$C$30&lt;&gt;"")*($C$21:$C$30&gt;=I25))*($E$21:$E$30="Annual")*(MONTH($B$21:$B$30)=MONTH(I25))*$D$21:$D$30)+SUMPRODUCT(($B$34:$B$48&lt;&gt;"")*(YEAR($B$34:$B$48)=YEAR(I25))*(MONTH($B$34:$B$48)=MONTH(I25))*$C$34:$C$48)),"")</f>
        <v/>
      </c>
      <c r="M25" s="9">
        <f>IF(H25&lt;&gt;"",ROUND(M24-L25,2),"")</f>
        <v/>
      </c>
      <c r="N25" s="10">
        <f>IF(H25&lt;&gt;"",N24+L25,"")</f>
        <v/>
      </c>
      <c r="O25" s="10">
        <f>IF(H25&lt;&gt;"",O24+K25,"")</f>
        <v/>
      </c>
    </row>
    <row r="26">
      <c r="A26" s="7" t="n">
        <v>6</v>
      </c>
      <c r="B26" s="15" t="n"/>
      <c r="C26" s="15" t="n"/>
      <c r="D26" s="4" t="n"/>
      <c r="E26" s="19" t="n"/>
      <c r="H26" s="12">
        <f>IF(AND(M25&gt;0.005,H25&lt;&gt;""),24,"")</f>
        <v/>
      </c>
      <c r="I26" s="13">
        <f>IF(H26&lt;&gt;"",EDATE(StartDate,23),"")</f>
        <v/>
      </c>
      <c r="J26" s="14">
        <f>IF(H26&lt;&gt;"",MIN(MonthlyPmt,M25+K26),"")</f>
        <v/>
      </c>
      <c r="K26" s="14">
        <f>IF(H26&lt;&gt;"",ROUND(M25*AnnualRate/12,2),"")</f>
        <v/>
      </c>
      <c r="L26" s="14">
        <f>IF(H26&lt;&gt;"",MIN(M25,(J26-K26)+SUMPRODUCT(($B$21:$B$30&lt;&gt;"")*($B$21:$B$30&lt;=I26)*(($C$21:$C$30="")+($C$21:$C$30&lt;&gt;"")*($C$21:$C$30&gt;=I26))*($E$21:$E$30="Monthly")*$D$21:$D$30)+SUMPRODUCT(($B$21:$B$30&lt;&gt;"")*($B$21:$B$30&lt;=I26)*(($C$21:$C$30="")+($C$21:$C$30&lt;&gt;"")*($C$21:$C$30&gt;=I26))*($E$21:$E$30="Annual")*(MONTH($B$21:$B$30)=MONTH(I26))*$D$21:$D$30)+SUMPRODUCT(($B$34:$B$48&lt;&gt;"")*(YEAR($B$34:$B$48)=YEAR(I26))*(MONTH($B$34:$B$48)=MONTH(I26))*$C$34:$C$48)),"")</f>
        <v/>
      </c>
      <c r="M26" s="14">
        <f>IF(H26&lt;&gt;"",ROUND(M25-L26,2),"")</f>
        <v/>
      </c>
      <c r="N26" s="10">
        <f>IF(H26&lt;&gt;"",N25+L26,"")</f>
        <v/>
      </c>
      <c r="O26" s="10">
        <f>IF(H26&lt;&gt;"",O25+K26,"")</f>
        <v/>
      </c>
    </row>
    <row r="27">
      <c r="A27" s="7" t="n">
        <v>7</v>
      </c>
      <c r="B27" s="15" t="n"/>
      <c r="C27" s="15" t="n"/>
      <c r="D27" s="4" t="n"/>
      <c r="E27" s="19" t="n"/>
      <c r="H27" s="7">
        <f>IF(AND(M26&gt;0.005,H26&lt;&gt;""),25,"")</f>
        <v/>
      </c>
      <c r="I27" s="8">
        <f>IF(H27&lt;&gt;"",EDATE(StartDate,24),"")</f>
        <v/>
      </c>
      <c r="J27" s="9">
        <f>IF(H27&lt;&gt;"",MIN(MonthlyPmt,M26+K27),"")</f>
        <v/>
      </c>
      <c r="K27" s="9">
        <f>IF(H27&lt;&gt;"",ROUND(M26*AnnualRate/12,2),"")</f>
        <v/>
      </c>
      <c r="L27" s="9">
        <f>IF(H27&lt;&gt;"",MIN(M26,(J27-K27)+SUMPRODUCT(($B$21:$B$30&lt;&gt;"")*($B$21:$B$30&lt;=I27)*(($C$21:$C$30="")+($C$21:$C$30&lt;&gt;"")*($C$21:$C$30&gt;=I27))*($E$21:$E$30="Monthly")*$D$21:$D$30)+SUMPRODUCT(($B$21:$B$30&lt;&gt;"")*($B$21:$B$30&lt;=I27)*(($C$21:$C$30="")+($C$21:$C$30&lt;&gt;"")*($C$21:$C$30&gt;=I27))*($E$21:$E$30="Annual")*(MONTH($B$21:$B$30)=MONTH(I27))*$D$21:$D$30)+SUMPRODUCT(($B$34:$B$48&lt;&gt;"")*(YEAR($B$34:$B$48)=YEAR(I27))*(MONTH($B$34:$B$48)=MONTH(I27))*$C$34:$C$48)),"")</f>
        <v/>
      </c>
      <c r="M27" s="9">
        <f>IF(H27&lt;&gt;"",ROUND(M26-L27,2),"")</f>
        <v/>
      </c>
      <c r="N27" s="10">
        <f>IF(H27&lt;&gt;"",N26+L27,"")</f>
        <v/>
      </c>
      <c r="O27" s="10">
        <f>IF(H27&lt;&gt;"",O26+K27,"")</f>
        <v/>
      </c>
    </row>
    <row r="28">
      <c r="A28" s="7" t="n">
        <v>8</v>
      </c>
      <c r="B28" s="15" t="n"/>
      <c r="C28" s="15" t="n"/>
      <c r="D28" s="4" t="n"/>
      <c r="E28" s="19" t="n"/>
      <c r="H28" s="12">
        <f>IF(AND(M27&gt;0.005,H27&lt;&gt;""),26,"")</f>
        <v/>
      </c>
      <c r="I28" s="13">
        <f>IF(H28&lt;&gt;"",EDATE(StartDate,25),"")</f>
        <v/>
      </c>
      <c r="J28" s="14">
        <f>IF(H28&lt;&gt;"",MIN(MonthlyPmt,M27+K28),"")</f>
        <v/>
      </c>
      <c r="K28" s="14">
        <f>IF(H28&lt;&gt;"",ROUND(M27*AnnualRate/12,2),"")</f>
        <v/>
      </c>
      <c r="L28" s="14">
        <f>IF(H28&lt;&gt;"",MIN(M27,(J28-K28)+SUMPRODUCT(($B$21:$B$30&lt;&gt;"")*($B$21:$B$30&lt;=I28)*(($C$21:$C$30="")+($C$21:$C$30&lt;&gt;"")*($C$21:$C$30&gt;=I28))*($E$21:$E$30="Monthly")*$D$21:$D$30)+SUMPRODUCT(($B$21:$B$30&lt;&gt;"")*($B$21:$B$30&lt;=I28)*(($C$21:$C$30="")+($C$21:$C$30&lt;&gt;"")*($C$21:$C$30&gt;=I28))*($E$21:$E$30="Annual")*(MONTH($B$21:$B$30)=MONTH(I28))*$D$21:$D$30)+SUMPRODUCT(($B$34:$B$48&lt;&gt;"")*(YEAR($B$34:$B$48)=YEAR(I28))*(MONTH($B$34:$B$48)=MONTH(I28))*$C$34:$C$48)),"")</f>
        <v/>
      </c>
      <c r="M28" s="14">
        <f>IF(H28&lt;&gt;"",ROUND(M27-L28,2),"")</f>
        <v/>
      </c>
      <c r="N28" s="10">
        <f>IF(H28&lt;&gt;"",N27+L28,"")</f>
        <v/>
      </c>
      <c r="O28" s="10">
        <f>IF(H28&lt;&gt;"",O27+K28,"")</f>
        <v/>
      </c>
    </row>
    <row r="29">
      <c r="A29" s="7" t="n">
        <v>9</v>
      </c>
      <c r="B29" s="15" t="n"/>
      <c r="C29" s="15" t="n"/>
      <c r="D29" s="4" t="n"/>
      <c r="E29" s="19" t="n"/>
      <c r="H29" s="7">
        <f>IF(AND(M28&gt;0.005,H28&lt;&gt;""),27,"")</f>
        <v/>
      </c>
      <c r="I29" s="8">
        <f>IF(H29&lt;&gt;"",EDATE(StartDate,26),"")</f>
        <v/>
      </c>
      <c r="J29" s="9">
        <f>IF(H29&lt;&gt;"",MIN(MonthlyPmt,M28+K29),"")</f>
        <v/>
      </c>
      <c r="K29" s="9">
        <f>IF(H29&lt;&gt;"",ROUND(M28*AnnualRate/12,2),"")</f>
        <v/>
      </c>
      <c r="L29" s="9">
        <f>IF(H29&lt;&gt;"",MIN(M28,(J29-K29)+SUMPRODUCT(($B$21:$B$30&lt;&gt;"")*($B$21:$B$30&lt;=I29)*(($C$21:$C$30="")+($C$21:$C$30&lt;&gt;"")*($C$21:$C$30&gt;=I29))*($E$21:$E$30="Monthly")*$D$21:$D$30)+SUMPRODUCT(($B$21:$B$30&lt;&gt;"")*($B$21:$B$30&lt;=I29)*(($C$21:$C$30="")+($C$21:$C$30&lt;&gt;"")*($C$21:$C$30&gt;=I29))*($E$21:$E$30="Annual")*(MONTH($B$21:$B$30)=MONTH(I29))*$D$21:$D$30)+SUMPRODUCT(($B$34:$B$48&lt;&gt;"")*(YEAR($B$34:$B$48)=YEAR(I29))*(MONTH($B$34:$B$48)=MONTH(I29))*$C$34:$C$48)),"")</f>
        <v/>
      </c>
      <c r="M29" s="9">
        <f>IF(H29&lt;&gt;"",ROUND(M28-L29,2),"")</f>
        <v/>
      </c>
      <c r="N29" s="10">
        <f>IF(H29&lt;&gt;"",N28+L29,"")</f>
        <v/>
      </c>
      <c r="O29" s="10">
        <f>IF(H29&lt;&gt;"",O28+K29,"")</f>
        <v/>
      </c>
    </row>
    <row r="30">
      <c r="A30" s="7" t="n">
        <v>10</v>
      </c>
      <c r="B30" s="15" t="n"/>
      <c r="C30" s="15" t="n"/>
      <c r="D30" s="4" t="n"/>
      <c r="E30" s="19" t="n"/>
      <c r="H30" s="12">
        <f>IF(AND(M29&gt;0.005,H29&lt;&gt;""),28,"")</f>
        <v/>
      </c>
      <c r="I30" s="13">
        <f>IF(H30&lt;&gt;"",EDATE(StartDate,27),"")</f>
        <v/>
      </c>
      <c r="J30" s="14">
        <f>IF(H30&lt;&gt;"",MIN(MonthlyPmt,M29+K30),"")</f>
        <v/>
      </c>
      <c r="K30" s="14">
        <f>IF(H30&lt;&gt;"",ROUND(M29*AnnualRate/12,2),"")</f>
        <v/>
      </c>
      <c r="L30" s="14">
        <f>IF(H30&lt;&gt;"",MIN(M29,(J30-K30)+SUMPRODUCT(($B$21:$B$30&lt;&gt;"")*($B$21:$B$30&lt;=I30)*(($C$21:$C$30="")+($C$21:$C$30&lt;&gt;"")*($C$21:$C$30&gt;=I30))*($E$21:$E$30="Monthly")*$D$21:$D$30)+SUMPRODUCT(($B$21:$B$30&lt;&gt;"")*($B$21:$B$30&lt;=I30)*(($C$21:$C$30="")+($C$21:$C$30&lt;&gt;"")*($C$21:$C$30&gt;=I30))*($E$21:$E$30="Annual")*(MONTH($B$21:$B$30)=MONTH(I30))*$D$21:$D$30)+SUMPRODUCT(($B$34:$B$48&lt;&gt;"")*(YEAR($B$34:$B$48)=YEAR(I30))*(MONTH($B$34:$B$48)=MONTH(I30))*$C$34:$C$48)),"")</f>
        <v/>
      </c>
      <c r="M30" s="14">
        <f>IF(H30&lt;&gt;"",ROUND(M29-L30,2),"")</f>
        <v/>
      </c>
      <c r="N30" s="10">
        <f>IF(H30&lt;&gt;"",N29+L30,"")</f>
        <v/>
      </c>
      <c r="O30" s="10">
        <f>IF(H30&lt;&gt;"",O29+K30,"")</f>
        <v/>
      </c>
    </row>
    <row r="31">
      <c r="H31" s="7">
        <f>IF(AND(M30&gt;0.005,H30&lt;&gt;""),29,"")</f>
        <v/>
      </c>
      <c r="I31" s="8">
        <f>IF(H31&lt;&gt;"",EDATE(StartDate,28),"")</f>
        <v/>
      </c>
      <c r="J31" s="9">
        <f>IF(H31&lt;&gt;"",MIN(MonthlyPmt,M30+K31),"")</f>
        <v/>
      </c>
      <c r="K31" s="9">
        <f>IF(H31&lt;&gt;"",ROUND(M30*AnnualRate/12,2),"")</f>
        <v/>
      </c>
      <c r="L31" s="9">
        <f>IF(H31&lt;&gt;"",MIN(M30,(J31-K31)+SUMPRODUCT(($B$21:$B$30&lt;&gt;"")*($B$21:$B$30&lt;=I31)*(($C$21:$C$30="")+($C$21:$C$30&lt;&gt;"")*($C$21:$C$30&gt;=I31))*($E$21:$E$30="Monthly")*$D$21:$D$30)+SUMPRODUCT(($B$21:$B$30&lt;&gt;"")*($B$21:$B$30&lt;=I31)*(($C$21:$C$30="")+($C$21:$C$30&lt;&gt;"")*($C$21:$C$30&gt;=I31))*($E$21:$E$30="Annual")*(MONTH($B$21:$B$30)=MONTH(I31))*$D$21:$D$30)+SUMPRODUCT(($B$34:$B$48&lt;&gt;"")*(YEAR($B$34:$B$48)=YEAR(I31))*(MONTH($B$34:$B$48)=MONTH(I31))*$C$34:$C$48)),"")</f>
        <v/>
      </c>
      <c r="M31" s="9">
        <f>IF(H31&lt;&gt;"",ROUND(M30-L31,2),"")</f>
        <v/>
      </c>
      <c r="N31" s="10">
        <f>IF(H31&lt;&gt;"",N30+L31,"")</f>
        <v/>
      </c>
      <c r="O31" s="10">
        <f>IF(H31&lt;&gt;"",O30+K31,"")</f>
        <v/>
      </c>
    </row>
    <row r="32">
      <c r="A32" s="1" t="inlineStr">
        <is>
          <t>ONE-TIME EXTRA PAYMENTS</t>
        </is>
      </c>
      <c r="H32" s="12">
        <f>IF(AND(M31&gt;0.005,H31&lt;&gt;""),30,"")</f>
        <v/>
      </c>
      <c r="I32" s="13">
        <f>IF(H32&lt;&gt;"",EDATE(StartDate,29),"")</f>
        <v/>
      </c>
      <c r="J32" s="14">
        <f>IF(H32&lt;&gt;"",MIN(MonthlyPmt,M31+K32),"")</f>
        <v/>
      </c>
      <c r="K32" s="14">
        <f>IF(H32&lt;&gt;"",ROUND(M31*AnnualRate/12,2),"")</f>
        <v/>
      </c>
      <c r="L32" s="14">
        <f>IF(H32&lt;&gt;"",MIN(M31,(J32-K32)+SUMPRODUCT(($B$21:$B$30&lt;&gt;"")*($B$21:$B$30&lt;=I32)*(($C$21:$C$30="")+($C$21:$C$30&lt;&gt;"")*($C$21:$C$30&gt;=I32))*($E$21:$E$30="Monthly")*$D$21:$D$30)+SUMPRODUCT(($B$21:$B$30&lt;&gt;"")*($B$21:$B$30&lt;=I32)*(($C$21:$C$30="")+($C$21:$C$30&lt;&gt;"")*($C$21:$C$30&gt;=I32))*($E$21:$E$30="Annual")*(MONTH($B$21:$B$30)=MONTH(I32))*$D$21:$D$30)+SUMPRODUCT(($B$34:$B$48&lt;&gt;"")*(YEAR($B$34:$B$48)=YEAR(I32))*(MONTH($B$34:$B$48)=MONTH(I32))*$C$34:$C$48)),"")</f>
        <v/>
      </c>
      <c r="M32" s="14">
        <f>IF(H32&lt;&gt;"",ROUND(M31-L32,2),"")</f>
        <v/>
      </c>
      <c r="N32" s="10">
        <f>IF(H32&lt;&gt;"",N31+L32,"")</f>
        <v/>
      </c>
      <c r="O32" s="10">
        <f>IF(H32&lt;&gt;"",O31+K32,"")</f>
        <v/>
      </c>
    </row>
    <row r="33">
      <c r="A33" s="5" t="inlineStr">
        <is>
          <t>#</t>
        </is>
      </c>
      <c r="B33" s="5" t="inlineStr">
        <is>
          <t>Date</t>
        </is>
      </c>
      <c r="C33" s="5" t="inlineStr">
        <is>
          <t>Amount ($)</t>
        </is>
      </c>
      <c r="H33" s="7">
        <f>IF(AND(M32&gt;0.005,H32&lt;&gt;""),31,"")</f>
        <v/>
      </c>
      <c r="I33" s="8">
        <f>IF(H33&lt;&gt;"",EDATE(StartDate,30),"")</f>
        <v/>
      </c>
      <c r="J33" s="9">
        <f>IF(H33&lt;&gt;"",MIN(MonthlyPmt,M32+K33),"")</f>
        <v/>
      </c>
      <c r="K33" s="9">
        <f>IF(H33&lt;&gt;"",ROUND(M32*AnnualRate/12,2),"")</f>
        <v/>
      </c>
      <c r="L33" s="9">
        <f>IF(H33&lt;&gt;"",MIN(M32,(J33-K33)+SUMPRODUCT(($B$21:$B$30&lt;&gt;"")*($B$21:$B$30&lt;=I33)*(($C$21:$C$30="")+($C$21:$C$30&lt;&gt;"")*($C$21:$C$30&gt;=I33))*($E$21:$E$30="Monthly")*$D$21:$D$30)+SUMPRODUCT(($B$21:$B$30&lt;&gt;"")*($B$21:$B$30&lt;=I33)*(($C$21:$C$30="")+($C$21:$C$30&lt;&gt;"")*($C$21:$C$30&gt;=I33))*($E$21:$E$30="Annual")*(MONTH($B$21:$B$30)=MONTH(I33))*$D$21:$D$30)+SUMPRODUCT(($B$34:$B$48&lt;&gt;"")*(YEAR($B$34:$B$48)=YEAR(I33))*(MONTH($B$34:$B$48)=MONTH(I33))*$C$34:$C$48)),"")</f>
        <v/>
      </c>
      <c r="M33" s="9">
        <f>IF(H33&lt;&gt;"",ROUND(M32-L33,2),"")</f>
        <v/>
      </c>
      <c r="N33" s="10">
        <f>IF(H33&lt;&gt;"",N32+L33,"")</f>
        <v/>
      </c>
      <c r="O33" s="10">
        <f>IF(H33&lt;&gt;"",O32+K33,"")</f>
        <v/>
      </c>
    </row>
    <row r="34">
      <c r="A34" s="7" t="n">
        <v>1</v>
      </c>
      <c r="B34" s="15" t="n"/>
      <c r="C34" s="4" t="n"/>
      <c r="H34" s="12">
        <f>IF(AND(M33&gt;0.005,H33&lt;&gt;""),32,"")</f>
        <v/>
      </c>
      <c r="I34" s="13">
        <f>IF(H34&lt;&gt;"",EDATE(StartDate,31),"")</f>
        <v/>
      </c>
      <c r="J34" s="14">
        <f>IF(H34&lt;&gt;"",MIN(MonthlyPmt,M33+K34),"")</f>
        <v/>
      </c>
      <c r="K34" s="14">
        <f>IF(H34&lt;&gt;"",ROUND(M33*AnnualRate/12,2),"")</f>
        <v/>
      </c>
      <c r="L34" s="14">
        <f>IF(H34&lt;&gt;"",MIN(M33,(J34-K34)+SUMPRODUCT(($B$21:$B$30&lt;&gt;"")*($B$21:$B$30&lt;=I34)*(($C$21:$C$30="")+($C$21:$C$30&lt;&gt;"")*($C$21:$C$30&gt;=I34))*($E$21:$E$30="Monthly")*$D$21:$D$30)+SUMPRODUCT(($B$21:$B$30&lt;&gt;"")*($B$21:$B$30&lt;=I34)*(($C$21:$C$30="")+($C$21:$C$30&lt;&gt;"")*($C$21:$C$30&gt;=I34))*($E$21:$E$30="Annual")*(MONTH($B$21:$B$30)=MONTH(I34))*$D$21:$D$30)+SUMPRODUCT(($B$34:$B$48&lt;&gt;"")*(YEAR($B$34:$B$48)=YEAR(I34))*(MONTH($B$34:$B$48)=MONTH(I34))*$C$34:$C$48)),"")</f>
        <v/>
      </c>
      <c r="M34" s="14">
        <f>IF(H34&lt;&gt;"",ROUND(M33-L34,2),"")</f>
        <v/>
      </c>
      <c r="N34" s="10">
        <f>IF(H34&lt;&gt;"",N33+L34,"")</f>
        <v/>
      </c>
      <c r="O34" s="10">
        <f>IF(H34&lt;&gt;"",O33+K34,"")</f>
        <v/>
      </c>
    </row>
    <row r="35">
      <c r="A35" s="7" t="n">
        <v>2</v>
      </c>
      <c r="B35" s="15" t="n"/>
      <c r="C35" s="4" t="n"/>
      <c r="H35" s="7">
        <f>IF(AND(M34&gt;0.005,H34&lt;&gt;""),33,"")</f>
        <v/>
      </c>
      <c r="I35" s="8">
        <f>IF(H35&lt;&gt;"",EDATE(StartDate,32),"")</f>
        <v/>
      </c>
      <c r="J35" s="9">
        <f>IF(H35&lt;&gt;"",MIN(MonthlyPmt,M34+K35),"")</f>
        <v/>
      </c>
      <c r="K35" s="9">
        <f>IF(H35&lt;&gt;"",ROUND(M34*AnnualRate/12,2),"")</f>
        <v/>
      </c>
      <c r="L35" s="9">
        <f>IF(H35&lt;&gt;"",MIN(M34,(J35-K35)+SUMPRODUCT(($B$21:$B$30&lt;&gt;"")*($B$21:$B$30&lt;=I35)*(($C$21:$C$30="")+($C$21:$C$30&lt;&gt;"")*($C$21:$C$30&gt;=I35))*($E$21:$E$30="Monthly")*$D$21:$D$30)+SUMPRODUCT(($B$21:$B$30&lt;&gt;"")*($B$21:$B$30&lt;=I35)*(($C$21:$C$30="")+($C$21:$C$30&lt;&gt;"")*($C$21:$C$30&gt;=I35))*($E$21:$E$30="Annual")*(MONTH($B$21:$B$30)=MONTH(I35))*$D$21:$D$30)+SUMPRODUCT(($B$34:$B$48&lt;&gt;"")*(YEAR($B$34:$B$48)=YEAR(I35))*(MONTH($B$34:$B$48)=MONTH(I35))*$C$34:$C$48)),"")</f>
        <v/>
      </c>
      <c r="M35" s="9">
        <f>IF(H35&lt;&gt;"",ROUND(M34-L35,2),"")</f>
        <v/>
      </c>
      <c r="N35" s="10">
        <f>IF(H35&lt;&gt;"",N34+L35,"")</f>
        <v/>
      </c>
      <c r="O35" s="10">
        <f>IF(H35&lt;&gt;"",O34+K35,"")</f>
        <v/>
      </c>
    </row>
    <row r="36">
      <c r="A36" s="7" t="n">
        <v>3</v>
      </c>
      <c r="B36" s="15" t="n"/>
      <c r="C36" s="4" t="n"/>
      <c r="H36" s="12">
        <f>IF(AND(M35&gt;0.005,H35&lt;&gt;""),34,"")</f>
        <v/>
      </c>
      <c r="I36" s="13">
        <f>IF(H36&lt;&gt;"",EDATE(StartDate,33),"")</f>
        <v/>
      </c>
      <c r="J36" s="14">
        <f>IF(H36&lt;&gt;"",MIN(MonthlyPmt,M35+K36),"")</f>
        <v/>
      </c>
      <c r="K36" s="14">
        <f>IF(H36&lt;&gt;"",ROUND(M35*AnnualRate/12,2),"")</f>
        <v/>
      </c>
      <c r="L36" s="14">
        <f>IF(H36&lt;&gt;"",MIN(M35,(J36-K36)+SUMPRODUCT(($B$21:$B$30&lt;&gt;"")*($B$21:$B$30&lt;=I36)*(($C$21:$C$30="")+($C$21:$C$30&lt;&gt;"")*($C$21:$C$30&gt;=I36))*($E$21:$E$30="Monthly")*$D$21:$D$30)+SUMPRODUCT(($B$21:$B$30&lt;&gt;"")*($B$21:$B$30&lt;=I36)*(($C$21:$C$30="")+($C$21:$C$30&lt;&gt;"")*($C$21:$C$30&gt;=I36))*($E$21:$E$30="Annual")*(MONTH($B$21:$B$30)=MONTH(I36))*$D$21:$D$30)+SUMPRODUCT(($B$34:$B$48&lt;&gt;"")*(YEAR($B$34:$B$48)=YEAR(I36))*(MONTH($B$34:$B$48)=MONTH(I36))*$C$34:$C$48)),"")</f>
        <v/>
      </c>
      <c r="M36" s="14">
        <f>IF(H36&lt;&gt;"",ROUND(M35-L36,2),"")</f>
        <v/>
      </c>
      <c r="N36" s="10">
        <f>IF(H36&lt;&gt;"",N35+L36,"")</f>
        <v/>
      </c>
      <c r="O36" s="10">
        <f>IF(H36&lt;&gt;"",O35+K36,"")</f>
        <v/>
      </c>
    </row>
    <row r="37">
      <c r="A37" s="7" t="n">
        <v>4</v>
      </c>
      <c r="B37" s="15" t="n"/>
      <c r="C37" s="4" t="n"/>
      <c r="H37" s="7">
        <f>IF(AND(M36&gt;0.005,H36&lt;&gt;""),35,"")</f>
        <v/>
      </c>
      <c r="I37" s="8">
        <f>IF(H37&lt;&gt;"",EDATE(StartDate,34),"")</f>
        <v/>
      </c>
      <c r="J37" s="9">
        <f>IF(H37&lt;&gt;"",MIN(MonthlyPmt,M36+K37),"")</f>
        <v/>
      </c>
      <c r="K37" s="9">
        <f>IF(H37&lt;&gt;"",ROUND(M36*AnnualRate/12,2),"")</f>
        <v/>
      </c>
      <c r="L37" s="9">
        <f>IF(H37&lt;&gt;"",MIN(M36,(J37-K37)+SUMPRODUCT(($B$21:$B$30&lt;&gt;"")*($B$21:$B$30&lt;=I37)*(($C$21:$C$30="")+($C$21:$C$30&lt;&gt;"")*($C$21:$C$30&gt;=I37))*($E$21:$E$30="Monthly")*$D$21:$D$30)+SUMPRODUCT(($B$21:$B$30&lt;&gt;"")*($B$21:$B$30&lt;=I37)*(($C$21:$C$30="")+($C$21:$C$30&lt;&gt;"")*($C$21:$C$30&gt;=I37))*($E$21:$E$30="Annual")*(MONTH($B$21:$B$30)=MONTH(I37))*$D$21:$D$30)+SUMPRODUCT(($B$34:$B$48&lt;&gt;"")*(YEAR($B$34:$B$48)=YEAR(I37))*(MONTH($B$34:$B$48)=MONTH(I37))*$C$34:$C$48)),"")</f>
        <v/>
      </c>
      <c r="M37" s="9">
        <f>IF(H37&lt;&gt;"",ROUND(M36-L37,2),"")</f>
        <v/>
      </c>
      <c r="N37" s="10">
        <f>IF(H37&lt;&gt;"",N36+L37,"")</f>
        <v/>
      </c>
      <c r="O37" s="10">
        <f>IF(H37&lt;&gt;"",O36+K37,"")</f>
        <v/>
      </c>
    </row>
    <row r="38">
      <c r="A38" s="7" t="n">
        <v>5</v>
      </c>
      <c r="B38" s="15" t="n"/>
      <c r="C38" s="4" t="n"/>
      <c r="H38" s="12">
        <f>IF(AND(M37&gt;0.005,H37&lt;&gt;""),36,"")</f>
        <v/>
      </c>
      <c r="I38" s="13">
        <f>IF(H38&lt;&gt;"",EDATE(StartDate,35),"")</f>
        <v/>
      </c>
      <c r="J38" s="14">
        <f>IF(H38&lt;&gt;"",MIN(MonthlyPmt,M37+K38),"")</f>
        <v/>
      </c>
      <c r="K38" s="14">
        <f>IF(H38&lt;&gt;"",ROUND(M37*AnnualRate/12,2),"")</f>
        <v/>
      </c>
      <c r="L38" s="14">
        <f>IF(H38&lt;&gt;"",MIN(M37,(J38-K38)+SUMPRODUCT(($B$21:$B$30&lt;&gt;"")*($B$21:$B$30&lt;=I38)*(($C$21:$C$30="")+($C$21:$C$30&lt;&gt;"")*($C$21:$C$30&gt;=I38))*($E$21:$E$30="Monthly")*$D$21:$D$30)+SUMPRODUCT(($B$21:$B$30&lt;&gt;"")*($B$21:$B$30&lt;=I38)*(($C$21:$C$30="")+($C$21:$C$30&lt;&gt;"")*($C$21:$C$30&gt;=I38))*($E$21:$E$30="Annual")*(MONTH($B$21:$B$30)=MONTH(I38))*$D$21:$D$30)+SUMPRODUCT(($B$34:$B$48&lt;&gt;"")*(YEAR($B$34:$B$48)=YEAR(I38))*(MONTH($B$34:$B$48)=MONTH(I38))*$C$34:$C$48)),"")</f>
        <v/>
      </c>
      <c r="M38" s="14">
        <f>IF(H38&lt;&gt;"",ROUND(M37-L38,2),"")</f>
        <v/>
      </c>
      <c r="N38" s="10">
        <f>IF(H38&lt;&gt;"",N37+L38,"")</f>
        <v/>
      </c>
      <c r="O38" s="10">
        <f>IF(H38&lt;&gt;"",O37+K38,"")</f>
        <v/>
      </c>
    </row>
    <row r="39">
      <c r="A39" s="7" t="n">
        <v>6</v>
      </c>
      <c r="B39" s="15" t="n"/>
      <c r="C39" s="4" t="n"/>
      <c r="H39" s="7">
        <f>IF(AND(M38&gt;0.005,H38&lt;&gt;""),37,"")</f>
        <v/>
      </c>
      <c r="I39" s="8">
        <f>IF(H39&lt;&gt;"",EDATE(StartDate,36),"")</f>
        <v/>
      </c>
      <c r="J39" s="9">
        <f>IF(H39&lt;&gt;"",MIN(MonthlyPmt,M38+K39),"")</f>
        <v/>
      </c>
      <c r="K39" s="9">
        <f>IF(H39&lt;&gt;"",ROUND(M38*AnnualRate/12,2),"")</f>
        <v/>
      </c>
      <c r="L39" s="9">
        <f>IF(H39&lt;&gt;"",MIN(M38,(J39-K39)+SUMPRODUCT(($B$21:$B$30&lt;&gt;"")*($B$21:$B$30&lt;=I39)*(($C$21:$C$30="")+($C$21:$C$30&lt;&gt;"")*($C$21:$C$30&gt;=I39))*($E$21:$E$30="Monthly")*$D$21:$D$30)+SUMPRODUCT(($B$21:$B$30&lt;&gt;"")*($B$21:$B$30&lt;=I39)*(($C$21:$C$30="")+($C$21:$C$30&lt;&gt;"")*($C$21:$C$30&gt;=I39))*($E$21:$E$30="Annual")*(MONTH($B$21:$B$30)=MONTH(I39))*$D$21:$D$30)+SUMPRODUCT(($B$34:$B$48&lt;&gt;"")*(YEAR($B$34:$B$48)=YEAR(I39))*(MONTH($B$34:$B$48)=MONTH(I39))*$C$34:$C$48)),"")</f>
        <v/>
      </c>
      <c r="M39" s="9">
        <f>IF(H39&lt;&gt;"",ROUND(M38-L39,2),"")</f>
        <v/>
      </c>
      <c r="N39" s="10">
        <f>IF(H39&lt;&gt;"",N38+L39,"")</f>
        <v/>
      </c>
      <c r="O39" s="10">
        <f>IF(H39&lt;&gt;"",O38+K39,"")</f>
        <v/>
      </c>
    </row>
    <row r="40">
      <c r="A40" s="7" t="n">
        <v>7</v>
      </c>
      <c r="B40" s="15" t="n"/>
      <c r="C40" s="4" t="n"/>
      <c r="H40" s="12">
        <f>IF(AND(M39&gt;0.005,H39&lt;&gt;""),38,"")</f>
        <v/>
      </c>
      <c r="I40" s="13">
        <f>IF(H40&lt;&gt;"",EDATE(StartDate,37),"")</f>
        <v/>
      </c>
      <c r="J40" s="14">
        <f>IF(H40&lt;&gt;"",MIN(MonthlyPmt,M39+K40),"")</f>
        <v/>
      </c>
      <c r="K40" s="14">
        <f>IF(H40&lt;&gt;"",ROUND(M39*AnnualRate/12,2),"")</f>
        <v/>
      </c>
      <c r="L40" s="14">
        <f>IF(H40&lt;&gt;"",MIN(M39,(J40-K40)+SUMPRODUCT(($B$21:$B$30&lt;&gt;"")*($B$21:$B$30&lt;=I40)*(($C$21:$C$30="")+($C$21:$C$30&lt;&gt;"")*($C$21:$C$30&gt;=I40))*($E$21:$E$30="Monthly")*$D$21:$D$30)+SUMPRODUCT(($B$21:$B$30&lt;&gt;"")*($B$21:$B$30&lt;=I40)*(($C$21:$C$30="")+($C$21:$C$30&lt;&gt;"")*($C$21:$C$30&gt;=I40))*($E$21:$E$30="Annual")*(MONTH($B$21:$B$30)=MONTH(I40))*$D$21:$D$30)+SUMPRODUCT(($B$34:$B$48&lt;&gt;"")*(YEAR($B$34:$B$48)=YEAR(I40))*(MONTH($B$34:$B$48)=MONTH(I40))*$C$34:$C$48)),"")</f>
        <v/>
      </c>
      <c r="M40" s="14">
        <f>IF(H40&lt;&gt;"",ROUND(M39-L40,2),"")</f>
        <v/>
      </c>
      <c r="N40" s="10">
        <f>IF(H40&lt;&gt;"",N39+L40,"")</f>
        <v/>
      </c>
      <c r="O40" s="10">
        <f>IF(H40&lt;&gt;"",O39+K40,"")</f>
        <v/>
      </c>
    </row>
    <row r="41">
      <c r="A41" s="7" t="n">
        <v>8</v>
      </c>
      <c r="B41" s="15" t="n"/>
      <c r="C41" s="4" t="n"/>
      <c r="H41" s="7">
        <f>IF(AND(M40&gt;0.005,H40&lt;&gt;""),39,"")</f>
        <v/>
      </c>
      <c r="I41" s="8">
        <f>IF(H41&lt;&gt;"",EDATE(StartDate,38),"")</f>
        <v/>
      </c>
      <c r="J41" s="9">
        <f>IF(H41&lt;&gt;"",MIN(MonthlyPmt,M40+K41),"")</f>
        <v/>
      </c>
      <c r="K41" s="9">
        <f>IF(H41&lt;&gt;"",ROUND(M40*AnnualRate/12,2),"")</f>
        <v/>
      </c>
      <c r="L41" s="9">
        <f>IF(H41&lt;&gt;"",MIN(M40,(J41-K41)+SUMPRODUCT(($B$21:$B$30&lt;&gt;"")*($B$21:$B$30&lt;=I41)*(($C$21:$C$30="")+($C$21:$C$30&lt;&gt;"")*($C$21:$C$30&gt;=I41))*($E$21:$E$30="Monthly")*$D$21:$D$30)+SUMPRODUCT(($B$21:$B$30&lt;&gt;"")*($B$21:$B$30&lt;=I41)*(($C$21:$C$30="")+($C$21:$C$30&lt;&gt;"")*($C$21:$C$30&gt;=I41))*($E$21:$E$30="Annual")*(MONTH($B$21:$B$30)=MONTH(I41))*$D$21:$D$30)+SUMPRODUCT(($B$34:$B$48&lt;&gt;"")*(YEAR($B$34:$B$48)=YEAR(I41))*(MONTH($B$34:$B$48)=MONTH(I41))*$C$34:$C$48)),"")</f>
        <v/>
      </c>
      <c r="M41" s="9">
        <f>IF(H41&lt;&gt;"",ROUND(M40-L41,2),"")</f>
        <v/>
      </c>
      <c r="N41" s="10">
        <f>IF(H41&lt;&gt;"",N40+L41,"")</f>
        <v/>
      </c>
      <c r="O41" s="10">
        <f>IF(H41&lt;&gt;"",O40+K41,"")</f>
        <v/>
      </c>
    </row>
    <row r="42">
      <c r="A42" s="7" t="n">
        <v>9</v>
      </c>
      <c r="B42" s="15" t="n"/>
      <c r="C42" s="4" t="n"/>
      <c r="H42" s="12">
        <f>IF(AND(M41&gt;0.005,H41&lt;&gt;""),40,"")</f>
        <v/>
      </c>
      <c r="I42" s="13">
        <f>IF(H42&lt;&gt;"",EDATE(StartDate,39),"")</f>
        <v/>
      </c>
      <c r="J42" s="14">
        <f>IF(H42&lt;&gt;"",MIN(MonthlyPmt,M41+K42),"")</f>
        <v/>
      </c>
      <c r="K42" s="14">
        <f>IF(H42&lt;&gt;"",ROUND(M41*AnnualRate/12,2),"")</f>
        <v/>
      </c>
      <c r="L42" s="14">
        <f>IF(H42&lt;&gt;"",MIN(M41,(J42-K42)+SUMPRODUCT(($B$21:$B$30&lt;&gt;"")*($B$21:$B$30&lt;=I42)*(($C$21:$C$30="")+($C$21:$C$30&lt;&gt;"")*($C$21:$C$30&gt;=I42))*($E$21:$E$30="Monthly")*$D$21:$D$30)+SUMPRODUCT(($B$21:$B$30&lt;&gt;"")*($B$21:$B$30&lt;=I42)*(($C$21:$C$30="")+($C$21:$C$30&lt;&gt;"")*($C$21:$C$30&gt;=I42))*($E$21:$E$30="Annual")*(MONTH($B$21:$B$30)=MONTH(I42))*$D$21:$D$30)+SUMPRODUCT(($B$34:$B$48&lt;&gt;"")*(YEAR($B$34:$B$48)=YEAR(I42))*(MONTH($B$34:$B$48)=MONTH(I42))*$C$34:$C$48)),"")</f>
        <v/>
      </c>
      <c r="M42" s="14">
        <f>IF(H42&lt;&gt;"",ROUND(M41-L42,2),"")</f>
        <v/>
      </c>
      <c r="N42" s="10">
        <f>IF(H42&lt;&gt;"",N41+L42,"")</f>
        <v/>
      </c>
      <c r="O42" s="10">
        <f>IF(H42&lt;&gt;"",O41+K42,"")</f>
        <v/>
      </c>
    </row>
    <row r="43">
      <c r="A43" s="7" t="n">
        <v>10</v>
      </c>
      <c r="B43" s="15" t="n"/>
      <c r="C43" s="4" t="n"/>
      <c r="H43" s="7">
        <f>IF(AND(M42&gt;0.005,H42&lt;&gt;""),41,"")</f>
        <v/>
      </c>
      <c r="I43" s="8">
        <f>IF(H43&lt;&gt;"",EDATE(StartDate,40),"")</f>
        <v/>
      </c>
      <c r="J43" s="9">
        <f>IF(H43&lt;&gt;"",MIN(MonthlyPmt,M42+K43),"")</f>
        <v/>
      </c>
      <c r="K43" s="9">
        <f>IF(H43&lt;&gt;"",ROUND(M42*AnnualRate/12,2),"")</f>
        <v/>
      </c>
      <c r="L43" s="9">
        <f>IF(H43&lt;&gt;"",MIN(M42,(J43-K43)+SUMPRODUCT(($B$21:$B$30&lt;&gt;"")*($B$21:$B$30&lt;=I43)*(($C$21:$C$30="")+($C$21:$C$30&lt;&gt;"")*($C$21:$C$30&gt;=I43))*($E$21:$E$30="Monthly")*$D$21:$D$30)+SUMPRODUCT(($B$21:$B$30&lt;&gt;"")*($B$21:$B$30&lt;=I43)*(($C$21:$C$30="")+($C$21:$C$30&lt;&gt;"")*($C$21:$C$30&gt;=I43))*($E$21:$E$30="Annual")*(MONTH($B$21:$B$30)=MONTH(I43))*$D$21:$D$30)+SUMPRODUCT(($B$34:$B$48&lt;&gt;"")*(YEAR($B$34:$B$48)=YEAR(I43))*(MONTH($B$34:$B$48)=MONTH(I43))*$C$34:$C$48)),"")</f>
        <v/>
      </c>
      <c r="M43" s="9">
        <f>IF(H43&lt;&gt;"",ROUND(M42-L43,2),"")</f>
        <v/>
      </c>
      <c r="N43" s="10">
        <f>IF(H43&lt;&gt;"",N42+L43,"")</f>
        <v/>
      </c>
      <c r="O43" s="10">
        <f>IF(H43&lt;&gt;"",O42+K43,"")</f>
        <v/>
      </c>
    </row>
    <row r="44">
      <c r="A44" s="7" t="n">
        <v>11</v>
      </c>
      <c r="B44" s="15" t="n"/>
      <c r="C44" s="4" t="n"/>
      <c r="H44" s="12">
        <f>IF(AND(M43&gt;0.005,H43&lt;&gt;""),42,"")</f>
        <v/>
      </c>
      <c r="I44" s="13">
        <f>IF(H44&lt;&gt;"",EDATE(StartDate,41),"")</f>
        <v/>
      </c>
      <c r="J44" s="14">
        <f>IF(H44&lt;&gt;"",MIN(MonthlyPmt,M43+K44),"")</f>
        <v/>
      </c>
      <c r="K44" s="14">
        <f>IF(H44&lt;&gt;"",ROUND(M43*AnnualRate/12,2),"")</f>
        <v/>
      </c>
      <c r="L44" s="14">
        <f>IF(H44&lt;&gt;"",MIN(M43,(J44-K44)+SUMPRODUCT(($B$21:$B$30&lt;&gt;"")*($B$21:$B$30&lt;=I44)*(($C$21:$C$30="")+($C$21:$C$30&lt;&gt;"")*($C$21:$C$30&gt;=I44))*($E$21:$E$30="Monthly")*$D$21:$D$30)+SUMPRODUCT(($B$21:$B$30&lt;&gt;"")*($B$21:$B$30&lt;=I44)*(($C$21:$C$30="")+($C$21:$C$30&lt;&gt;"")*($C$21:$C$30&gt;=I44))*($E$21:$E$30="Annual")*(MONTH($B$21:$B$30)=MONTH(I44))*$D$21:$D$30)+SUMPRODUCT(($B$34:$B$48&lt;&gt;"")*(YEAR($B$34:$B$48)=YEAR(I44))*(MONTH($B$34:$B$48)=MONTH(I44))*$C$34:$C$48)),"")</f>
        <v/>
      </c>
      <c r="M44" s="14">
        <f>IF(H44&lt;&gt;"",ROUND(M43-L44,2),"")</f>
        <v/>
      </c>
      <c r="N44" s="10">
        <f>IF(H44&lt;&gt;"",N43+L44,"")</f>
        <v/>
      </c>
      <c r="O44" s="10">
        <f>IF(H44&lt;&gt;"",O43+K44,"")</f>
        <v/>
      </c>
    </row>
    <row r="45">
      <c r="A45" s="7" t="n">
        <v>12</v>
      </c>
      <c r="B45" s="15" t="n"/>
      <c r="C45" s="4" t="n"/>
      <c r="H45" s="7">
        <f>IF(AND(M44&gt;0.005,H44&lt;&gt;""),43,"")</f>
        <v/>
      </c>
      <c r="I45" s="8">
        <f>IF(H45&lt;&gt;"",EDATE(StartDate,42),"")</f>
        <v/>
      </c>
      <c r="J45" s="9">
        <f>IF(H45&lt;&gt;"",MIN(MonthlyPmt,M44+K45),"")</f>
        <v/>
      </c>
      <c r="K45" s="9">
        <f>IF(H45&lt;&gt;"",ROUND(M44*AnnualRate/12,2),"")</f>
        <v/>
      </c>
      <c r="L45" s="9">
        <f>IF(H45&lt;&gt;"",MIN(M44,(J45-K45)+SUMPRODUCT(($B$21:$B$30&lt;&gt;"")*($B$21:$B$30&lt;=I45)*(($C$21:$C$30="")+($C$21:$C$30&lt;&gt;"")*($C$21:$C$30&gt;=I45))*($E$21:$E$30="Monthly")*$D$21:$D$30)+SUMPRODUCT(($B$21:$B$30&lt;&gt;"")*($B$21:$B$30&lt;=I45)*(($C$21:$C$30="")+($C$21:$C$30&lt;&gt;"")*($C$21:$C$30&gt;=I45))*($E$21:$E$30="Annual")*(MONTH($B$21:$B$30)=MONTH(I45))*$D$21:$D$30)+SUMPRODUCT(($B$34:$B$48&lt;&gt;"")*(YEAR($B$34:$B$48)=YEAR(I45))*(MONTH($B$34:$B$48)=MONTH(I45))*$C$34:$C$48)),"")</f>
        <v/>
      </c>
      <c r="M45" s="9">
        <f>IF(H45&lt;&gt;"",ROUND(M44-L45,2),"")</f>
        <v/>
      </c>
      <c r="N45" s="10">
        <f>IF(H45&lt;&gt;"",N44+L45,"")</f>
        <v/>
      </c>
      <c r="O45" s="10">
        <f>IF(H45&lt;&gt;"",O44+K45,"")</f>
        <v/>
      </c>
    </row>
    <row r="46">
      <c r="A46" s="7" t="n">
        <v>13</v>
      </c>
      <c r="B46" s="15" t="n"/>
      <c r="C46" s="4" t="n"/>
      <c r="H46" s="12">
        <f>IF(AND(M45&gt;0.005,H45&lt;&gt;""),44,"")</f>
        <v/>
      </c>
      <c r="I46" s="13">
        <f>IF(H46&lt;&gt;"",EDATE(StartDate,43),"")</f>
        <v/>
      </c>
      <c r="J46" s="14">
        <f>IF(H46&lt;&gt;"",MIN(MonthlyPmt,M45+K46),"")</f>
        <v/>
      </c>
      <c r="K46" s="14">
        <f>IF(H46&lt;&gt;"",ROUND(M45*AnnualRate/12,2),"")</f>
        <v/>
      </c>
      <c r="L46" s="14">
        <f>IF(H46&lt;&gt;"",MIN(M45,(J46-K46)+SUMPRODUCT(($B$21:$B$30&lt;&gt;"")*($B$21:$B$30&lt;=I46)*(($C$21:$C$30="")+($C$21:$C$30&lt;&gt;"")*($C$21:$C$30&gt;=I46))*($E$21:$E$30="Monthly")*$D$21:$D$30)+SUMPRODUCT(($B$21:$B$30&lt;&gt;"")*($B$21:$B$30&lt;=I46)*(($C$21:$C$30="")+($C$21:$C$30&lt;&gt;"")*($C$21:$C$30&gt;=I46))*($E$21:$E$30="Annual")*(MONTH($B$21:$B$30)=MONTH(I46))*$D$21:$D$30)+SUMPRODUCT(($B$34:$B$48&lt;&gt;"")*(YEAR($B$34:$B$48)=YEAR(I46))*(MONTH($B$34:$B$48)=MONTH(I46))*$C$34:$C$48)),"")</f>
        <v/>
      </c>
      <c r="M46" s="14">
        <f>IF(H46&lt;&gt;"",ROUND(M45-L46,2),"")</f>
        <v/>
      </c>
      <c r="N46" s="10">
        <f>IF(H46&lt;&gt;"",N45+L46,"")</f>
        <v/>
      </c>
      <c r="O46" s="10">
        <f>IF(H46&lt;&gt;"",O45+K46,"")</f>
        <v/>
      </c>
    </row>
    <row r="47">
      <c r="A47" s="7" t="n">
        <v>14</v>
      </c>
      <c r="B47" s="15" t="n"/>
      <c r="C47" s="4" t="n"/>
      <c r="H47" s="7">
        <f>IF(AND(M46&gt;0.005,H46&lt;&gt;""),45,"")</f>
        <v/>
      </c>
      <c r="I47" s="8">
        <f>IF(H47&lt;&gt;"",EDATE(StartDate,44),"")</f>
        <v/>
      </c>
      <c r="J47" s="9">
        <f>IF(H47&lt;&gt;"",MIN(MonthlyPmt,M46+K47),"")</f>
        <v/>
      </c>
      <c r="K47" s="9">
        <f>IF(H47&lt;&gt;"",ROUND(M46*AnnualRate/12,2),"")</f>
        <v/>
      </c>
      <c r="L47" s="9">
        <f>IF(H47&lt;&gt;"",MIN(M46,(J47-K47)+SUMPRODUCT(($B$21:$B$30&lt;&gt;"")*($B$21:$B$30&lt;=I47)*(($C$21:$C$30="")+($C$21:$C$30&lt;&gt;"")*($C$21:$C$30&gt;=I47))*($E$21:$E$30="Monthly")*$D$21:$D$30)+SUMPRODUCT(($B$21:$B$30&lt;&gt;"")*($B$21:$B$30&lt;=I47)*(($C$21:$C$30="")+($C$21:$C$30&lt;&gt;"")*($C$21:$C$30&gt;=I47))*($E$21:$E$30="Annual")*(MONTH($B$21:$B$30)=MONTH(I47))*$D$21:$D$30)+SUMPRODUCT(($B$34:$B$48&lt;&gt;"")*(YEAR($B$34:$B$48)=YEAR(I47))*(MONTH($B$34:$B$48)=MONTH(I47))*$C$34:$C$48)),"")</f>
        <v/>
      </c>
      <c r="M47" s="9">
        <f>IF(H47&lt;&gt;"",ROUND(M46-L47,2),"")</f>
        <v/>
      </c>
      <c r="N47" s="10">
        <f>IF(H47&lt;&gt;"",N46+L47,"")</f>
        <v/>
      </c>
      <c r="O47" s="10">
        <f>IF(H47&lt;&gt;"",O46+K47,"")</f>
        <v/>
      </c>
    </row>
    <row r="48">
      <c r="A48" s="7" t="n">
        <v>15</v>
      </c>
      <c r="B48" s="15" t="n"/>
      <c r="C48" s="4" t="n"/>
      <c r="H48" s="12">
        <f>IF(AND(M47&gt;0.005,H47&lt;&gt;""),46,"")</f>
        <v/>
      </c>
      <c r="I48" s="13">
        <f>IF(H48&lt;&gt;"",EDATE(StartDate,45),"")</f>
        <v/>
      </c>
      <c r="J48" s="14">
        <f>IF(H48&lt;&gt;"",MIN(MonthlyPmt,M47+K48),"")</f>
        <v/>
      </c>
      <c r="K48" s="14">
        <f>IF(H48&lt;&gt;"",ROUND(M47*AnnualRate/12,2),"")</f>
        <v/>
      </c>
      <c r="L48" s="14">
        <f>IF(H48&lt;&gt;"",MIN(M47,(J48-K48)+SUMPRODUCT(($B$21:$B$30&lt;&gt;"")*($B$21:$B$30&lt;=I48)*(($C$21:$C$30="")+($C$21:$C$30&lt;&gt;"")*($C$21:$C$30&gt;=I48))*($E$21:$E$30="Monthly")*$D$21:$D$30)+SUMPRODUCT(($B$21:$B$30&lt;&gt;"")*($B$21:$B$30&lt;=I48)*(($C$21:$C$30="")+($C$21:$C$30&lt;&gt;"")*($C$21:$C$30&gt;=I48))*($E$21:$E$30="Annual")*(MONTH($B$21:$B$30)=MONTH(I48))*$D$21:$D$30)+SUMPRODUCT(($B$34:$B$48&lt;&gt;"")*(YEAR($B$34:$B$48)=YEAR(I48))*(MONTH($B$34:$B$48)=MONTH(I48))*$C$34:$C$48)),"")</f>
        <v/>
      </c>
      <c r="M48" s="14">
        <f>IF(H48&lt;&gt;"",ROUND(M47-L48,2),"")</f>
        <v/>
      </c>
      <c r="N48" s="10">
        <f>IF(H48&lt;&gt;"",N47+L48,"")</f>
        <v/>
      </c>
      <c r="O48" s="10">
        <f>IF(H48&lt;&gt;"",O47+K48,"")</f>
        <v/>
      </c>
    </row>
    <row r="49">
      <c r="H49" s="7">
        <f>IF(AND(M48&gt;0.005,H48&lt;&gt;""),47,"")</f>
        <v/>
      </c>
      <c r="I49" s="8">
        <f>IF(H49&lt;&gt;"",EDATE(StartDate,46),"")</f>
        <v/>
      </c>
      <c r="J49" s="9">
        <f>IF(H49&lt;&gt;"",MIN(MonthlyPmt,M48+K49),"")</f>
        <v/>
      </c>
      <c r="K49" s="9">
        <f>IF(H49&lt;&gt;"",ROUND(M48*AnnualRate/12,2),"")</f>
        <v/>
      </c>
      <c r="L49" s="9">
        <f>IF(H49&lt;&gt;"",MIN(M48,(J49-K49)+SUMPRODUCT(($B$21:$B$30&lt;&gt;"")*($B$21:$B$30&lt;=I49)*(($C$21:$C$30="")+($C$21:$C$30&lt;&gt;"")*($C$21:$C$30&gt;=I49))*($E$21:$E$30="Monthly")*$D$21:$D$30)+SUMPRODUCT(($B$21:$B$30&lt;&gt;"")*($B$21:$B$30&lt;=I49)*(($C$21:$C$30="")+($C$21:$C$30&lt;&gt;"")*($C$21:$C$30&gt;=I49))*($E$21:$E$30="Annual")*(MONTH($B$21:$B$30)=MONTH(I49))*$D$21:$D$30)+SUMPRODUCT(($B$34:$B$48&lt;&gt;"")*(YEAR($B$34:$B$48)=YEAR(I49))*(MONTH($B$34:$B$48)=MONTH(I49))*$C$34:$C$48)),"")</f>
        <v/>
      </c>
      <c r="M49" s="9">
        <f>IF(H49&lt;&gt;"",ROUND(M48-L49,2),"")</f>
        <v/>
      </c>
      <c r="N49" s="10">
        <f>IF(H49&lt;&gt;"",N48+L49,"")</f>
        <v/>
      </c>
      <c r="O49" s="10">
        <f>IF(H49&lt;&gt;"",O48+K49,"")</f>
        <v/>
      </c>
    </row>
    <row r="50">
      <c r="H50" s="12">
        <f>IF(AND(M49&gt;0.005,H49&lt;&gt;""),48,"")</f>
        <v/>
      </c>
      <c r="I50" s="13">
        <f>IF(H50&lt;&gt;"",EDATE(StartDate,47),"")</f>
        <v/>
      </c>
      <c r="J50" s="14">
        <f>IF(H50&lt;&gt;"",MIN(MonthlyPmt,M49+K50),"")</f>
        <v/>
      </c>
      <c r="K50" s="14">
        <f>IF(H50&lt;&gt;"",ROUND(M49*AnnualRate/12,2),"")</f>
        <v/>
      </c>
      <c r="L50" s="14">
        <f>IF(H50&lt;&gt;"",MIN(M49,(J50-K50)+SUMPRODUCT(($B$21:$B$30&lt;&gt;"")*($B$21:$B$30&lt;=I50)*(($C$21:$C$30="")+($C$21:$C$30&lt;&gt;"")*($C$21:$C$30&gt;=I50))*($E$21:$E$30="Monthly")*$D$21:$D$30)+SUMPRODUCT(($B$21:$B$30&lt;&gt;"")*($B$21:$B$30&lt;=I50)*(($C$21:$C$30="")+($C$21:$C$30&lt;&gt;"")*($C$21:$C$30&gt;=I50))*($E$21:$E$30="Annual")*(MONTH($B$21:$B$30)=MONTH(I50))*$D$21:$D$30)+SUMPRODUCT(($B$34:$B$48&lt;&gt;"")*(YEAR($B$34:$B$48)=YEAR(I50))*(MONTH($B$34:$B$48)=MONTH(I50))*$C$34:$C$48)),"")</f>
        <v/>
      </c>
      <c r="M50" s="14">
        <f>IF(H50&lt;&gt;"",ROUND(M49-L50,2),"")</f>
        <v/>
      </c>
      <c r="N50" s="10">
        <f>IF(H50&lt;&gt;"",N49+L50,"")</f>
        <v/>
      </c>
      <c r="O50" s="10">
        <f>IF(H50&lt;&gt;"",O49+K50,"")</f>
        <v/>
      </c>
    </row>
    <row r="51">
      <c r="H51" s="7">
        <f>IF(AND(M50&gt;0.005,H50&lt;&gt;""),49,"")</f>
        <v/>
      </c>
      <c r="I51" s="8">
        <f>IF(H51&lt;&gt;"",EDATE(StartDate,48),"")</f>
        <v/>
      </c>
      <c r="J51" s="9">
        <f>IF(H51&lt;&gt;"",MIN(MonthlyPmt,M50+K51),"")</f>
        <v/>
      </c>
      <c r="K51" s="9">
        <f>IF(H51&lt;&gt;"",ROUND(M50*AnnualRate/12,2),"")</f>
        <v/>
      </c>
      <c r="L51" s="9">
        <f>IF(H51&lt;&gt;"",MIN(M50,(J51-K51)+SUMPRODUCT(($B$21:$B$30&lt;&gt;"")*($B$21:$B$30&lt;=I51)*(($C$21:$C$30="")+($C$21:$C$30&lt;&gt;"")*($C$21:$C$30&gt;=I51))*($E$21:$E$30="Monthly")*$D$21:$D$30)+SUMPRODUCT(($B$21:$B$30&lt;&gt;"")*($B$21:$B$30&lt;=I51)*(($C$21:$C$30="")+($C$21:$C$30&lt;&gt;"")*($C$21:$C$30&gt;=I51))*($E$21:$E$30="Annual")*(MONTH($B$21:$B$30)=MONTH(I51))*$D$21:$D$30)+SUMPRODUCT(($B$34:$B$48&lt;&gt;"")*(YEAR($B$34:$B$48)=YEAR(I51))*(MONTH($B$34:$B$48)=MONTH(I51))*$C$34:$C$48)),"")</f>
        <v/>
      </c>
      <c r="M51" s="9">
        <f>IF(H51&lt;&gt;"",ROUND(M50-L51,2),"")</f>
        <v/>
      </c>
      <c r="N51" s="10">
        <f>IF(H51&lt;&gt;"",N50+L51,"")</f>
        <v/>
      </c>
      <c r="O51" s="10">
        <f>IF(H51&lt;&gt;"",O50+K51,"")</f>
        <v/>
      </c>
    </row>
    <row r="52">
      <c r="H52" s="12">
        <f>IF(AND(M51&gt;0.005,H51&lt;&gt;""),50,"")</f>
        <v/>
      </c>
      <c r="I52" s="13">
        <f>IF(H52&lt;&gt;"",EDATE(StartDate,49),"")</f>
        <v/>
      </c>
      <c r="J52" s="14">
        <f>IF(H52&lt;&gt;"",MIN(MonthlyPmt,M51+K52),"")</f>
        <v/>
      </c>
      <c r="K52" s="14">
        <f>IF(H52&lt;&gt;"",ROUND(M51*AnnualRate/12,2),"")</f>
        <v/>
      </c>
      <c r="L52" s="14">
        <f>IF(H52&lt;&gt;"",MIN(M51,(J52-K52)+SUMPRODUCT(($B$21:$B$30&lt;&gt;"")*($B$21:$B$30&lt;=I52)*(($C$21:$C$30="")+($C$21:$C$30&lt;&gt;"")*($C$21:$C$30&gt;=I52))*($E$21:$E$30="Monthly")*$D$21:$D$30)+SUMPRODUCT(($B$21:$B$30&lt;&gt;"")*($B$21:$B$30&lt;=I52)*(($C$21:$C$30="")+($C$21:$C$30&lt;&gt;"")*($C$21:$C$30&gt;=I52))*($E$21:$E$30="Annual")*(MONTH($B$21:$B$30)=MONTH(I52))*$D$21:$D$30)+SUMPRODUCT(($B$34:$B$48&lt;&gt;"")*(YEAR($B$34:$B$48)=YEAR(I52))*(MONTH($B$34:$B$48)=MONTH(I52))*$C$34:$C$48)),"")</f>
        <v/>
      </c>
      <c r="M52" s="14">
        <f>IF(H52&lt;&gt;"",ROUND(M51-L52,2),"")</f>
        <v/>
      </c>
      <c r="N52" s="10">
        <f>IF(H52&lt;&gt;"",N51+L52,"")</f>
        <v/>
      </c>
      <c r="O52" s="10">
        <f>IF(H52&lt;&gt;"",O51+K52,"")</f>
        <v/>
      </c>
    </row>
    <row r="53">
      <c r="H53" s="7">
        <f>IF(AND(M52&gt;0.005,H52&lt;&gt;""),51,"")</f>
        <v/>
      </c>
      <c r="I53" s="8">
        <f>IF(H53&lt;&gt;"",EDATE(StartDate,50),"")</f>
        <v/>
      </c>
      <c r="J53" s="9">
        <f>IF(H53&lt;&gt;"",MIN(MonthlyPmt,M52+K53),"")</f>
        <v/>
      </c>
      <c r="K53" s="9">
        <f>IF(H53&lt;&gt;"",ROUND(M52*AnnualRate/12,2),"")</f>
        <v/>
      </c>
      <c r="L53" s="9">
        <f>IF(H53&lt;&gt;"",MIN(M52,(J53-K53)+SUMPRODUCT(($B$21:$B$30&lt;&gt;"")*($B$21:$B$30&lt;=I53)*(($C$21:$C$30="")+($C$21:$C$30&lt;&gt;"")*($C$21:$C$30&gt;=I53))*($E$21:$E$30="Monthly")*$D$21:$D$30)+SUMPRODUCT(($B$21:$B$30&lt;&gt;"")*($B$21:$B$30&lt;=I53)*(($C$21:$C$30="")+($C$21:$C$30&lt;&gt;"")*($C$21:$C$30&gt;=I53))*($E$21:$E$30="Annual")*(MONTH($B$21:$B$30)=MONTH(I53))*$D$21:$D$30)+SUMPRODUCT(($B$34:$B$48&lt;&gt;"")*(YEAR($B$34:$B$48)=YEAR(I53))*(MONTH($B$34:$B$48)=MONTH(I53))*$C$34:$C$48)),"")</f>
        <v/>
      </c>
      <c r="M53" s="9">
        <f>IF(H53&lt;&gt;"",ROUND(M52-L53,2),"")</f>
        <v/>
      </c>
      <c r="N53" s="10">
        <f>IF(H53&lt;&gt;"",N52+L53,"")</f>
        <v/>
      </c>
      <c r="O53" s="10">
        <f>IF(H53&lt;&gt;"",O52+K53,"")</f>
        <v/>
      </c>
    </row>
    <row r="54">
      <c r="H54" s="12">
        <f>IF(AND(M53&gt;0.005,H53&lt;&gt;""),52,"")</f>
        <v/>
      </c>
      <c r="I54" s="13">
        <f>IF(H54&lt;&gt;"",EDATE(StartDate,51),"")</f>
        <v/>
      </c>
      <c r="J54" s="14">
        <f>IF(H54&lt;&gt;"",MIN(MonthlyPmt,M53+K54),"")</f>
        <v/>
      </c>
      <c r="K54" s="14">
        <f>IF(H54&lt;&gt;"",ROUND(M53*AnnualRate/12,2),"")</f>
        <v/>
      </c>
      <c r="L54" s="14">
        <f>IF(H54&lt;&gt;"",MIN(M53,(J54-K54)+SUMPRODUCT(($B$21:$B$30&lt;&gt;"")*($B$21:$B$30&lt;=I54)*(($C$21:$C$30="")+($C$21:$C$30&lt;&gt;"")*($C$21:$C$30&gt;=I54))*($E$21:$E$30="Monthly")*$D$21:$D$30)+SUMPRODUCT(($B$21:$B$30&lt;&gt;"")*($B$21:$B$30&lt;=I54)*(($C$21:$C$30="")+($C$21:$C$30&lt;&gt;"")*($C$21:$C$30&gt;=I54))*($E$21:$E$30="Annual")*(MONTH($B$21:$B$30)=MONTH(I54))*$D$21:$D$30)+SUMPRODUCT(($B$34:$B$48&lt;&gt;"")*(YEAR($B$34:$B$48)=YEAR(I54))*(MONTH($B$34:$B$48)=MONTH(I54))*$C$34:$C$48)),"")</f>
        <v/>
      </c>
      <c r="M54" s="14">
        <f>IF(H54&lt;&gt;"",ROUND(M53-L54,2),"")</f>
        <v/>
      </c>
      <c r="N54" s="10">
        <f>IF(H54&lt;&gt;"",N53+L54,"")</f>
        <v/>
      </c>
      <c r="O54" s="10">
        <f>IF(H54&lt;&gt;"",O53+K54,"")</f>
        <v/>
      </c>
    </row>
    <row r="55">
      <c r="H55" s="7">
        <f>IF(AND(M54&gt;0.005,H54&lt;&gt;""),53,"")</f>
        <v/>
      </c>
      <c r="I55" s="8">
        <f>IF(H55&lt;&gt;"",EDATE(StartDate,52),"")</f>
        <v/>
      </c>
      <c r="J55" s="9">
        <f>IF(H55&lt;&gt;"",MIN(MonthlyPmt,M54+K55),"")</f>
        <v/>
      </c>
      <c r="K55" s="9">
        <f>IF(H55&lt;&gt;"",ROUND(M54*AnnualRate/12,2),"")</f>
        <v/>
      </c>
      <c r="L55" s="9">
        <f>IF(H55&lt;&gt;"",MIN(M54,(J55-K55)+SUMPRODUCT(($B$21:$B$30&lt;&gt;"")*($B$21:$B$30&lt;=I55)*(($C$21:$C$30="")+($C$21:$C$30&lt;&gt;"")*($C$21:$C$30&gt;=I55))*($E$21:$E$30="Monthly")*$D$21:$D$30)+SUMPRODUCT(($B$21:$B$30&lt;&gt;"")*($B$21:$B$30&lt;=I55)*(($C$21:$C$30="")+($C$21:$C$30&lt;&gt;"")*($C$21:$C$30&gt;=I55))*($E$21:$E$30="Annual")*(MONTH($B$21:$B$30)=MONTH(I55))*$D$21:$D$30)+SUMPRODUCT(($B$34:$B$48&lt;&gt;"")*(YEAR($B$34:$B$48)=YEAR(I55))*(MONTH($B$34:$B$48)=MONTH(I55))*$C$34:$C$48)),"")</f>
        <v/>
      </c>
      <c r="M55" s="9">
        <f>IF(H55&lt;&gt;"",ROUND(M54-L55,2),"")</f>
        <v/>
      </c>
      <c r="N55" s="10">
        <f>IF(H55&lt;&gt;"",N54+L55,"")</f>
        <v/>
      </c>
      <c r="O55" s="10">
        <f>IF(H55&lt;&gt;"",O54+K55,"")</f>
        <v/>
      </c>
    </row>
    <row r="56">
      <c r="H56" s="12">
        <f>IF(AND(M55&gt;0.005,H55&lt;&gt;""),54,"")</f>
        <v/>
      </c>
      <c r="I56" s="13">
        <f>IF(H56&lt;&gt;"",EDATE(StartDate,53),"")</f>
        <v/>
      </c>
      <c r="J56" s="14">
        <f>IF(H56&lt;&gt;"",MIN(MonthlyPmt,M55+K56),"")</f>
        <v/>
      </c>
      <c r="K56" s="14">
        <f>IF(H56&lt;&gt;"",ROUND(M55*AnnualRate/12,2),"")</f>
        <v/>
      </c>
      <c r="L56" s="14">
        <f>IF(H56&lt;&gt;"",MIN(M55,(J56-K56)+SUMPRODUCT(($B$21:$B$30&lt;&gt;"")*($B$21:$B$30&lt;=I56)*(($C$21:$C$30="")+($C$21:$C$30&lt;&gt;"")*($C$21:$C$30&gt;=I56))*($E$21:$E$30="Monthly")*$D$21:$D$30)+SUMPRODUCT(($B$21:$B$30&lt;&gt;"")*($B$21:$B$30&lt;=I56)*(($C$21:$C$30="")+($C$21:$C$30&lt;&gt;"")*($C$21:$C$30&gt;=I56))*($E$21:$E$30="Annual")*(MONTH($B$21:$B$30)=MONTH(I56))*$D$21:$D$30)+SUMPRODUCT(($B$34:$B$48&lt;&gt;"")*(YEAR($B$34:$B$48)=YEAR(I56))*(MONTH($B$34:$B$48)=MONTH(I56))*$C$34:$C$48)),"")</f>
        <v/>
      </c>
      <c r="M56" s="14">
        <f>IF(H56&lt;&gt;"",ROUND(M55-L56,2),"")</f>
        <v/>
      </c>
      <c r="N56" s="10">
        <f>IF(H56&lt;&gt;"",N55+L56,"")</f>
        <v/>
      </c>
      <c r="O56" s="10">
        <f>IF(H56&lt;&gt;"",O55+K56,"")</f>
        <v/>
      </c>
    </row>
    <row r="57">
      <c r="H57" s="7">
        <f>IF(AND(M56&gt;0.005,H56&lt;&gt;""),55,"")</f>
        <v/>
      </c>
      <c r="I57" s="8">
        <f>IF(H57&lt;&gt;"",EDATE(StartDate,54),"")</f>
        <v/>
      </c>
      <c r="J57" s="9">
        <f>IF(H57&lt;&gt;"",MIN(MonthlyPmt,M56+K57),"")</f>
        <v/>
      </c>
      <c r="K57" s="9">
        <f>IF(H57&lt;&gt;"",ROUND(M56*AnnualRate/12,2),"")</f>
        <v/>
      </c>
      <c r="L57" s="9">
        <f>IF(H57&lt;&gt;"",MIN(M56,(J57-K57)+SUMPRODUCT(($B$21:$B$30&lt;&gt;"")*($B$21:$B$30&lt;=I57)*(($C$21:$C$30="")+($C$21:$C$30&lt;&gt;"")*($C$21:$C$30&gt;=I57))*($E$21:$E$30="Monthly")*$D$21:$D$30)+SUMPRODUCT(($B$21:$B$30&lt;&gt;"")*($B$21:$B$30&lt;=I57)*(($C$21:$C$30="")+($C$21:$C$30&lt;&gt;"")*($C$21:$C$30&gt;=I57))*($E$21:$E$30="Annual")*(MONTH($B$21:$B$30)=MONTH(I57))*$D$21:$D$30)+SUMPRODUCT(($B$34:$B$48&lt;&gt;"")*(YEAR($B$34:$B$48)=YEAR(I57))*(MONTH($B$34:$B$48)=MONTH(I57))*$C$34:$C$48)),"")</f>
        <v/>
      </c>
      <c r="M57" s="9">
        <f>IF(H57&lt;&gt;"",ROUND(M56-L57,2),"")</f>
        <v/>
      </c>
      <c r="N57" s="10">
        <f>IF(H57&lt;&gt;"",N56+L57,"")</f>
        <v/>
      </c>
      <c r="O57" s="10">
        <f>IF(H57&lt;&gt;"",O56+K57,"")</f>
        <v/>
      </c>
    </row>
    <row r="58">
      <c r="H58" s="12">
        <f>IF(AND(M57&gt;0.005,H57&lt;&gt;""),56,"")</f>
        <v/>
      </c>
      <c r="I58" s="13">
        <f>IF(H58&lt;&gt;"",EDATE(StartDate,55),"")</f>
        <v/>
      </c>
      <c r="J58" s="14">
        <f>IF(H58&lt;&gt;"",MIN(MonthlyPmt,M57+K58),"")</f>
        <v/>
      </c>
      <c r="K58" s="14">
        <f>IF(H58&lt;&gt;"",ROUND(M57*AnnualRate/12,2),"")</f>
        <v/>
      </c>
      <c r="L58" s="14">
        <f>IF(H58&lt;&gt;"",MIN(M57,(J58-K58)+SUMPRODUCT(($B$21:$B$30&lt;&gt;"")*($B$21:$B$30&lt;=I58)*(($C$21:$C$30="")+($C$21:$C$30&lt;&gt;"")*($C$21:$C$30&gt;=I58))*($E$21:$E$30="Monthly")*$D$21:$D$30)+SUMPRODUCT(($B$21:$B$30&lt;&gt;"")*($B$21:$B$30&lt;=I58)*(($C$21:$C$30="")+($C$21:$C$30&lt;&gt;"")*($C$21:$C$30&gt;=I58))*($E$21:$E$30="Annual")*(MONTH($B$21:$B$30)=MONTH(I58))*$D$21:$D$30)+SUMPRODUCT(($B$34:$B$48&lt;&gt;"")*(YEAR($B$34:$B$48)=YEAR(I58))*(MONTH($B$34:$B$48)=MONTH(I58))*$C$34:$C$48)),"")</f>
        <v/>
      </c>
      <c r="M58" s="14">
        <f>IF(H58&lt;&gt;"",ROUND(M57-L58,2),"")</f>
        <v/>
      </c>
      <c r="N58" s="10">
        <f>IF(H58&lt;&gt;"",N57+L58,"")</f>
        <v/>
      </c>
      <c r="O58" s="10">
        <f>IF(H58&lt;&gt;"",O57+K58,"")</f>
        <v/>
      </c>
    </row>
    <row r="59">
      <c r="H59" s="7">
        <f>IF(AND(M58&gt;0.005,H58&lt;&gt;""),57,"")</f>
        <v/>
      </c>
      <c r="I59" s="8">
        <f>IF(H59&lt;&gt;"",EDATE(StartDate,56),"")</f>
        <v/>
      </c>
      <c r="J59" s="9">
        <f>IF(H59&lt;&gt;"",MIN(MonthlyPmt,M58+K59),"")</f>
        <v/>
      </c>
      <c r="K59" s="9">
        <f>IF(H59&lt;&gt;"",ROUND(M58*AnnualRate/12,2),"")</f>
        <v/>
      </c>
      <c r="L59" s="9">
        <f>IF(H59&lt;&gt;"",MIN(M58,(J59-K59)+SUMPRODUCT(($B$21:$B$30&lt;&gt;"")*($B$21:$B$30&lt;=I59)*(($C$21:$C$30="")+($C$21:$C$30&lt;&gt;"")*($C$21:$C$30&gt;=I59))*($E$21:$E$30="Monthly")*$D$21:$D$30)+SUMPRODUCT(($B$21:$B$30&lt;&gt;"")*($B$21:$B$30&lt;=I59)*(($C$21:$C$30="")+($C$21:$C$30&lt;&gt;"")*($C$21:$C$30&gt;=I59))*($E$21:$E$30="Annual")*(MONTH($B$21:$B$30)=MONTH(I59))*$D$21:$D$30)+SUMPRODUCT(($B$34:$B$48&lt;&gt;"")*(YEAR($B$34:$B$48)=YEAR(I59))*(MONTH($B$34:$B$48)=MONTH(I59))*$C$34:$C$48)),"")</f>
        <v/>
      </c>
      <c r="M59" s="9">
        <f>IF(H59&lt;&gt;"",ROUND(M58-L59,2),"")</f>
        <v/>
      </c>
      <c r="N59" s="10">
        <f>IF(H59&lt;&gt;"",N58+L59,"")</f>
        <v/>
      </c>
      <c r="O59" s="10">
        <f>IF(H59&lt;&gt;"",O58+K59,"")</f>
        <v/>
      </c>
    </row>
    <row r="60">
      <c r="H60" s="12">
        <f>IF(AND(M59&gt;0.005,H59&lt;&gt;""),58,"")</f>
        <v/>
      </c>
      <c r="I60" s="13">
        <f>IF(H60&lt;&gt;"",EDATE(StartDate,57),"")</f>
        <v/>
      </c>
      <c r="J60" s="14">
        <f>IF(H60&lt;&gt;"",MIN(MonthlyPmt,M59+K60),"")</f>
        <v/>
      </c>
      <c r="K60" s="14">
        <f>IF(H60&lt;&gt;"",ROUND(M59*AnnualRate/12,2),"")</f>
        <v/>
      </c>
      <c r="L60" s="14">
        <f>IF(H60&lt;&gt;"",MIN(M59,(J60-K60)+SUMPRODUCT(($B$21:$B$30&lt;&gt;"")*($B$21:$B$30&lt;=I60)*(($C$21:$C$30="")+($C$21:$C$30&lt;&gt;"")*($C$21:$C$30&gt;=I60))*($E$21:$E$30="Monthly")*$D$21:$D$30)+SUMPRODUCT(($B$21:$B$30&lt;&gt;"")*($B$21:$B$30&lt;=I60)*(($C$21:$C$30="")+($C$21:$C$30&lt;&gt;"")*($C$21:$C$30&gt;=I60))*($E$21:$E$30="Annual")*(MONTH($B$21:$B$30)=MONTH(I60))*$D$21:$D$30)+SUMPRODUCT(($B$34:$B$48&lt;&gt;"")*(YEAR($B$34:$B$48)=YEAR(I60))*(MONTH($B$34:$B$48)=MONTH(I60))*$C$34:$C$48)),"")</f>
        <v/>
      </c>
      <c r="M60" s="14">
        <f>IF(H60&lt;&gt;"",ROUND(M59-L60,2),"")</f>
        <v/>
      </c>
      <c r="N60" s="10">
        <f>IF(H60&lt;&gt;"",N59+L60,"")</f>
        <v/>
      </c>
      <c r="O60" s="10">
        <f>IF(H60&lt;&gt;"",O59+K60,"")</f>
        <v/>
      </c>
    </row>
    <row r="61">
      <c r="H61" s="7">
        <f>IF(AND(M60&gt;0.005,H60&lt;&gt;""),59,"")</f>
        <v/>
      </c>
      <c r="I61" s="8">
        <f>IF(H61&lt;&gt;"",EDATE(StartDate,58),"")</f>
        <v/>
      </c>
      <c r="J61" s="9">
        <f>IF(H61&lt;&gt;"",MIN(MonthlyPmt,M60+K61),"")</f>
        <v/>
      </c>
      <c r="K61" s="9">
        <f>IF(H61&lt;&gt;"",ROUND(M60*AnnualRate/12,2),"")</f>
        <v/>
      </c>
      <c r="L61" s="9">
        <f>IF(H61&lt;&gt;"",MIN(M60,(J61-K61)+SUMPRODUCT(($B$21:$B$30&lt;&gt;"")*($B$21:$B$30&lt;=I61)*(($C$21:$C$30="")+($C$21:$C$30&lt;&gt;"")*($C$21:$C$30&gt;=I61))*($E$21:$E$30="Monthly")*$D$21:$D$30)+SUMPRODUCT(($B$21:$B$30&lt;&gt;"")*($B$21:$B$30&lt;=I61)*(($C$21:$C$30="")+($C$21:$C$30&lt;&gt;"")*($C$21:$C$30&gt;=I61))*($E$21:$E$30="Annual")*(MONTH($B$21:$B$30)=MONTH(I61))*$D$21:$D$30)+SUMPRODUCT(($B$34:$B$48&lt;&gt;"")*(YEAR($B$34:$B$48)=YEAR(I61))*(MONTH($B$34:$B$48)=MONTH(I61))*$C$34:$C$48)),"")</f>
        <v/>
      </c>
      <c r="M61" s="9">
        <f>IF(H61&lt;&gt;"",ROUND(M60-L61,2),"")</f>
        <v/>
      </c>
      <c r="N61" s="10">
        <f>IF(H61&lt;&gt;"",N60+L61,"")</f>
        <v/>
      </c>
      <c r="O61" s="10">
        <f>IF(H61&lt;&gt;"",O60+K61,"")</f>
        <v/>
      </c>
    </row>
    <row r="62">
      <c r="H62" s="12">
        <f>IF(AND(M61&gt;0.005,H61&lt;&gt;""),60,"")</f>
        <v/>
      </c>
      <c r="I62" s="13">
        <f>IF(H62&lt;&gt;"",EDATE(StartDate,59),"")</f>
        <v/>
      </c>
      <c r="J62" s="14">
        <f>IF(H62&lt;&gt;"",MIN(MonthlyPmt,M61+K62),"")</f>
        <v/>
      </c>
      <c r="K62" s="14">
        <f>IF(H62&lt;&gt;"",ROUND(M61*AnnualRate/12,2),"")</f>
        <v/>
      </c>
      <c r="L62" s="14">
        <f>IF(H62&lt;&gt;"",MIN(M61,(J62-K62)+SUMPRODUCT(($B$21:$B$30&lt;&gt;"")*($B$21:$B$30&lt;=I62)*(($C$21:$C$30="")+($C$21:$C$30&lt;&gt;"")*($C$21:$C$30&gt;=I62))*($E$21:$E$30="Monthly")*$D$21:$D$30)+SUMPRODUCT(($B$21:$B$30&lt;&gt;"")*($B$21:$B$30&lt;=I62)*(($C$21:$C$30="")+($C$21:$C$30&lt;&gt;"")*($C$21:$C$30&gt;=I62))*($E$21:$E$30="Annual")*(MONTH($B$21:$B$30)=MONTH(I62))*$D$21:$D$30)+SUMPRODUCT(($B$34:$B$48&lt;&gt;"")*(YEAR($B$34:$B$48)=YEAR(I62))*(MONTH($B$34:$B$48)=MONTH(I62))*$C$34:$C$48)),"")</f>
        <v/>
      </c>
      <c r="M62" s="14">
        <f>IF(H62&lt;&gt;"",ROUND(M61-L62,2),"")</f>
        <v/>
      </c>
      <c r="N62" s="10">
        <f>IF(H62&lt;&gt;"",N61+L62,"")</f>
        <v/>
      </c>
      <c r="O62" s="10">
        <f>IF(H62&lt;&gt;"",O61+K62,"")</f>
        <v/>
      </c>
    </row>
    <row r="63">
      <c r="H63" s="7">
        <f>IF(AND(M62&gt;0.005,H62&lt;&gt;""),61,"")</f>
        <v/>
      </c>
      <c r="I63" s="8">
        <f>IF(H63&lt;&gt;"",EDATE(StartDate,60),"")</f>
        <v/>
      </c>
      <c r="J63" s="9">
        <f>IF(H63&lt;&gt;"",MIN(MonthlyPmt,M62+K63),"")</f>
        <v/>
      </c>
      <c r="K63" s="9">
        <f>IF(H63&lt;&gt;"",ROUND(M62*AnnualRate/12,2),"")</f>
        <v/>
      </c>
      <c r="L63" s="9">
        <f>IF(H63&lt;&gt;"",MIN(M62,(J63-K63)+SUMPRODUCT(($B$21:$B$30&lt;&gt;"")*($B$21:$B$30&lt;=I63)*(($C$21:$C$30="")+($C$21:$C$30&lt;&gt;"")*($C$21:$C$30&gt;=I63))*($E$21:$E$30="Monthly")*$D$21:$D$30)+SUMPRODUCT(($B$21:$B$30&lt;&gt;"")*($B$21:$B$30&lt;=I63)*(($C$21:$C$30="")+($C$21:$C$30&lt;&gt;"")*($C$21:$C$30&gt;=I63))*($E$21:$E$30="Annual")*(MONTH($B$21:$B$30)=MONTH(I63))*$D$21:$D$30)+SUMPRODUCT(($B$34:$B$48&lt;&gt;"")*(YEAR($B$34:$B$48)=YEAR(I63))*(MONTH($B$34:$B$48)=MONTH(I63))*$C$34:$C$48)),"")</f>
        <v/>
      </c>
      <c r="M63" s="9">
        <f>IF(H63&lt;&gt;"",ROUND(M62-L63,2),"")</f>
        <v/>
      </c>
      <c r="N63" s="10">
        <f>IF(H63&lt;&gt;"",N62+L63,"")</f>
        <v/>
      </c>
      <c r="O63" s="10">
        <f>IF(H63&lt;&gt;"",O62+K63,"")</f>
        <v/>
      </c>
    </row>
    <row r="64">
      <c r="H64" s="12">
        <f>IF(AND(M63&gt;0.005,H63&lt;&gt;""),62,"")</f>
        <v/>
      </c>
      <c r="I64" s="13">
        <f>IF(H64&lt;&gt;"",EDATE(StartDate,61),"")</f>
        <v/>
      </c>
      <c r="J64" s="14">
        <f>IF(H64&lt;&gt;"",MIN(MonthlyPmt,M63+K64),"")</f>
        <v/>
      </c>
      <c r="K64" s="14">
        <f>IF(H64&lt;&gt;"",ROUND(M63*AnnualRate/12,2),"")</f>
        <v/>
      </c>
      <c r="L64" s="14">
        <f>IF(H64&lt;&gt;"",MIN(M63,(J64-K64)+SUMPRODUCT(($B$21:$B$30&lt;&gt;"")*($B$21:$B$30&lt;=I64)*(($C$21:$C$30="")+($C$21:$C$30&lt;&gt;"")*($C$21:$C$30&gt;=I64))*($E$21:$E$30="Monthly")*$D$21:$D$30)+SUMPRODUCT(($B$21:$B$30&lt;&gt;"")*($B$21:$B$30&lt;=I64)*(($C$21:$C$30="")+($C$21:$C$30&lt;&gt;"")*($C$21:$C$30&gt;=I64))*($E$21:$E$30="Annual")*(MONTH($B$21:$B$30)=MONTH(I64))*$D$21:$D$30)+SUMPRODUCT(($B$34:$B$48&lt;&gt;"")*(YEAR($B$34:$B$48)=YEAR(I64))*(MONTH($B$34:$B$48)=MONTH(I64))*$C$34:$C$48)),"")</f>
        <v/>
      </c>
      <c r="M64" s="14">
        <f>IF(H64&lt;&gt;"",ROUND(M63-L64,2),"")</f>
        <v/>
      </c>
      <c r="N64" s="10">
        <f>IF(H64&lt;&gt;"",N63+L64,"")</f>
        <v/>
      </c>
      <c r="O64" s="10">
        <f>IF(H64&lt;&gt;"",O63+K64,"")</f>
        <v/>
      </c>
    </row>
    <row r="65">
      <c r="H65" s="7">
        <f>IF(AND(M64&gt;0.005,H64&lt;&gt;""),63,"")</f>
        <v/>
      </c>
      <c r="I65" s="8">
        <f>IF(H65&lt;&gt;"",EDATE(StartDate,62),"")</f>
        <v/>
      </c>
      <c r="J65" s="9">
        <f>IF(H65&lt;&gt;"",MIN(MonthlyPmt,M64+K65),"")</f>
        <v/>
      </c>
      <c r="K65" s="9">
        <f>IF(H65&lt;&gt;"",ROUND(M64*AnnualRate/12,2),"")</f>
        <v/>
      </c>
      <c r="L65" s="9">
        <f>IF(H65&lt;&gt;"",MIN(M64,(J65-K65)+SUMPRODUCT(($B$21:$B$30&lt;&gt;"")*($B$21:$B$30&lt;=I65)*(($C$21:$C$30="")+($C$21:$C$30&lt;&gt;"")*($C$21:$C$30&gt;=I65))*($E$21:$E$30="Monthly")*$D$21:$D$30)+SUMPRODUCT(($B$21:$B$30&lt;&gt;"")*($B$21:$B$30&lt;=I65)*(($C$21:$C$30="")+($C$21:$C$30&lt;&gt;"")*($C$21:$C$30&gt;=I65))*($E$21:$E$30="Annual")*(MONTH($B$21:$B$30)=MONTH(I65))*$D$21:$D$30)+SUMPRODUCT(($B$34:$B$48&lt;&gt;"")*(YEAR($B$34:$B$48)=YEAR(I65))*(MONTH($B$34:$B$48)=MONTH(I65))*$C$34:$C$48)),"")</f>
        <v/>
      </c>
      <c r="M65" s="9">
        <f>IF(H65&lt;&gt;"",ROUND(M64-L65,2),"")</f>
        <v/>
      </c>
      <c r="N65" s="10">
        <f>IF(H65&lt;&gt;"",N64+L65,"")</f>
        <v/>
      </c>
      <c r="O65" s="10">
        <f>IF(H65&lt;&gt;"",O64+K65,"")</f>
        <v/>
      </c>
    </row>
    <row r="66">
      <c r="H66" s="12">
        <f>IF(AND(M65&gt;0.005,H65&lt;&gt;""),64,"")</f>
        <v/>
      </c>
      <c r="I66" s="13">
        <f>IF(H66&lt;&gt;"",EDATE(StartDate,63),"")</f>
        <v/>
      </c>
      <c r="J66" s="14">
        <f>IF(H66&lt;&gt;"",MIN(MonthlyPmt,M65+K66),"")</f>
        <v/>
      </c>
      <c r="K66" s="14">
        <f>IF(H66&lt;&gt;"",ROUND(M65*AnnualRate/12,2),"")</f>
        <v/>
      </c>
      <c r="L66" s="14">
        <f>IF(H66&lt;&gt;"",MIN(M65,(J66-K66)+SUMPRODUCT(($B$21:$B$30&lt;&gt;"")*($B$21:$B$30&lt;=I66)*(($C$21:$C$30="")+($C$21:$C$30&lt;&gt;"")*($C$21:$C$30&gt;=I66))*($E$21:$E$30="Monthly")*$D$21:$D$30)+SUMPRODUCT(($B$21:$B$30&lt;&gt;"")*($B$21:$B$30&lt;=I66)*(($C$21:$C$30="")+($C$21:$C$30&lt;&gt;"")*($C$21:$C$30&gt;=I66))*($E$21:$E$30="Annual")*(MONTH($B$21:$B$30)=MONTH(I66))*$D$21:$D$30)+SUMPRODUCT(($B$34:$B$48&lt;&gt;"")*(YEAR($B$34:$B$48)=YEAR(I66))*(MONTH($B$34:$B$48)=MONTH(I66))*$C$34:$C$48)),"")</f>
        <v/>
      </c>
      <c r="M66" s="14">
        <f>IF(H66&lt;&gt;"",ROUND(M65-L66,2),"")</f>
        <v/>
      </c>
      <c r="N66" s="10">
        <f>IF(H66&lt;&gt;"",N65+L66,"")</f>
        <v/>
      </c>
      <c r="O66" s="10">
        <f>IF(H66&lt;&gt;"",O65+K66,"")</f>
        <v/>
      </c>
    </row>
    <row r="67">
      <c r="H67" s="7">
        <f>IF(AND(M66&gt;0.005,H66&lt;&gt;""),65,"")</f>
        <v/>
      </c>
      <c r="I67" s="8">
        <f>IF(H67&lt;&gt;"",EDATE(StartDate,64),"")</f>
        <v/>
      </c>
      <c r="J67" s="9">
        <f>IF(H67&lt;&gt;"",MIN(MonthlyPmt,M66+K67),"")</f>
        <v/>
      </c>
      <c r="K67" s="9">
        <f>IF(H67&lt;&gt;"",ROUND(M66*AnnualRate/12,2),"")</f>
        <v/>
      </c>
      <c r="L67" s="9">
        <f>IF(H67&lt;&gt;"",MIN(M66,(J67-K67)+SUMPRODUCT(($B$21:$B$30&lt;&gt;"")*($B$21:$B$30&lt;=I67)*(($C$21:$C$30="")+($C$21:$C$30&lt;&gt;"")*($C$21:$C$30&gt;=I67))*($E$21:$E$30="Monthly")*$D$21:$D$30)+SUMPRODUCT(($B$21:$B$30&lt;&gt;"")*($B$21:$B$30&lt;=I67)*(($C$21:$C$30="")+($C$21:$C$30&lt;&gt;"")*($C$21:$C$30&gt;=I67))*($E$21:$E$30="Annual")*(MONTH($B$21:$B$30)=MONTH(I67))*$D$21:$D$30)+SUMPRODUCT(($B$34:$B$48&lt;&gt;"")*(YEAR($B$34:$B$48)=YEAR(I67))*(MONTH($B$34:$B$48)=MONTH(I67))*$C$34:$C$48)),"")</f>
        <v/>
      </c>
      <c r="M67" s="9">
        <f>IF(H67&lt;&gt;"",ROUND(M66-L67,2),"")</f>
        <v/>
      </c>
      <c r="N67" s="10">
        <f>IF(H67&lt;&gt;"",N66+L67,"")</f>
        <v/>
      </c>
      <c r="O67" s="10">
        <f>IF(H67&lt;&gt;"",O66+K67,"")</f>
        <v/>
      </c>
    </row>
    <row r="68">
      <c r="H68" s="12">
        <f>IF(AND(M67&gt;0.005,H67&lt;&gt;""),66,"")</f>
        <v/>
      </c>
      <c r="I68" s="13">
        <f>IF(H68&lt;&gt;"",EDATE(StartDate,65),"")</f>
        <v/>
      </c>
      <c r="J68" s="14">
        <f>IF(H68&lt;&gt;"",MIN(MonthlyPmt,M67+K68),"")</f>
        <v/>
      </c>
      <c r="K68" s="14">
        <f>IF(H68&lt;&gt;"",ROUND(M67*AnnualRate/12,2),"")</f>
        <v/>
      </c>
      <c r="L68" s="14">
        <f>IF(H68&lt;&gt;"",MIN(M67,(J68-K68)+SUMPRODUCT(($B$21:$B$30&lt;&gt;"")*($B$21:$B$30&lt;=I68)*(($C$21:$C$30="")+($C$21:$C$30&lt;&gt;"")*($C$21:$C$30&gt;=I68))*($E$21:$E$30="Monthly")*$D$21:$D$30)+SUMPRODUCT(($B$21:$B$30&lt;&gt;"")*($B$21:$B$30&lt;=I68)*(($C$21:$C$30="")+($C$21:$C$30&lt;&gt;"")*($C$21:$C$30&gt;=I68))*($E$21:$E$30="Annual")*(MONTH($B$21:$B$30)=MONTH(I68))*$D$21:$D$30)+SUMPRODUCT(($B$34:$B$48&lt;&gt;"")*(YEAR($B$34:$B$48)=YEAR(I68))*(MONTH($B$34:$B$48)=MONTH(I68))*$C$34:$C$48)),"")</f>
        <v/>
      </c>
      <c r="M68" s="14">
        <f>IF(H68&lt;&gt;"",ROUND(M67-L68,2),"")</f>
        <v/>
      </c>
      <c r="N68" s="10">
        <f>IF(H68&lt;&gt;"",N67+L68,"")</f>
        <v/>
      </c>
      <c r="O68" s="10">
        <f>IF(H68&lt;&gt;"",O67+K68,"")</f>
        <v/>
      </c>
    </row>
    <row r="69">
      <c r="H69" s="7">
        <f>IF(AND(M68&gt;0.005,H68&lt;&gt;""),67,"")</f>
        <v/>
      </c>
      <c r="I69" s="8">
        <f>IF(H69&lt;&gt;"",EDATE(StartDate,66),"")</f>
        <v/>
      </c>
      <c r="J69" s="9">
        <f>IF(H69&lt;&gt;"",MIN(MonthlyPmt,M68+K69),"")</f>
        <v/>
      </c>
      <c r="K69" s="9">
        <f>IF(H69&lt;&gt;"",ROUND(M68*AnnualRate/12,2),"")</f>
        <v/>
      </c>
      <c r="L69" s="9">
        <f>IF(H69&lt;&gt;"",MIN(M68,(J69-K69)+SUMPRODUCT(($B$21:$B$30&lt;&gt;"")*($B$21:$B$30&lt;=I69)*(($C$21:$C$30="")+($C$21:$C$30&lt;&gt;"")*($C$21:$C$30&gt;=I69))*($E$21:$E$30="Monthly")*$D$21:$D$30)+SUMPRODUCT(($B$21:$B$30&lt;&gt;"")*($B$21:$B$30&lt;=I69)*(($C$21:$C$30="")+($C$21:$C$30&lt;&gt;"")*($C$21:$C$30&gt;=I69))*($E$21:$E$30="Annual")*(MONTH($B$21:$B$30)=MONTH(I69))*$D$21:$D$30)+SUMPRODUCT(($B$34:$B$48&lt;&gt;"")*(YEAR($B$34:$B$48)=YEAR(I69))*(MONTH($B$34:$B$48)=MONTH(I69))*$C$34:$C$48)),"")</f>
        <v/>
      </c>
      <c r="M69" s="9">
        <f>IF(H69&lt;&gt;"",ROUND(M68-L69,2),"")</f>
        <v/>
      </c>
      <c r="N69" s="10">
        <f>IF(H69&lt;&gt;"",N68+L69,"")</f>
        <v/>
      </c>
      <c r="O69" s="10">
        <f>IF(H69&lt;&gt;"",O68+K69,"")</f>
        <v/>
      </c>
    </row>
    <row r="70">
      <c r="H70" s="12">
        <f>IF(AND(M69&gt;0.005,H69&lt;&gt;""),68,"")</f>
        <v/>
      </c>
      <c r="I70" s="13">
        <f>IF(H70&lt;&gt;"",EDATE(StartDate,67),"")</f>
        <v/>
      </c>
      <c r="J70" s="14">
        <f>IF(H70&lt;&gt;"",MIN(MonthlyPmt,M69+K70),"")</f>
        <v/>
      </c>
      <c r="K70" s="14">
        <f>IF(H70&lt;&gt;"",ROUND(M69*AnnualRate/12,2),"")</f>
        <v/>
      </c>
      <c r="L70" s="14">
        <f>IF(H70&lt;&gt;"",MIN(M69,(J70-K70)+SUMPRODUCT(($B$21:$B$30&lt;&gt;"")*($B$21:$B$30&lt;=I70)*(($C$21:$C$30="")+($C$21:$C$30&lt;&gt;"")*($C$21:$C$30&gt;=I70))*($E$21:$E$30="Monthly")*$D$21:$D$30)+SUMPRODUCT(($B$21:$B$30&lt;&gt;"")*($B$21:$B$30&lt;=I70)*(($C$21:$C$30="")+($C$21:$C$30&lt;&gt;"")*($C$21:$C$30&gt;=I70))*($E$21:$E$30="Annual")*(MONTH($B$21:$B$30)=MONTH(I70))*$D$21:$D$30)+SUMPRODUCT(($B$34:$B$48&lt;&gt;"")*(YEAR($B$34:$B$48)=YEAR(I70))*(MONTH($B$34:$B$48)=MONTH(I70))*$C$34:$C$48)),"")</f>
        <v/>
      </c>
      <c r="M70" s="14">
        <f>IF(H70&lt;&gt;"",ROUND(M69-L70,2),"")</f>
        <v/>
      </c>
      <c r="N70" s="10">
        <f>IF(H70&lt;&gt;"",N69+L70,"")</f>
        <v/>
      </c>
      <c r="O70" s="10">
        <f>IF(H70&lt;&gt;"",O69+K70,"")</f>
        <v/>
      </c>
    </row>
    <row r="71">
      <c r="H71" s="7">
        <f>IF(AND(M70&gt;0.005,H70&lt;&gt;""),69,"")</f>
        <v/>
      </c>
      <c r="I71" s="8">
        <f>IF(H71&lt;&gt;"",EDATE(StartDate,68),"")</f>
        <v/>
      </c>
      <c r="J71" s="9">
        <f>IF(H71&lt;&gt;"",MIN(MonthlyPmt,M70+K71),"")</f>
        <v/>
      </c>
      <c r="K71" s="9">
        <f>IF(H71&lt;&gt;"",ROUND(M70*AnnualRate/12,2),"")</f>
        <v/>
      </c>
      <c r="L71" s="9">
        <f>IF(H71&lt;&gt;"",MIN(M70,(J71-K71)+SUMPRODUCT(($B$21:$B$30&lt;&gt;"")*($B$21:$B$30&lt;=I71)*(($C$21:$C$30="")+($C$21:$C$30&lt;&gt;"")*($C$21:$C$30&gt;=I71))*($E$21:$E$30="Monthly")*$D$21:$D$30)+SUMPRODUCT(($B$21:$B$30&lt;&gt;"")*($B$21:$B$30&lt;=I71)*(($C$21:$C$30="")+($C$21:$C$30&lt;&gt;"")*($C$21:$C$30&gt;=I71))*($E$21:$E$30="Annual")*(MONTH($B$21:$B$30)=MONTH(I71))*$D$21:$D$30)+SUMPRODUCT(($B$34:$B$48&lt;&gt;"")*(YEAR($B$34:$B$48)=YEAR(I71))*(MONTH($B$34:$B$48)=MONTH(I71))*$C$34:$C$48)),"")</f>
        <v/>
      </c>
      <c r="M71" s="9">
        <f>IF(H71&lt;&gt;"",ROUND(M70-L71,2),"")</f>
        <v/>
      </c>
      <c r="N71" s="10">
        <f>IF(H71&lt;&gt;"",N70+L71,"")</f>
        <v/>
      </c>
      <c r="O71" s="10">
        <f>IF(H71&lt;&gt;"",O70+K71,"")</f>
        <v/>
      </c>
    </row>
    <row r="72">
      <c r="H72" s="12">
        <f>IF(AND(M71&gt;0.005,H71&lt;&gt;""),70,"")</f>
        <v/>
      </c>
      <c r="I72" s="13">
        <f>IF(H72&lt;&gt;"",EDATE(StartDate,69),"")</f>
        <v/>
      </c>
      <c r="J72" s="14">
        <f>IF(H72&lt;&gt;"",MIN(MonthlyPmt,M71+K72),"")</f>
        <v/>
      </c>
      <c r="K72" s="14">
        <f>IF(H72&lt;&gt;"",ROUND(M71*AnnualRate/12,2),"")</f>
        <v/>
      </c>
      <c r="L72" s="14">
        <f>IF(H72&lt;&gt;"",MIN(M71,(J72-K72)+SUMPRODUCT(($B$21:$B$30&lt;&gt;"")*($B$21:$B$30&lt;=I72)*(($C$21:$C$30="")+($C$21:$C$30&lt;&gt;"")*($C$21:$C$30&gt;=I72))*($E$21:$E$30="Monthly")*$D$21:$D$30)+SUMPRODUCT(($B$21:$B$30&lt;&gt;"")*($B$21:$B$30&lt;=I72)*(($C$21:$C$30="")+($C$21:$C$30&lt;&gt;"")*($C$21:$C$30&gt;=I72))*($E$21:$E$30="Annual")*(MONTH($B$21:$B$30)=MONTH(I72))*$D$21:$D$30)+SUMPRODUCT(($B$34:$B$48&lt;&gt;"")*(YEAR($B$34:$B$48)=YEAR(I72))*(MONTH($B$34:$B$48)=MONTH(I72))*$C$34:$C$48)),"")</f>
        <v/>
      </c>
      <c r="M72" s="14">
        <f>IF(H72&lt;&gt;"",ROUND(M71-L72,2),"")</f>
        <v/>
      </c>
      <c r="N72" s="10">
        <f>IF(H72&lt;&gt;"",N71+L72,"")</f>
        <v/>
      </c>
      <c r="O72" s="10">
        <f>IF(H72&lt;&gt;"",O71+K72,"")</f>
        <v/>
      </c>
    </row>
    <row r="73">
      <c r="H73" s="7">
        <f>IF(AND(M72&gt;0.005,H72&lt;&gt;""),71,"")</f>
        <v/>
      </c>
      <c r="I73" s="8">
        <f>IF(H73&lt;&gt;"",EDATE(StartDate,70),"")</f>
        <v/>
      </c>
      <c r="J73" s="9">
        <f>IF(H73&lt;&gt;"",MIN(MonthlyPmt,M72+K73),"")</f>
        <v/>
      </c>
      <c r="K73" s="9">
        <f>IF(H73&lt;&gt;"",ROUND(M72*AnnualRate/12,2),"")</f>
        <v/>
      </c>
      <c r="L73" s="9">
        <f>IF(H73&lt;&gt;"",MIN(M72,(J73-K73)+SUMPRODUCT(($B$21:$B$30&lt;&gt;"")*($B$21:$B$30&lt;=I73)*(($C$21:$C$30="")+($C$21:$C$30&lt;&gt;"")*($C$21:$C$30&gt;=I73))*($E$21:$E$30="Monthly")*$D$21:$D$30)+SUMPRODUCT(($B$21:$B$30&lt;&gt;"")*($B$21:$B$30&lt;=I73)*(($C$21:$C$30="")+($C$21:$C$30&lt;&gt;"")*($C$21:$C$30&gt;=I73))*($E$21:$E$30="Annual")*(MONTH($B$21:$B$30)=MONTH(I73))*$D$21:$D$30)+SUMPRODUCT(($B$34:$B$48&lt;&gt;"")*(YEAR($B$34:$B$48)=YEAR(I73))*(MONTH($B$34:$B$48)=MONTH(I73))*$C$34:$C$48)),"")</f>
        <v/>
      </c>
      <c r="M73" s="9">
        <f>IF(H73&lt;&gt;"",ROUND(M72-L73,2),"")</f>
        <v/>
      </c>
      <c r="N73" s="10">
        <f>IF(H73&lt;&gt;"",N72+L73,"")</f>
        <v/>
      </c>
      <c r="O73" s="10">
        <f>IF(H73&lt;&gt;"",O72+K73,"")</f>
        <v/>
      </c>
    </row>
    <row r="74">
      <c r="H74" s="12">
        <f>IF(AND(M73&gt;0.005,H73&lt;&gt;""),72,"")</f>
        <v/>
      </c>
      <c r="I74" s="13">
        <f>IF(H74&lt;&gt;"",EDATE(StartDate,71),"")</f>
        <v/>
      </c>
      <c r="J74" s="14">
        <f>IF(H74&lt;&gt;"",MIN(MonthlyPmt,M73+K74),"")</f>
        <v/>
      </c>
      <c r="K74" s="14">
        <f>IF(H74&lt;&gt;"",ROUND(M73*AnnualRate/12,2),"")</f>
        <v/>
      </c>
      <c r="L74" s="14">
        <f>IF(H74&lt;&gt;"",MIN(M73,(J74-K74)+SUMPRODUCT(($B$21:$B$30&lt;&gt;"")*($B$21:$B$30&lt;=I74)*(($C$21:$C$30="")+($C$21:$C$30&lt;&gt;"")*($C$21:$C$30&gt;=I74))*($E$21:$E$30="Monthly")*$D$21:$D$30)+SUMPRODUCT(($B$21:$B$30&lt;&gt;"")*($B$21:$B$30&lt;=I74)*(($C$21:$C$30="")+($C$21:$C$30&lt;&gt;"")*($C$21:$C$30&gt;=I74))*($E$21:$E$30="Annual")*(MONTH($B$21:$B$30)=MONTH(I74))*$D$21:$D$30)+SUMPRODUCT(($B$34:$B$48&lt;&gt;"")*(YEAR($B$34:$B$48)=YEAR(I74))*(MONTH($B$34:$B$48)=MONTH(I74))*$C$34:$C$48)),"")</f>
        <v/>
      </c>
      <c r="M74" s="14">
        <f>IF(H74&lt;&gt;"",ROUND(M73-L74,2),"")</f>
        <v/>
      </c>
      <c r="N74" s="10">
        <f>IF(H74&lt;&gt;"",N73+L74,"")</f>
        <v/>
      </c>
      <c r="O74" s="10">
        <f>IF(H74&lt;&gt;"",O73+K74,"")</f>
        <v/>
      </c>
    </row>
    <row r="75">
      <c r="H75" s="7">
        <f>IF(AND(M74&gt;0.005,H74&lt;&gt;""),73,"")</f>
        <v/>
      </c>
      <c r="I75" s="8">
        <f>IF(H75&lt;&gt;"",EDATE(StartDate,72),"")</f>
        <v/>
      </c>
      <c r="J75" s="9">
        <f>IF(H75&lt;&gt;"",MIN(MonthlyPmt,M74+K75),"")</f>
        <v/>
      </c>
      <c r="K75" s="9">
        <f>IF(H75&lt;&gt;"",ROUND(M74*AnnualRate/12,2),"")</f>
        <v/>
      </c>
      <c r="L75" s="9">
        <f>IF(H75&lt;&gt;"",MIN(M74,(J75-K75)+SUMPRODUCT(($B$21:$B$30&lt;&gt;"")*($B$21:$B$30&lt;=I75)*(($C$21:$C$30="")+($C$21:$C$30&lt;&gt;"")*($C$21:$C$30&gt;=I75))*($E$21:$E$30="Monthly")*$D$21:$D$30)+SUMPRODUCT(($B$21:$B$30&lt;&gt;"")*($B$21:$B$30&lt;=I75)*(($C$21:$C$30="")+($C$21:$C$30&lt;&gt;"")*($C$21:$C$30&gt;=I75))*($E$21:$E$30="Annual")*(MONTH($B$21:$B$30)=MONTH(I75))*$D$21:$D$30)+SUMPRODUCT(($B$34:$B$48&lt;&gt;"")*(YEAR($B$34:$B$48)=YEAR(I75))*(MONTH($B$34:$B$48)=MONTH(I75))*$C$34:$C$48)),"")</f>
        <v/>
      </c>
      <c r="M75" s="9">
        <f>IF(H75&lt;&gt;"",ROUND(M74-L75,2),"")</f>
        <v/>
      </c>
      <c r="N75" s="10">
        <f>IF(H75&lt;&gt;"",N74+L75,"")</f>
        <v/>
      </c>
      <c r="O75" s="10">
        <f>IF(H75&lt;&gt;"",O74+K75,"")</f>
        <v/>
      </c>
    </row>
    <row r="76">
      <c r="H76" s="12">
        <f>IF(AND(M75&gt;0.005,H75&lt;&gt;""),74,"")</f>
        <v/>
      </c>
      <c r="I76" s="13">
        <f>IF(H76&lt;&gt;"",EDATE(StartDate,73),"")</f>
        <v/>
      </c>
      <c r="J76" s="14">
        <f>IF(H76&lt;&gt;"",MIN(MonthlyPmt,M75+K76),"")</f>
        <v/>
      </c>
      <c r="K76" s="14">
        <f>IF(H76&lt;&gt;"",ROUND(M75*AnnualRate/12,2),"")</f>
        <v/>
      </c>
      <c r="L76" s="14">
        <f>IF(H76&lt;&gt;"",MIN(M75,(J76-K76)+SUMPRODUCT(($B$21:$B$30&lt;&gt;"")*($B$21:$B$30&lt;=I76)*(($C$21:$C$30="")+($C$21:$C$30&lt;&gt;"")*($C$21:$C$30&gt;=I76))*($E$21:$E$30="Monthly")*$D$21:$D$30)+SUMPRODUCT(($B$21:$B$30&lt;&gt;"")*($B$21:$B$30&lt;=I76)*(($C$21:$C$30="")+($C$21:$C$30&lt;&gt;"")*($C$21:$C$30&gt;=I76))*($E$21:$E$30="Annual")*(MONTH($B$21:$B$30)=MONTH(I76))*$D$21:$D$30)+SUMPRODUCT(($B$34:$B$48&lt;&gt;"")*(YEAR($B$34:$B$48)=YEAR(I76))*(MONTH($B$34:$B$48)=MONTH(I76))*$C$34:$C$48)),"")</f>
        <v/>
      </c>
      <c r="M76" s="14">
        <f>IF(H76&lt;&gt;"",ROUND(M75-L76,2),"")</f>
        <v/>
      </c>
      <c r="N76" s="10">
        <f>IF(H76&lt;&gt;"",N75+L76,"")</f>
        <v/>
      </c>
      <c r="O76" s="10">
        <f>IF(H76&lt;&gt;"",O75+K76,"")</f>
        <v/>
      </c>
    </row>
    <row r="77">
      <c r="H77" s="7">
        <f>IF(AND(M76&gt;0.005,H76&lt;&gt;""),75,"")</f>
        <v/>
      </c>
      <c r="I77" s="8">
        <f>IF(H77&lt;&gt;"",EDATE(StartDate,74),"")</f>
        <v/>
      </c>
      <c r="J77" s="9">
        <f>IF(H77&lt;&gt;"",MIN(MonthlyPmt,M76+K77),"")</f>
        <v/>
      </c>
      <c r="K77" s="9">
        <f>IF(H77&lt;&gt;"",ROUND(M76*AnnualRate/12,2),"")</f>
        <v/>
      </c>
      <c r="L77" s="9">
        <f>IF(H77&lt;&gt;"",MIN(M76,(J77-K77)+SUMPRODUCT(($B$21:$B$30&lt;&gt;"")*($B$21:$B$30&lt;=I77)*(($C$21:$C$30="")+($C$21:$C$30&lt;&gt;"")*($C$21:$C$30&gt;=I77))*($E$21:$E$30="Monthly")*$D$21:$D$30)+SUMPRODUCT(($B$21:$B$30&lt;&gt;"")*($B$21:$B$30&lt;=I77)*(($C$21:$C$30="")+($C$21:$C$30&lt;&gt;"")*($C$21:$C$30&gt;=I77))*($E$21:$E$30="Annual")*(MONTH($B$21:$B$30)=MONTH(I77))*$D$21:$D$30)+SUMPRODUCT(($B$34:$B$48&lt;&gt;"")*(YEAR($B$34:$B$48)=YEAR(I77))*(MONTH($B$34:$B$48)=MONTH(I77))*$C$34:$C$48)),"")</f>
        <v/>
      </c>
      <c r="M77" s="9">
        <f>IF(H77&lt;&gt;"",ROUND(M76-L77,2),"")</f>
        <v/>
      </c>
      <c r="N77" s="10">
        <f>IF(H77&lt;&gt;"",N76+L77,"")</f>
        <v/>
      </c>
      <c r="O77" s="10">
        <f>IF(H77&lt;&gt;"",O76+K77,"")</f>
        <v/>
      </c>
    </row>
    <row r="78">
      <c r="H78" s="12">
        <f>IF(AND(M77&gt;0.005,H77&lt;&gt;""),76,"")</f>
        <v/>
      </c>
      <c r="I78" s="13">
        <f>IF(H78&lt;&gt;"",EDATE(StartDate,75),"")</f>
        <v/>
      </c>
      <c r="J78" s="14">
        <f>IF(H78&lt;&gt;"",MIN(MonthlyPmt,M77+K78),"")</f>
        <v/>
      </c>
      <c r="K78" s="14">
        <f>IF(H78&lt;&gt;"",ROUND(M77*AnnualRate/12,2),"")</f>
        <v/>
      </c>
      <c r="L78" s="14">
        <f>IF(H78&lt;&gt;"",MIN(M77,(J78-K78)+SUMPRODUCT(($B$21:$B$30&lt;&gt;"")*($B$21:$B$30&lt;=I78)*(($C$21:$C$30="")+($C$21:$C$30&lt;&gt;"")*($C$21:$C$30&gt;=I78))*($E$21:$E$30="Monthly")*$D$21:$D$30)+SUMPRODUCT(($B$21:$B$30&lt;&gt;"")*($B$21:$B$30&lt;=I78)*(($C$21:$C$30="")+($C$21:$C$30&lt;&gt;"")*($C$21:$C$30&gt;=I78))*($E$21:$E$30="Annual")*(MONTH($B$21:$B$30)=MONTH(I78))*$D$21:$D$30)+SUMPRODUCT(($B$34:$B$48&lt;&gt;"")*(YEAR($B$34:$B$48)=YEAR(I78))*(MONTH($B$34:$B$48)=MONTH(I78))*$C$34:$C$48)),"")</f>
        <v/>
      </c>
      <c r="M78" s="14">
        <f>IF(H78&lt;&gt;"",ROUND(M77-L78,2),"")</f>
        <v/>
      </c>
      <c r="N78" s="10">
        <f>IF(H78&lt;&gt;"",N77+L78,"")</f>
        <v/>
      </c>
      <c r="O78" s="10">
        <f>IF(H78&lt;&gt;"",O77+K78,"")</f>
        <v/>
      </c>
    </row>
    <row r="79">
      <c r="H79" s="7">
        <f>IF(AND(M78&gt;0.005,H78&lt;&gt;""),77,"")</f>
        <v/>
      </c>
      <c r="I79" s="8">
        <f>IF(H79&lt;&gt;"",EDATE(StartDate,76),"")</f>
        <v/>
      </c>
      <c r="J79" s="9">
        <f>IF(H79&lt;&gt;"",MIN(MonthlyPmt,M78+K79),"")</f>
        <v/>
      </c>
      <c r="K79" s="9">
        <f>IF(H79&lt;&gt;"",ROUND(M78*AnnualRate/12,2),"")</f>
        <v/>
      </c>
      <c r="L79" s="9">
        <f>IF(H79&lt;&gt;"",MIN(M78,(J79-K79)+SUMPRODUCT(($B$21:$B$30&lt;&gt;"")*($B$21:$B$30&lt;=I79)*(($C$21:$C$30="")+($C$21:$C$30&lt;&gt;"")*($C$21:$C$30&gt;=I79))*($E$21:$E$30="Monthly")*$D$21:$D$30)+SUMPRODUCT(($B$21:$B$30&lt;&gt;"")*($B$21:$B$30&lt;=I79)*(($C$21:$C$30="")+($C$21:$C$30&lt;&gt;"")*($C$21:$C$30&gt;=I79))*($E$21:$E$30="Annual")*(MONTH($B$21:$B$30)=MONTH(I79))*$D$21:$D$30)+SUMPRODUCT(($B$34:$B$48&lt;&gt;"")*(YEAR($B$34:$B$48)=YEAR(I79))*(MONTH($B$34:$B$48)=MONTH(I79))*$C$34:$C$48)),"")</f>
        <v/>
      </c>
      <c r="M79" s="9">
        <f>IF(H79&lt;&gt;"",ROUND(M78-L79,2),"")</f>
        <v/>
      </c>
      <c r="N79" s="10">
        <f>IF(H79&lt;&gt;"",N78+L79,"")</f>
        <v/>
      </c>
      <c r="O79" s="10">
        <f>IF(H79&lt;&gt;"",O78+K79,"")</f>
        <v/>
      </c>
    </row>
    <row r="80">
      <c r="H80" s="12">
        <f>IF(AND(M79&gt;0.005,H79&lt;&gt;""),78,"")</f>
        <v/>
      </c>
      <c r="I80" s="13">
        <f>IF(H80&lt;&gt;"",EDATE(StartDate,77),"")</f>
        <v/>
      </c>
      <c r="J80" s="14">
        <f>IF(H80&lt;&gt;"",MIN(MonthlyPmt,M79+K80),"")</f>
        <v/>
      </c>
      <c r="K80" s="14">
        <f>IF(H80&lt;&gt;"",ROUND(M79*AnnualRate/12,2),"")</f>
        <v/>
      </c>
      <c r="L80" s="14">
        <f>IF(H80&lt;&gt;"",MIN(M79,(J80-K80)+SUMPRODUCT(($B$21:$B$30&lt;&gt;"")*($B$21:$B$30&lt;=I80)*(($C$21:$C$30="")+($C$21:$C$30&lt;&gt;"")*($C$21:$C$30&gt;=I80))*($E$21:$E$30="Monthly")*$D$21:$D$30)+SUMPRODUCT(($B$21:$B$30&lt;&gt;"")*($B$21:$B$30&lt;=I80)*(($C$21:$C$30="")+($C$21:$C$30&lt;&gt;"")*($C$21:$C$30&gt;=I80))*($E$21:$E$30="Annual")*(MONTH($B$21:$B$30)=MONTH(I80))*$D$21:$D$30)+SUMPRODUCT(($B$34:$B$48&lt;&gt;"")*(YEAR($B$34:$B$48)=YEAR(I80))*(MONTH($B$34:$B$48)=MONTH(I80))*$C$34:$C$48)),"")</f>
        <v/>
      </c>
      <c r="M80" s="14">
        <f>IF(H80&lt;&gt;"",ROUND(M79-L80,2),"")</f>
        <v/>
      </c>
      <c r="N80" s="10">
        <f>IF(H80&lt;&gt;"",N79+L80,"")</f>
        <v/>
      </c>
      <c r="O80" s="10">
        <f>IF(H80&lt;&gt;"",O79+K80,"")</f>
        <v/>
      </c>
    </row>
    <row r="81">
      <c r="H81" s="7">
        <f>IF(AND(M80&gt;0.005,H80&lt;&gt;""),79,"")</f>
        <v/>
      </c>
      <c r="I81" s="8">
        <f>IF(H81&lt;&gt;"",EDATE(StartDate,78),"")</f>
        <v/>
      </c>
      <c r="J81" s="9">
        <f>IF(H81&lt;&gt;"",MIN(MonthlyPmt,M80+K81),"")</f>
        <v/>
      </c>
      <c r="K81" s="9">
        <f>IF(H81&lt;&gt;"",ROUND(M80*AnnualRate/12,2),"")</f>
        <v/>
      </c>
      <c r="L81" s="9">
        <f>IF(H81&lt;&gt;"",MIN(M80,(J81-K81)+SUMPRODUCT(($B$21:$B$30&lt;&gt;"")*($B$21:$B$30&lt;=I81)*(($C$21:$C$30="")+($C$21:$C$30&lt;&gt;"")*($C$21:$C$30&gt;=I81))*($E$21:$E$30="Monthly")*$D$21:$D$30)+SUMPRODUCT(($B$21:$B$30&lt;&gt;"")*($B$21:$B$30&lt;=I81)*(($C$21:$C$30="")+($C$21:$C$30&lt;&gt;"")*($C$21:$C$30&gt;=I81))*($E$21:$E$30="Annual")*(MONTH($B$21:$B$30)=MONTH(I81))*$D$21:$D$30)+SUMPRODUCT(($B$34:$B$48&lt;&gt;"")*(YEAR($B$34:$B$48)=YEAR(I81))*(MONTH($B$34:$B$48)=MONTH(I81))*$C$34:$C$48)),"")</f>
        <v/>
      </c>
      <c r="M81" s="9">
        <f>IF(H81&lt;&gt;"",ROUND(M80-L81,2),"")</f>
        <v/>
      </c>
      <c r="N81" s="10">
        <f>IF(H81&lt;&gt;"",N80+L81,"")</f>
        <v/>
      </c>
      <c r="O81" s="10">
        <f>IF(H81&lt;&gt;"",O80+K81,"")</f>
        <v/>
      </c>
    </row>
    <row r="82">
      <c r="H82" s="12">
        <f>IF(AND(M81&gt;0.005,H81&lt;&gt;""),80,"")</f>
        <v/>
      </c>
      <c r="I82" s="13">
        <f>IF(H82&lt;&gt;"",EDATE(StartDate,79),"")</f>
        <v/>
      </c>
      <c r="J82" s="14">
        <f>IF(H82&lt;&gt;"",MIN(MonthlyPmt,M81+K82),"")</f>
        <v/>
      </c>
      <c r="K82" s="14">
        <f>IF(H82&lt;&gt;"",ROUND(M81*AnnualRate/12,2),"")</f>
        <v/>
      </c>
      <c r="L82" s="14">
        <f>IF(H82&lt;&gt;"",MIN(M81,(J82-K82)+SUMPRODUCT(($B$21:$B$30&lt;&gt;"")*($B$21:$B$30&lt;=I82)*(($C$21:$C$30="")+($C$21:$C$30&lt;&gt;"")*($C$21:$C$30&gt;=I82))*($E$21:$E$30="Monthly")*$D$21:$D$30)+SUMPRODUCT(($B$21:$B$30&lt;&gt;"")*($B$21:$B$30&lt;=I82)*(($C$21:$C$30="")+($C$21:$C$30&lt;&gt;"")*($C$21:$C$30&gt;=I82))*($E$21:$E$30="Annual")*(MONTH($B$21:$B$30)=MONTH(I82))*$D$21:$D$30)+SUMPRODUCT(($B$34:$B$48&lt;&gt;"")*(YEAR($B$34:$B$48)=YEAR(I82))*(MONTH($B$34:$B$48)=MONTH(I82))*$C$34:$C$48)),"")</f>
        <v/>
      </c>
      <c r="M82" s="14">
        <f>IF(H82&lt;&gt;"",ROUND(M81-L82,2),"")</f>
        <v/>
      </c>
      <c r="N82" s="10">
        <f>IF(H82&lt;&gt;"",N81+L82,"")</f>
        <v/>
      </c>
      <c r="O82" s="10">
        <f>IF(H82&lt;&gt;"",O81+K82,"")</f>
        <v/>
      </c>
    </row>
    <row r="83">
      <c r="H83" s="7">
        <f>IF(AND(M82&gt;0.005,H82&lt;&gt;""),81,"")</f>
        <v/>
      </c>
      <c r="I83" s="8">
        <f>IF(H83&lt;&gt;"",EDATE(StartDate,80),"")</f>
        <v/>
      </c>
      <c r="J83" s="9">
        <f>IF(H83&lt;&gt;"",MIN(MonthlyPmt,M82+K83),"")</f>
        <v/>
      </c>
      <c r="K83" s="9">
        <f>IF(H83&lt;&gt;"",ROUND(M82*AnnualRate/12,2),"")</f>
        <v/>
      </c>
      <c r="L83" s="9">
        <f>IF(H83&lt;&gt;"",MIN(M82,(J83-K83)+SUMPRODUCT(($B$21:$B$30&lt;&gt;"")*($B$21:$B$30&lt;=I83)*(($C$21:$C$30="")+($C$21:$C$30&lt;&gt;"")*($C$21:$C$30&gt;=I83))*($E$21:$E$30="Monthly")*$D$21:$D$30)+SUMPRODUCT(($B$21:$B$30&lt;&gt;"")*($B$21:$B$30&lt;=I83)*(($C$21:$C$30="")+($C$21:$C$30&lt;&gt;"")*($C$21:$C$30&gt;=I83))*($E$21:$E$30="Annual")*(MONTH($B$21:$B$30)=MONTH(I83))*$D$21:$D$30)+SUMPRODUCT(($B$34:$B$48&lt;&gt;"")*(YEAR($B$34:$B$48)=YEAR(I83))*(MONTH($B$34:$B$48)=MONTH(I83))*$C$34:$C$48)),"")</f>
        <v/>
      </c>
      <c r="M83" s="9">
        <f>IF(H83&lt;&gt;"",ROUND(M82-L83,2),"")</f>
        <v/>
      </c>
      <c r="N83" s="10">
        <f>IF(H83&lt;&gt;"",N82+L83,"")</f>
        <v/>
      </c>
      <c r="O83" s="10">
        <f>IF(H83&lt;&gt;"",O82+K83,"")</f>
        <v/>
      </c>
    </row>
    <row r="84">
      <c r="H84" s="12">
        <f>IF(AND(M83&gt;0.005,H83&lt;&gt;""),82,"")</f>
        <v/>
      </c>
      <c r="I84" s="13">
        <f>IF(H84&lt;&gt;"",EDATE(StartDate,81),"")</f>
        <v/>
      </c>
      <c r="J84" s="14">
        <f>IF(H84&lt;&gt;"",MIN(MonthlyPmt,M83+K84),"")</f>
        <v/>
      </c>
      <c r="K84" s="14">
        <f>IF(H84&lt;&gt;"",ROUND(M83*AnnualRate/12,2),"")</f>
        <v/>
      </c>
      <c r="L84" s="14">
        <f>IF(H84&lt;&gt;"",MIN(M83,(J84-K84)+SUMPRODUCT(($B$21:$B$30&lt;&gt;"")*($B$21:$B$30&lt;=I84)*(($C$21:$C$30="")+($C$21:$C$30&lt;&gt;"")*($C$21:$C$30&gt;=I84))*($E$21:$E$30="Monthly")*$D$21:$D$30)+SUMPRODUCT(($B$21:$B$30&lt;&gt;"")*($B$21:$B$30&lt;=I84)*(($C$21:$C$30="")+($C$21:$C$30&lt;&gt;"")*($C$21:$C$30&gt;=I84))*($E$21:$E$30="Annual")*(MONTH($B$21:$B$30)=MONTH(I84))*$D$21:$D$30)+SUMPRODUCT(($B$34:$B$48&lt;&gt;"")*(YEAR($B$34:$B$48)=YEAR(I84))*(MONTH($B$34:$B$48)=MONTH(I84))*$C$34:$C$48)),"")</f>
        <v/>
      </c>
      <c r="M84" s="14">
        <f>IF(H84&lt;&gt;"",ROUND(M83-L84,2),"")</f>
        <v/>
      </c>
      <c r="N84" s="10">
        <f>IF(H84&lt;&gt;"",N83+L84,"")</f>
        <v/>
      </c>
      <c r="O84" s="10">
        <f>IF(H84&lt;&gt;"",O83+K84,"")</f>
        <v/>
      </c>
    </row>
    <row r="85">
      <c r="H85" s="7">
        <f>IF(AND(M84&gt;0.005,H84&lt;&gt;""),83,"")</f>
        <v/>
      </c>
      <c r="I85" s="8">
        <f>IF(H85&lt;&gt;"",EDATE(StartDate,82),"")</f>
        <v/>
      </c>
      <c r="J85" s="9">
        <f>IF(H85&lt;&gt;"",MIN(MonthlyPmt,M84+K85),"")</f>
        <v/>
      </c>
      <c r="K85" s="9">
        <f>IF(H85&lt;&gt;"",ROUND(M84*AnnualRate/12,2),"")</f>
        <v/>
      </c>
      <c r="L85" s="9">
        <f>IF(H85&lt;&gt;"",MIN(M84,(J85-K85)+SUMPRODUCT(($B$21:$B$30&lt;&gt;"")*($B$21:$B$30&lt;=I85)*(($C$21:$C$30="")+($C$21:$C$30&lt;&gt;"")*($C$21:$C$30&gt;=I85))*($E$21:$E$30="Monthly")*$D$21:$D$30)+SUMPRODUCT(($B$21:$B$30&lt;&gt;"")*($B$21:$B$30&lt;=I85)*(($C$21:$C$30="")+($C$21:$C$30&lt;&gt;"")*($C$21:$C$30&gt;=I85))*($E$21:$E$30="Annual")*(MONTH($B$21:$B$30)=MONTH(I85))*$D$21:$D$30)+SUMPRODUCT(($B$34:$B$48&lt;&gt;"")*(YEAR($B$34:$B$48)=YEAR(I85))*(MONTH($B$34:$B$48)=MONTH(I85))*$C$34:$C$48)),"")</f>
        <v/>
      </c>
      <c r="M85" s="9">
        <f>IF(H85&lt;&gt;"",ROUND(M84-L85,2),"")</f>
        <v/>
      </c>
      <c r="N85" s="10">
        <f>IF(H85&lt;&gt;"",N84+L85,"")</f>
        <v/>
      </c>
      <c r="O85" s="10">
        <f>IF(H85&lt;&gt;"",O84+K85,"")</f>
        <v/>
      </c>
    </row>
    <row r="86">
      <c r="H86" s="12">
        <f>IF(AND(M85&gt;0.005,H85&lt;&gt;""),84,"")</f>
        <v/>
      </c>
      <c r="I86" s="13">
        <f>IF(H86&lt;&gt;"",EDATE(StartDate,83),"")</f>
        <v/>
      </c>
      <c r="J86" s="14">
        <f>IF(H86&lt;&gt;"",MIN(MonthlyPmt,M85+K86),"")</f>
        <v/>
      </c>
      <c r="K86" s="14">
        <f>IF(H86&lt;&gt;"",ROUND(M85*AnnualRate/12,2),"")</f>
        <v/>
      </c>
      <c r="L86" s="14">
        <f>IF(H86&lt;&gt;"",MIN(M85,(J86-K86)+SUMPRODUCT(($B$21:$B$30&lt;&gt;"")*($B$21:$B$30&lt;=I86)*(($C$21:$C$30="")+($C$21:$C$30&lt;&gt;"")*($C$21:$C$30&gt;=I86))*($E$21:$E$30="Monthly")*$D$21:$D$30)+SUMPRODUCT(($B$21:$B$30&lt;&gt;"")*($B$21:$B$30&lt;=I86)*(($C$21:$C$30="")+($C$21:$C$30&lt;&gt;"")*($C$21:$C$30&gt;=I86))*($E$21:$E$30="Annual")*(MONTH($B$21:$B$30)=MONTH(I86))*$D$21:$D$30)+SUMPRODUCT(($B$34:$B$48&lt;&gt;"")*(YEAR($B$34:$B$48)=YEAR(I86))*(MONTH($B$34:$B$48)=MONTH(I86))*$C$34:$C$48)),"")</f>
        <v/>
      </c>
      <c r="M86" s="14">
        <f>IF(H86&lt;&gt;"",ROUND(M85-L86,2),"")</f>
        <v/>
      </c>
      <c r="N86" s="10">
        <f>IF(H86&lt;&gt;"",N85+L86,"")</f>
        <v/>
      </c>
      <c r="O86" s="10">
        <f>IF(H86&lt;&gt;"",O85+K86,"")</f>
        <v/>
      </c>
    </row>
    <row r="87">
      <c r="H87" s="7">
        <f>IF(AND(M86&gt;0.005,H86&lt;&gt;""),85,"")</f>
        <v/>
      </c>
      <c r="I87" s="8">
        <f>IF(H87&lt;&gt;"",EDATE(StartDate,84),"")</f>
        <v/>
      </c>
      <c r="J87" s="9">
        <f>IF(H87&lt;&gt;"",MIN(MonthlyPmt,M86+K87),"")</f>
        <v/>
      </c>
      <c r="K87" s="9">
        <f>IF(H87&lt;&gt;"",ROUND(M86*AnnualRate/12,2),"")</f>
        <v/>
      </c>
      <c r="L87" s="9">
        <f>IF(H87&lt;&gt;"",MIN(M86,(J87-K87)+SUMPRODUCT(($B$21:$B$30&lt;&gt;"")*($B$21:$B$30&lt;=I87)*(($C$21:$C$30="")+($C$21:$C$30&lt;&gt;"")*($C$21:$C$30&gt;=I87))*($E$21:$E$30="Monthly")*$D$21:$D$30)+SUMPRODUCT(($B$21:$B$30&lt;&gt;"")*($B$21:$B$30&lt;=I87)*(($C$21:$C$30="")+($C$21:$C$30&lt;&gt;"")*($C$21:$C$30&gt;=I87))*($E$21:$E$30="Annual")*(MONTH($B$21:$B$30)=MONTH(I87))*$D$21:$D$30)+SUMPRODUCT(($B$34:$B$48&lt;&gt;"")*(YEAR($B$34:$B$48)=YEAR(I87))*(MONTH($B$34:$B$48)=MONTH(I87))*$C$34:$C$48)),"")</f>
        <v/>
      </c>
      <c r="M87" s="9">
        <f>IF(H87&lt;&gt;"",ROUND(M86-L87,2),"")</f>
        <v/>
      </c>
      <c r="N87" s="10">
        <f>IF(H87&lt;&gt;"",N86+L87,"")</f>
        <v/>
      </c>
      <c r="O87" s="10">
        <f>IF(H87&lt;&gt;"",O86+K87,"")</f>
        <v/>
      </c>
    </row>
    <row r="88">
      <c r="H88" s="12">
        <f>IF(AND(M87&gt;0.005,H87&lt;&gt;""),86,"")</f>
        <v/>
      </c>
      <c r="I88" s="13">
        <f>IF(H88&lt;&gt;"",EDATE(StartDate,85),"")</f>
        <v/>
      </c>
      <c r="J88" s="14">
        <f>IF(H88&lt;&gt;"",MIN(MonthlyPmt,M87+K88),"")</f>
        <v/>
      </c>
      <c r="K88" s="14">
        <f>IF(H88&lt;&gt;"",ROUND(M87*AnnualRate/12,2),"")</f>
        <v/>
      </c>
      <c r="L88" s="14">
        <f>IF(H88&lt;&gt;"",MIN(M87,(J88-K88)+SUMPRODUCT(($B$21:$B$30&lt;&gt;"")*($B$21:$B$30&lt;=I88)*(($C$21:$C$30="")+($C$21:$C$30&lt;&gt;"")*($C$21:$C$30&gt;=I88))*($E$21:$E$30="Monthly")*$D$21:$D$30)+SUMPRODUCT(($B$21:$B$30&lt;&gt;"")*($B$21:$B$30&lt;=I88)*(($C$21:$C$30="")+($C$21:$C$30&lt;&gt;"")*($C$21:$C$30&gt;=I88))*($E$21:$E$30="Annual")*(MONTH($B$21:$B$30)=MONTH(I88))*$D$21:$D$30)+SUMPRODUCT(($B$34:$B$48&lt;&gt;"")*(YEAR($B$34:$B$48)=YEAR(I88))*(MONTH($B$34:$B$48)=MONTH(I88))*$C$34:$C$48)),"")</f>
        <v/>
      </c>
      <c r="M88" s="14">
        <f>IF(H88&lt;&gt;"",ROUND(M87-L88,2),"")</f>
        <v/>
      </c>
      <c r="N88" s="10">
        <f>IF(H88&lt;&gt;"",N87+L88,"")</f>
        <v/>
      </c>
      <c r="O88" s="10">
        <f>IF(H88&lt;&gt;"",O87+K88,"")</f>
        <v/>
      </c>
    </row>
    <row r="89">
      <c r="H89" s="7">
        <f>IF(AND(M88&gt;0.005,H88&lt;&gt;""),87,"")</f>
        <v/>
      </c>
      <c r="I89" s="8">
        <f>IF(H89&lt;&gt;"",EDATE(StartDate,86),"")</f>
        <v/>
      </c>
      <c r="J89" s="9">
        <f>IF(H89&lt;&gt;"",MIN(MonthlyPmt,M88+K89),"")</f>
        <v/>
      </c>
      <c r="K89" s="9">
        <f>IF(H89&lt;&gt;"",ROUND(M88*AnnualRate/12,2),"")</f>
        <v/>
      </c>
      <c r="L89" s="9">
        <f>IF(H89&lt;&gt;"",MIN(M88,(J89-K89)+SUMPRODUCT(($B$21:$B$30&lt;&gt;"")*($B$21:$B$30&lt;=I89)*(($C$21:$C$30="")+($C$21:$C$30&lt;&gt;"")*($C$21:$C$30&gt;=I89))*($E$21:$E$30="Monthly")*$D$21:$D$30)+SUMPRODUCT(($B$21:$B$30&lt;&gt;"")*($B$21:$B$30&lt;=I89)*(($C$21:$C$30="")+($C$21:$C$30&lt;&gt;"")*($C$21:$C$30&gt;=I89))*($E$21:$E$30="Annual")*(MONTH($B$21:$B$30)=MONTH(I89))*$D$21:$D$30)+SUMPRODUCT(($B$34:$B$48&lt;&gt;"")*(YEAR($B$34:$B$48)=YEAR(I89))*(MONTH($B$34:$B$48)=MONTH(I89))*$C$34:$C$48)),"")</f>
        <v/>
      </c>
      <c r="M89" s="9">
        <f>IF(H89&lt;&gt;"",ROUND(M88-L89,2),"")</f>
        <v/>
      </c>
      <c r="N89" s="10">
        <f>IF(H89&lt;&gt;"",N88+L89,"")</f>
        <v/>
      </c>
      <c r="O89" s="10">
        <f>IF(H89&lt;&gt;"",O88+K89,"")</f>
        <v/>
      </c>
    </row>
    <row r="90">
      <c r="H90" s="12">
        <f>IF(AND(M89&gt;0.005,H89&lt;&gt;""),88,"")</f>
        <v/>
      </c>
      <c r="I90" s="13">
        <f>IF(H90&lt;&gt;"",EDATE(StartDate,87),"")</f>
        <v/>
      </c>
      <c r="J90" s="14">
        <f>IF(H90&lt;&gt;"",MIN(MonthlyPmt,M89+K90),"")</f>
        <v/>
      </c>
      <c r="K90" s="14">
        <f>IF(H90&lt;&gt;"",ROUND(M89*AnnualRate/12,2),"")</f>
        <v/>
      </c>
      <c r="L90" s="14">
        <f>IF(H90&lt;&gt;"",MIN(M89,(J90-K90)+SUMPRODUCT(($B$21:$B$30&lt;&gt;"")*($B$21:$B$30&lt;=I90)*(($C$21:$C$30="")+($C$21:$C$30&lt;&gt;"")*($C$21:$C$30&gt;=I90))*($E$21:$E$30="Monthly")*$D$21:$D$30)+SUMPRODUCT(($B$21:$B$30&lt;&gt;"")*($B$21:$B$30&lt;=I90)*(($C$21:$C$30="")+($C$21:$C$30&lt;&gt;"")*($C$21:$C$30&gt;=I90))*($E$21:$E$30="Annual")*(MONTH($B$21:$B$30)=MONTH(I90))*$D$21:$D$30)+SUMPRODUCT(($B$34:$B$48&lt;&gt;"")*(YEAR($B$34:$B$48)=YEAR(I90))*(MONTH($B$34:$B$48)=MONTH(I90))*$C$34:$C$48)),"")</f>
        <v/>
      </c>
      <c r="M90" s="14">
        <f>IF(H90&lt;&gt;"",ROUND(M89-L90,2),"")</f>
        <v/>
      </c>
      <c r="N90" s="10">
        <f>IF(H90&lt;&gt;"",N89+L90,"")</f>
        <v/>
      </c>
      <c r="O90" s="10">
        <f>IF(H90&lt;&gt;"",O89+K90,"")</f>
        <v/>
      </c>
    </row>
    <row r="91">
      <c r="H91" s="7">
        <f>IF(AND(M90&gt;0.005,H90&lt;&gt;""),89,"")</f>
        <v/>
      </c>
      <c r="I91" s="8">
        <f>IF(H91&lt;&gt;"",EDATE(StartDate,88),"")</f>
        <v/>
      </c>
      <c r="J91" s="9">
        <f>IF(H91&lt;&gt;"",MIN(MonthlyPmt,M90+K91),"")</f>
        <v/>
      </c>
      <c r="K91" s="9">
        <f>IF(H91&lt;&gt;"",ROUND(M90*AnnualRate/12,2),"")</f>
        <v/>
      </c>
      <c r="L91" s="9">
        <f>IF(H91&lt;&gt;"",MIN(M90,(J91-K91)+SUMPRODUCT(($B$21:$B$30&lt;&gt;"")*($B$21:$B$30&lt;=I91)*(($C$21:$C$30="")+($C$21:$C$30&lt;&gt;"")*($C$21:$C$30&gt;=I91))*($E$21:$E$30="Monthly")*$D$21:$D$30)+SUMPRODUCT(($B$21:$B$30&lt;&gt;"")*($B$21:$B$30&lt;=I91)*(($C$21:$C$30="")+($C$21:$C$30&lt;&gt;"")*($C$21:$C$30&gt;=I91))*($E$21:$E$30="Annual")*(MONTH($B$21:$B$30)=MONTH(I91))*$D$21:$D$30)+SUMPRODUCT(($B$34:$B$48&lt;&gt;"")*(YEAR($B$34:$B$48)=YEAR(I91))*(MONTH($B$34:$B$48)=MONTH(I91))*$C$34:$C$48)),"")</f>
        <v/>
      </c>
      <c r="M91" s="9">
        <f>IF(H91&lt;&gt;"",ROUND(M90-L91,2),"")</f>
        <v/>
      </c>
      <c r="N91" s="10">
        <f>IF(H91&lt;&gt;"",N90+L91,"")</f>
        <v/>
      </c>
      <c r="O91" s="10">
        <f>IF(H91&lt;&gt;"",O90+K91,"")</f>
        <v/>
      </c>
    </row>
    <row r="92">
      <c r="H92" s="12">
        <f>IF(AND(M91&gt;0.005,H91&lt;&gt;""),90,"")</f>
        <v/>
      </c>
      <c r="I92" s="13">
        <f>IF(H92&lt;&gt;"",EDATE(StartDate,89),"")</f>
        <v/>
      </c>
      <c r="J92" s="14">
        <f>IF(H92&lt;&gt;"",MIN(MonthlyPmt,M91+K92),"")</f>
        <v/>
      </c>
      <c r="K92" s="14">
        <f>IF(H92&lt;&gt;"",ROUND(M91*AnnualRate/12,2),"")</f>
        <v/>
      </c>
      <c r="L92" s="14">
        <f>IF(H92&lt;&gt;"",MIN(M91,(J92-K92)+SUMPRODUCT(($B$21:$B$30&lt;&gt;"")*($B$21:$B$30&lt;=I92)*(($C$21:$C$30="")+($C$21:$C$30&lt;&gt;"")*($C$21:$C$30&gt;=I92))*($E$21:$E$30="Monthly")*$D$21:$D$30)+SUMPRODUCT(($B$21:$B$30&lt;&gt;"")*($B$21:$B$30&lt;=I92)*(($C$21:$C$30="")+($C$21:$C$30&lt;&gt;"")*($C$21:$C$30&gt;=I92))*($E$21:$E$30="Annual")*(MONTH($B$21:$B$30)=MONTH(I92))*$D$21:$D$30)+SUMPRODUCT(($B$34:$B$48&lt;&gt;"")*(YEAR($B$34:$B$48)=YEAR(I92))*(MONTH($B$34:$B$48)=MONTH(I92))*$C$34:$C$48)),"")</f>
        <v/>
      </c>
      <c r="M92" s="14">
        <f>IF(H92&lt;&gt;"",ROUND(M91-L92,2),"")</f>
        <v/>
      </c>
      <c r="N92" s="10">
        <f>IF(H92&lt;&gt;"",N91+L92,"")</f>
        <v/>
      </c>
      <c r="O92" s="10">
        <f>IF(H92&lt;&gt;"",O91+K92,"")</f>
        <v/>
      </c>
    </row>
    <row r="93">
      <c r="H93" s="7">
        <f>IF(AND(M92&gt;0.005,H92&lt;&gt;""),91,"")</f>
        <v/>
      </c>
      <c r="I93" s="8">
        <f>IF(H93&lt;&gt;"",EDATE(StartDate,90),"")</f>
        <v/>
      </c>
      <c r="J93" s="9">
        <f>IF(H93&lt;&gt;"",MIN(MonthlyPmt,M92+K93),"")</f>
        <v/>
      </c>
      <c r="K93" s="9">
        <f>IF(H93&lt;&gt;"",ROUND(M92*AnnualRate/12,2),"")</f>
        <v/>
      </c>
      <c r="L93" s="9">
        <f>IF(H93&lt;&gt;"",MIN(M92,(J93-K93)+SUMPRODUCT(($B$21:$B$30&lt;&gt;"")*($B$21:$B$30&lt;=I93)*(($C$21:$C$30="")+($C$21:$C$30&lt;&gt;"")*($C$21:$C$30&gt;=I93))*($E$21:$E$30="Monthly")*$D$21:$D$30)+SUMPRODUCT(($B$21:$B$30&lt;&gt;"")*($B$21:$B$30&lt;=I93)*(($C$21:$C$30="")+($C$21:$C$30&lt;&gt;"")*($C$21:$C$30&gt;=I93))*($E$21:$E$30="Annual")*(MONTH($B$21:$B$30)=MONTH(I93))*$D$21:$D$30)+SUMPRODUCT(($B$34:$B$48&lt;&gt;"")*(YEAR($B$34:$B$48)=YEAR(I93))*(MONTH($B$34:$B$48)=MONTH(I93))*$C$34:$C$48)),"")</f>
        <v/>
      </c>
      <c r="M93" s="9">
        <f>IF(H93&lt;&gt;"",ROUND(M92-L93,2),"")</f>
        <v/>
      </c>
      <c r="N93" s="10">
        <f>IF(H93&lt;&gt;"",N92+L93,"")</f>
        <v/>
      </c>
      <c r="O93" s="10">
        <f>IF(H93&lt;&gt;"",O92+K93,"")</f>
        <v/>
      </c>
    </row>
    <row r="94">
      <c r="H94" s="12">
        <f>IF(AND(M93&gt;0.005,H93&lt;&gt;""),92,"")</f>
        <v/>
      </c>
      <c r="I94" s="13">
        <f>IF(H94&lt;&gt;"",EDATE(StartDate,91),"")</f>
        <v/>
      </c>
      <c r="J94" s="14">
        <f>IF(H94&lt;&gt;"",MIN(MonthlyPmt,M93+K94),"")</f>
        <v/>
      </c>
      <c r="K94" s="14">
        <f>IF(H94&lt;&gt;"",ROUND(M93*AnnualRate/12,2),"")</f>
        <v/>
      </c>
      <c r="L94" s="14">
        <f>IF(H94&lt;&gt;"",MIN(M93,(J94-K94)+SUMPRODUCT(($B$21:$B$30&lt;&gt;"")*($B$21:$B$30&lt;=I94)*(($C$21:$C$30="")+($C$21:$C$30&lt;&gt;"")*($C$21:$C$30&gt;=I94))*($E$21:$E$30="Monthly")*$D$21:$D$30)+SUMPRODUCT(($B$21:$B$30&lt;&gt;"")*($B$21:$B$30&lt;=I94)*(($C$21:$C$30="")+($C$21:$C$30&lt;&gt;"")*($C$21:$C$30&gt;=I94))*($E$21:$E$30="Annual")*(MONTH($B$21:$B$30)=MONTH(I94))*$D$21:$D$30)+SUMPRODUCT(($B$34:$B$48&lt;&gt;"")*(YEAR($B$34:$B$48)=YEAR(I94))*(MONTH($B$34:$B$48)=MONTH(I94))*$C$34:$C$48)),"")</f>
        <v/>
      </c>
      <c r="M94" s="14">
        <f>IF(H94&lt;&gt;"",ROUND(M93-L94,2),"")</f>
        <v/>
      </c>
      <c r="N94" s="10">
        <f>IF(H94&lt;&gt;"",N93+L94,"")</f>
        <v/>
      </c>
      <c r="O94" s="10">
        <f>IF(H94&lt;&gt;"",O93+K94,"")</f>
        <v/>
      </c>
    </row>
    <row r="95">
      <c r="H95" s="7">
        <f>IF(AND(M94&gt;0.005,H94&lt;&gt;""),93,"")</f>
        <v/>
      </c>
      <c r="I95" s="8">
        <f>IF(H95&lt;&gt;"",EDATE(StartDate,92),"")</f>
        <v/>
      </c>
      <c r="J95" s="9">
        <f>IF(H95&lt;&gt;"",MIN(MonthlyPmt,M94+K95),"")</f>
        <v/>
      </c>
      <c r="K95" s="9">
        <f>IF(H95&lt;&gt;"",ROUND(M94*AnnualRate/12,2),"")</f>
        <v/>
      </c>
      <c r="L95" s="9">
        <f>IF(H95&lt;&gt;"",MIN(M94,(J95-K95)+SUMPRODUCT(($B$21:$B$30&lt;&gt;"")*($B$21:$B$30&lt;=I95)*(($C$21:$C$30="")+($C$21:$C$30&lt;&gt;"")*($C$21:$C$30&gt;=I95))*($E$21:$E$30="Monthly")*$D$21:$D$30)+SUMPRODUCT(($B$21:$B$30&lt;&gt;"")*($B$21:$B$30&lt;=I95)*(($C$21:$C$30="")+($C$21:$C$30&lt;&gt;"")*($C$21:$C$30&gt;=I95))*($E$21:$E$30="Annual")*(MONTH($B$21:$B$30)=MONTH(I95))*$D$21:$D$30)+SUMPRODUCT(($B$34:$B$48&lt;&gt;"")*(YEAR($B$34:$B$48)=YEAR(I95))*(MONTH($B$34:$B$48)=MONTH(I95))*$C$34:$C$48)),"")</f>
        <v/>
      </c>
      <c r="M95" s="9">
        <f>IF(H95&lt;&gt;"",ROUND(M94-L95,2),"")</f>
        <v/>
      </c>
      <c r="N95" s="10">
        <f>IF(H95&lt;&gt;"",N94+L95,"")</f>
        <v/>
      </c>
      <c r="O95" s="10">
        <f>IF(H95&lt;&gt;"",O94+K95,"")</f>
        <v/>
      </c>
    </row>
    <row r="96">
      <c r="H96" s="12">
        <f>IF(AND(M95&gt;0.005,H95&lt;&gt;""),94,"")</f>
        <v/>
      </c>
      <c r="I96" s="13">
        <f>IF(H96&lt;&gt;"",EDATE(StartDate,93),"")</f>
        <v/>
      </c>
      <c r="J96" s="14">
        <f>IF(H96&lt;&gt;"",MIN(MonthlyPmt,M95+K96),"")</f>
        <v/>
      </c>
      <c r="K96" s="14">
        <f>IF(H96&lt;&gt;"",ROUND(M95*AnnualRate/12,2),"")</f>
        <v/>
      </c>
      <c r="L96" s="14">
        <f>IF(H96&lt;&gt;"",MIN(M95,(J96-K96)+SUMPRODUCT(($B$21:$B$30&lt;&gt;"")*($B$21:$B$30&lt;=I96)*(($C$21:$C$30="")+($C$21:$C$30&lt;&gt;"")*($C$21:$C$30&gt;=I96))*($E$21:$E$30="Monthly")*$D$21:$D$30)+SUMPRODUCT(($B$21:$B$30&lt;&gt;"")*($B$21:$B$30&lt;=I96)*(($C$21:$C$30="")+($C$21:$C$30&lt;&gt;"")*($C$21:$C$30&gt;=I96))*($E$21:$E$30="Annual")*(MONTH($B$21:$B$30)=MONTH(I96))*$D$21:$D$30)+SUMPRODUCT(($B$34:$B$48&lt;&gt;"")*(YEAR($B$34:$B$48)=YEAR(I96))*(MONTH($B$34:$B$48)=MONTH(I96))*$C$34:$C$48)),"")</f>
        <v/>
      </c>
      <c r="M96" s="14">
        <f>IF(H96&lt;&gt;"",ROUND(M95-L96,2),"")</f>
        <v/>
      </c>
      <c r="N96" s="10">
        <f>IF(H96&lt;&gt;"",N95+L96,"")</f>
        <v/>
      </c>
      <c r="O96" s="10">
        <f>IF(H96&lt;&gt;"",O95+K96,"")</f>
        <v/>
      </c>
    </row>
    <row r="97">
      <c r="H97" s="7">
        <f>IF(AND(M96&gt;0.005,H96&lt;&gt;""),95,"")</f>
        <v/>
      </c>
      <c r="I97" s="8">
        <f>IF(H97&lt;&gt;"",EDATE(StartDate,94),"")</f>
        <v/>
      </c>
      <c r="J97" s="9">
        <f>IF(H97&lt;&gt;"",MIN(MonthlyPmt,M96+K97),"")</f>
        <v/>
      </c>
      <c r="K97" s="9">
        <f>IF(H97&lt;&gt;"",ROUND(M96*AnnualRate/12,2),"")</f>
        <v/>
      </c>
      <c r="L97" s="9">
        <f>IF(H97&lt;&gt;"",MIN(M96,(J97-K97)+SUMPRODUCT(($B$21:$B$30&lt;&gt;"")*($B$21:$B$30&lt;=I97)*(($C$21:$C$30="")+($C$21:$C$30&lt;&gt;"")*($C$21:$C$30&gt;=I97))*($E$21:$E$30="Monthly")*$D$21:$D$30)+SUMPRODUCT(($B$21:$B$30&lt;&gt;"")*($B$21:$B$30&lt;=I97)*(($C$21:$C$30="")+($C$21:$C$30&lt;&gt;"")*($C$21:$C$30&gt;=I97))*($E$21:$E$30="Annual")*(MONTH($B$21:$B$30)=MONTH(I97))*$D$21:$D$30)+SUMPRODUCT(($B$34:$B$48&lt;&gt;"")*(YEAR($B$34:$B$48)=YEAR(I97))*(MONTH($B$34:$B$48)=MONTH(I97))*$C$34:$C$48)),"")</f>
        <v/>
      </c>
      <c r="M97" s="9">
        <f>IF(H97&lt;&gt;"",ROUND(M96-L97,2),"")</f>
        <v/>
      </c>
      <c r="N97" s="10">
        <f>IF(H97&lt;&gt;"",N96+L97,"")</f>
        <v/>
      </c>
      <c r="O97" s="10">
        <f>IF(H97&lt;&gt;"",O96+K97,"")</f>
        <v/>
      </c>
    </row>
    <row r="98">
      <c r="H98" s="12">
        <f>IF(AND(M97&gt;0.005,H97&lt;&gt;""),96,"")</f>
        <v/>
      </c>
      <c r="I98" s="13">
        <f>IF(H98&lt;&gt;"",EDATE(StartDate,95),"")</f>
        <v/>
      </c>
      <c r="J98" s="14">
        <f>IF(H98&lt;&gt;"",MIN(MonthlyPmt,M97+K98),"")</f>
        <v/>
      </c>
      <c r="K98" s="14">
        <f>IF(H98&lt;&gt;"",ROUND(M97*AnnualRate/12,2),"")</f>
        <v/>
      </c>
      <c r="L98" s="14">
        <f>IF(H98&lt;&gt;"",MIN(M97,(J98-K98)+SUMPRODUCT(($B$21:$B$30&lt;&gt;"")*($B$21:$B$30&lt;=I98)*(($C$21:$C$30="")+($C$21:$C$30&lt;&gt;"")*($C$21:$C$30&gt;=I98))*($E$21:$E$30="Monthly")*$D$21:$D$30)+SUMPRODUCT(($B$21:$B$30&lt;&gt;"")*($B$21:$B$30&lt;=I98)*(($C$21:$C$30="")+($C$21:$C$30&lt;&gt;"")*($C$21:$C$30&gt;=I98))*($E$21:$E$30="Annual")*(MONTH($B$21:$B$30)=MONTH(I98))*$D$21:$D$30)+SUMPRODUCT(($B$34:$B$48&lt;&gt;"")*(YEAR($B$34:$B$48)=YEAR(I98))*(MONTH($B$34:$B$48)=MONTH(I98))*$C$34:$C$48)),"")</f>
        <v/>
      </c>
      <c r="M98" s="14">
        <f>IF(H98&lt;&gt;"",ROUND(M97-L98,2),"")</f>
        <v/>
      </c>
      <c r="N98" s="10">
        <f>IF(H98&lt;&gt;"",N97+L98,"")</f>
        <v/>
      </c>
      <c r="O98" s="10">
        <f>IF(H98&lt;&gt;"",O97+K98,"")</f>
        <v/>
      </c>
    </row>
    <row r="99">
      <c r="H99" s="7">
        <f>IF(AND(M98&gt;0.005,H98&lt;&gt;""),97,"")</f>
        <v/>
      </c>
      <c r="I99" s="8">
        <f>IF(H99&lt;&gt;"",EDATE(StartDate,96),"")</f>
        <v/>
      </c>
      <c r="J99" s="9">
        <f>IF(H99&lt;&gt;"",MIN(MonthlyPmt,M98+K99),"")</f>
        <v/>
      </c>
      <c r="K99" s="9">
        <f>IF(H99&lt;&gt;"",ROUND(M98*AnnualRate/12,2),"")</f>
        <v/>
      </c>
      <c r="L99" s="9">
        <f>IF(H99&lt;&gt;"",MIN(M98,(J99-K99)+SUMPRODUCT(($B$21:$B$30&lt;&gt;"")*($B$21:$B$30&lt;=I99)*(($C$21:$C$30="")+($C$21:$C$30&lt;&gt;"")*($C$21:$C$30&gt;=I99))*($E$21:$E$30="Monthly")*$D$21:$D$30)+SUMPRODUCT(($B$21:$B$30&lt;&gt;"")*($B$21:$B$30&lt;=I99)*(($C$21:$C$30="")+($C$21:$C$30&lt;&gt;"")*($C$21:$C$30&gt;=I99))*($E$21:$E$30="Annual")*(MONTH($B$21:$B$30)=MONTH(I99))*$D$21:$D$30)+SUMPRODUCT(($B$34:$B$48&lt;&gt;"")*(YEAR($B$34:$B$48)=YEAR(I99))*(MONTH($B$34:$B$48)=MONTH(I99))*$C$34:$C$48)),"")</f>
        <v/>
      </c>
      <c r="M99" s="9">
        <f>IF(H99&lt;&gt;"",ROUND(M98-L99,2),"")</f>
        <v/>
      </c>
      <c r="N99" s="10">
        <f>IF(H99&lt;&gt;"",N98+L99,"")</f>
        <v/>
      </c>
      <c r="O99" s="10">
        <f>IF(H99&lt;&gt;"",O98+K99,"")</f>
        <v/>
      </c>
    </row>
    <row r="100">
      <c r="H100" s="12">
        <f>IF(AND(M99&gt;0.005,H99&lt;&gt;""),98,"")</f>
        <v/>
      </c>
      <c r="I100" s="13">
        <f>IF(H100&lt;&gt;"",EDATE(StartDate,97),"")</f>
        <v/>
      </c>
      <c r="J100" s="14">
        <f>IF(H100&lt;&gt;"",MIN(MonthlyPmt,M99+K100),"")</f>
        <v/>
      </c>
      <c r="K100" s="14">
        <f>IF(H100&lt;&gt;"",ROUND(M99*AnnualRate/12,2),"")</f>
        <v/>
      </c>
      <c r="L100" s="14">
        <f>IF(H100&lt;&gt;"",MIN(M99,(J100-K100)+SUMPRODUCT(($B$21:$B$30&lt;&gt;"")*($B$21:$B$30&lt;=I100)*(($C$21:$C$30="")+($C$21:$C$30&lt;&gt;"")*($C$21:$C$30&gt;=I100))*($E$21:$E$30="Monthly")*$D$21:$D$30)+SUMPRODUCT(($B$21:$B$30&lt;&gt;"")*($B$21:$B$30&lt;=I100)*(($C$21:$C$30="")+($C$21:$C$30&lt;&gt;"")*($C$21:$C$30&gt;=I100))*($E$21:$E$30="Annual")*(MONTH($B$21:$B$30)=MONTH(I100))*$D$21:$D$30)+SUMPRODUCT(($B$34:$B$48&lt;&gt;"")*(YEAR($B$34:$B$48)=YEAR(I100))*(MONTH($B$34:$B$48)=MONTH(I100))*$C$34:$C$48)),"")</f>
        <v/>
      </c>
      <c r="M100" s="14">
        <f>IF(H100&lt;&gt;"",ROUND(M99-L100,2),"")</f>
        <v/>
      </c>
      <c r="N100" s="10">
        <f>IF(H100&lt;&gt;"",N99+L100,"")</f>
        <v/>
      </c>
      <c r="O100" s="10">
        <f>IF(H100&lt;&gt;"",O99+K100,"")</f>
        <v/>
      </c>
    </row>
    <row r="101">
      <c r="H101" s="7">
        <f>IF(AND(M100&gt;0.005,H100&lt;&gt;""),99,"")</f>
        <v/>
      </c>
      <c r="I101" s="8">
        <f>IF(H101&lt;&gt;"",EDATE(StartDate,98),"")</f>
        <v/>
      </c>
      <c r="J101" s="9">
        <f>IF(H101&lt;&gt;"",MIN(MonthlyPmt,M100+K101),"")</f>
        <v/>
      </c>
      <c r="K101" s="9">
        <f>IF(H101&lt;&gt;"",ROUND(M100*AnnualRate/12,2),"")</f>
        <v/>
      </c>
      <c r="L101" s="9">
        <f>IF(H101&lt;&gt;"",MIN(M100,(J101-K101)+SUMPRODUCT(($B$21:$B$30&lt;&gt;"")*($B$21:$B$30&lt;=I101)*(($C$21:$C$30="")+($C$21:$C$30&lt;&gt;"")*($C$21:$C$30&gt;=I101))*($E$21:$E$30="Monthly")*$D$21:$D$30)+SUMPRODUCT(($B$21:$B$30&lt;&gt;"")*($B$21:$B$30&lt;=I101)*(($C$21:$C$30="")+($C$21:$C$30&lt;&gt;"")*($C$21:$C$30&gt;=I101))*($E$21:$E$30="Annual")*(MONTH($B$21:$B$30)=MONTH(I101))*$D$21:$D$30)+SUMPRODUCT(($B$34:$B$48&lt;&gt;"")*(YEAR($B$34:$B$48)=YEAR(I101))*(MONTH($B$34:$B$48)=MONTH(I101))*$C$34:$C$48)),"")</f>
        <v/>
      </c>
      <c r="M101" s="9">
        <f>IF(H101&lt;&gt;"",ROUND(M100-L101,2),"")</f>
        <v/>
      </c>
      <c r="N101" s="10">
        <f>IF(H101&lt;&gt;"",N100+L101,"")</f>
        <v/>
      </c>
      <c r="O101" s="10">
        <f>IF(H101&lt;&gt;"",O100+K101,"")</f>
        <v/>
      </c>
    </row>
    <row r="102">
      <c r="H102" s="12">
        <f>IF(AND(M101&gt;0.005,H101&lt;&gt;""),100,"")</f>
        <v/>
      </c>
      <c r="I102" s="13">
        <f>IF(H102&lt;&gt;"",EDATE(StartDate,99),"")</f>
        <v/>
      </c>
      <c r="J102" s="14">
        <f>IF(H102&lt;&gt;"",MIN(MonthlyPmt,M101+K102),"")</f>
        <v/>
      </c>
      <c r="K102" s="14">
        <f>IF(H102&lt;&gt;"",ROUND(M101*AnnualRate/12,2),"")</f>
        <v/>
      </c>
      <c r="L102" s="14">
        <f>IF(H102&lt;&gt;"",MIN(M101,(J102-K102)+SUMPRODUCT(($B$21:$B$30&lt;&gt;"")*($B$21:$B$30&lt;=I102)*(($C$21:$C$30="")+($C$21:$C$30&lt;&gt;"")*($C$21:$C$30&gt;=I102))*($E$21:$E$30="Monthly")*$D$21:$D$30)+SUMPRODUCT(($B$21:$B$30&lt;&gt;"")*($B$21:$B$30&lt;=I102)*(($C$21:$C$30="")+($C$21:$C$30&lt;&gt;"")*($C$21:$C$30&gt;=I102))*($E$21:$E$30="Annual")*(MONTH($B$21:$B$30)=MONTH(I102))*$D$21:$D$30)+SUMPRODUCT(($B$34:$B$48&lt;&gt;"")*(YEAR($B$34:$B$48)=YEAR(I102))*(MONTH($B$34:$B$48)=MONTH(I102))*$C$34:$C$48)),"")</f>
        <v/>
      </c>
      <c r="M102" s="14">
        <f>IF(H102&lt;&gt;"",ROUND(M101-L102,2),"")</f>
        <v/>
      </c>
      <c r="N102" s="10">
        <f>IF(H102&lt;&gt;"",N101+L102,"")</f>
        <v/>
      </c>
      <c r="O102" s="10">
        <f>IF(H102&lt;&gt;"",O101+K102,"")</f>
        <v/>
      </c>
    </row>
    <row r="103">
      <c r="H103" s="7">
        <f>IF(AND(M102&gt;0.005,H102&lt;&gt;""),101,"")</f>
        <v/>
      </c>
      <c r="I103" s="8">
        <f>IF(H103&lt;&gt;"",EDATE(StartDate,100),"")</f>
        <v/>
      </c>
      <c r="J103" s="9">
        <f>IF(H103&lt;&gt;"",MIN(MonthlyPmt,M102+K103),"")</f>
        <v/>
      </c>
      <c r="K103" s="9">
        <f>IF(H103&lt;&gt;"",ROUND(M102*AnnualRate/12,2),"")</f>
        <v/>
      </c>
      <c r="L103" s="9">
        <f>IF(H103&lt;&gt;"",MIN(M102,(J103-K103)+SUMPRODUCT(($B$21:$B$30&lt;&gt;"")*($B$21:$B$30&lt;=I103)*(($C$21:$C$30="")+($C$21:$C$30&lt;&gt;"")*($C$21:$C$30&gt;=I103))*($E$21:$E$30="Monthly")*$D$21:$D$30)+SUMPRODUCT(($B$21:$B$30&lt;&gt;"")*($B$21:$B$30&lt;=I103)*(($C$21:$C$30="")+($C$21:$C$30&lt;&gt;"")*($C$21:$C$30&gt;=I103))*($E$21:$E$30="Annual")*(MONTH($B$21:$B$30)=MONTH(I103))*$D$21:$D$30)+SUMPRODUCT(($B$34:$B$48&lt;&gt;"")*(YEAR($B$34:$B$48)=YEAR(I103))*(MONTH($B$34:$B$48)=MONTH(I103))*$C$34:$C$48)),"")</f>
        <v/>
      </c>
      <c r="M103" s="9">
        <f>IF(H103&lt;&gt;"",ROUND(M102-L103,2),"")</f>
        <v/>
      </c>
      <c r="N103" s="10">
        <f>IF(H103&lt;&gt;"",N102+L103,"")</f>
        <v/>
      </c>
      <c r="O103" s="10">
        <f>IF(H103&lt;&gt;"",O102+K103,"")</f>
        <v/>
      </c>
    </row>
    <row r="104">
      <c r="H104" s="12">
        <f>IF(AND(M103&gt;0.005,H103&lt;&gt;""),102,"")</f>
        <v/>
      </c>
      <c r="I104" s="13">
        <f>IF(H104&lt;&gt;"",EDATE(StartDate,101),"")</f>
        <v/>
      </c>
      <c r="J104" s="14">
        <f>IF(H104&lt;&gt;"",MIN(MonthlyPmt,M103+K104),"")</f>
        <v/>
      </c>
      <c r="K104" s="14">
        <f>IF(H104&lt;&gt;"",ROUND(M103*AnnualRate/12,2),"")</f>
        <v/>
      </c>
      <c r="L104" s="14">
        <f>IF(H104&lt;&gt;"",MIN(M103,(J104-K104)+SUMPRODUCT(($B$21:$B$30&lt;&gt;"")*($B$21:$B$30&lt;=I104)*(($C$21:$C$30="")+($C$21:$C$30&lt;&gt;"")*($C$21:$C$30&gt;=I104))*($E$21:$E$30="Monthly")*$D$21:$D$30)+SUMPRODUCT(($B$21:$B$30&lt;&gt;"")*($B$21:$B$30&lt;=I104)*(($C$21:$C$30="")+($C$21:$C$30&lt;&gt;"")*($C$21:$C$30&gt;=I104))*($E$21:$E$30="Annual")*(MONTH($B$21:$B$30)=MONTH(I104))*$D$21:$D$30)+SUMPRODUCT(($B$34:$B$48&lt;&gt;"")*(YEAR($B$34:$B$48)=YEAR(I104))*(MONTH($B$34:$B$48)=MONTH(I104))*$C$34:$C$48)),"")</f>
        <v/>
      </c>
      <c r="M104" s="14">
        <f>IF(H104&lt;&gt;"",ROUND(M103-L104,2),"")</f>
        <v/>
      </c>
      <c r="N104" s="10">
        <f>IF(H104&lt;&gt;"",N103+L104,"")</f>
        <v/>
      </c>
      <c r="O104" s="10">
        <f>IF(H104&lt;&gt;"",O103+K104,"")</f>
        <v/>
      </c>
    </row>
    <row r="105">
      <c r="H105" s="7">
        <f>IF(AND(M104&gt;0.005,H104&lt;&gt;""),103,"")</f>
        <v/>
      </c>
      <c r="I105" s="8">
        <f>IF(H105&lt;&gt;"",EDATE(StartDate,102),"")</f>
        <v/>
      </c>
      <c r="J105" s="9">
        <f>IF(H105&lt;&gt;"",MIN(MonthlyPmt,M104+K105),"")</f>
        <v/>
      </c>
      <c r="K105" s="9">
        <f>IF(H105&lt;&gt;"",ROUND(M104*AnnualRate/12,2),"")</f>
        <v/>
      </c>
      <c r="L105" s="9">
        <f>IF(H105&lt;&gt;"",MIN(M104,(J105-K105)+SUMPRODUCT(($B$21:$B$30&lt;&gt;"")*($B$21:$B$30&lt;=I105)*(($C$21:$C$30="")+($C$21:$C$30&lt;&gt;"")*($C$21:$C$30&gt;=I105))*($E$21:$E$30="Monthly")*$D$21:$D$30)+SUMPRODUCT(($B$21:$B$30&lt;&gt;"")*($B$21:$B$30&lt;=I105)*(($C$21:$C$30="")+($C$21:$C$30&lt;&gt;"")*($C$21:$C$30&gt;=I105))*($E$21:$E$30="Annual")*(MONTH($B$21:$B$30)=MONTH(I105))*$D$21:$D$30)+SUMPRODUCT(($B$34:$B$48&lt;&gt;"")*(YEAR($B$34:$B$48)=YEAR(I105))*(MONTH($B$34:$B$48)=MONTH(I105))*$C$34:$C$48)),"")</f>
        <v/>
      </c>
      <c r="M105" s="9">
        <f>IF(H105&lt;&gt;"",ROUND(M104-L105,2),"")</f>
        <v/>
      </c>
      <c r="N105" s="10">
        <f>IF(H105&lt;&gt;"",N104+L105,"")</f>
        <v/>
      </c>
      <c r="O105" s="10">
        <f>IF(H105&lt;&gt;"",O104+K105,"")</f>
        <v/>
      </c>
    </row>
    <row r="106">
      <c r="H106" s="12">
        <f>IF(AND(M105&gt;0.005,H105&lt;&gt;""),104,"")</f>
        <v/>
      </c>
      <c r="I106" s="13">
        <f>IF(H106&lt;&gt;"",EDATE(StartDate,103),"")</f>
        <v/>
      </c>
      <c r="J106" s="14">
        <f>IF(H106&lt;&gt;"",MIN(MonthlyPmt,M105+K106),"")</f>
        <v/>
      </c>
      <c r="K106" s="14">
        <f>IF(H106&lt;&gt;"",ROUND(M105*AnnualRate/12,2),"")</f>
        <v/>
      </c>
      <c r="L106" s="14">
        <f>IF(H106&lt;&gt;"",MIN(M105,(J106-K106)+SUMPRODUCT(($B$21:$B$30&lt;&gt;"")*($B$21:$B$30&lt;=I106)*(($C$21:$C$30="")+($C$21:$C$30&lt;&gt;"")*($C$21:$C$30&gt;=I106))*($E$21:$E$30="Monthly")*$D$21:$D$30)+SUMPRODUCT(($B$21:$B$30&lt;&gt;"")*($B$21:$B$30&lt;=I106)*(($C$21:$C$30="")+($C$21:$C$30&lt;&gt;"")*($C$21:$C$30&gt;=I106))*($E$21:$E$30="Annual")*(MONTH($B$21:$B$30)=MONTH(I106))*$D$21:$D$30)+SUMPRODUCT(($B$34:$B$48&lt;&gt;"")*(YEAR($B$34:$B$48)=YEAR(I106))*(MONTH($B$34:$B$48)=MONTH(I106))*$C$34:$C$48)),"")</f>
        <v/>
      </c>
      <c r="M106" s="14">
        <f>IF(H106&lt;&gt;"",ROUND(M105-L106,2),"")</f>
        <v/>
      </c>
      <c r="N106" s="10">
        <f>IF(H106&lt;&gt;"",N105+L106,"")</f>
        <v/>
      </c>
      <c r="O106" s="10">
        <f>IF(H106&lt;&gt;"",O105+K106,"")</f>
        <v/>
      </c>
    </row>
    <row r="107">
      <c r="H107" s="7">
        <f>IF(AND(M106&gt;0.005,H106&lt;&gt;""),105,"")</f>
        <v/>
      </c>
      <c r="I107" s="8">
        <f>IF(H107&lt;&gt;"",EDATE(StartDate,104),"")</f>
        <v/>
      </c>
      <c r="J107" s="9">
        <f>IF(H107&lt;&gt;"",MIN(MonthlyPmt,M106+K107),"")</f>
        <v/>
      </c>
      <c r="K107" s="9">
        <f>IF(H107&lt;&gt;"",ROUND(M106*AnnualRate/12,2),"")</f>
        <v/>
      </c>
      <c r="L107" s="9">
        <f>IF(H107&lt;&gt;"",MIN(M106,(J107-K107)+SUMPRODUCT(($B$21:$B$30&lt;&gt;"")*($B$21:$B$30&lt;=I107)*(($C$21:$C$30="")+($C$21:$C$30&lt;&gt;"")*($C$21:$C$30&gt;=I107))*($E$21:$E$30="Monthly")*$D$21:$D$30)+SUMPRODUCT(($B$21:$B$30&lt;&gt;"")*($B$21:$B$30&lt;=I107)*(($C$21:$C$30="")+($C$21:$C$30&lt;&gt;"")*($C$21:$C$30&gt;=I107))*($E$21:$E$30="Annual")*(MONTH($B$21:$B$30)=MONTH(I107))*$D$21:$D$30)+SUMPRODUCT(($B$34:$B$48&lt;&gt;"")*(YEAR($B$34:$B$48)=YEAR(I107))*(MONTH($B$34:$B$48)=MONTH(I107))*$C$34:$C$48)),"")</f>
        <v/>
      </c>
      <c r="M107" s="9">
        <f>IF(H107&lt;&gt;"",ROUND(M106-L107,2),"")</f>
        <v/>
      </c>
      <c r="N107" s="10">
        <f>IF(H107&lt;&gt;"",N106+L107,"")</f>
        <v/>
      </c>
      <c r="O107" s="10">
        <f>IF(H107&lt;&gt;"",O106+K107,"")</f>
        <v/>
      </c>
    </row>
    <row r="108">
      <c r="H108" s="12">
        <f>IF(AND(M107&gt;0.005,H107&lt;&gt;""),106,"")</f>
        <v/>
      </c>
      <c r="I108" s="13">
        <f>IF(H108&lt;&gt;"",EDATE(StartDate,105),"")</f>
        <v/>
      </c>
      <c r="J108" s="14">
        <f>IF(H108&lt;&gt;"",MIN(MonthlyPmt,M107+K108),"")</f>
        <v/>
      </c>
      <c r="K108" s="14">
        <f>IF(H108&lt;&gt;"",ROUND(M107*AnnualRate/12,2),"")</f>
        <v/>
      </c>
      <c r="L108" s="14">
        <f>IF(H108&lt;&gt;"",MIN(M107,(J108-K108)+SUMPRODUCT(($B$21:$B$30&lt;&gt;"")*($B$21:$B$30&lt;=I108)*(($C$21:$C$30="")+($C$21:$C$30&lt;&gt;"")*($C$21:$C$30&gt;=I108))*($E$21:$E$30="Monthly")*$D$21:$D$30)+SUMPRODUCT(($B$21:$B$30&lt;&gt;"")*($B$21:$B$30&lt;=I108)*(($C$21:$C$30="")+($C$21:$C$30&lt;&gt;"")*($C$21:$C$30&gt;=I108))*($E$21:$E$30="Annual")*(MONTH($B$21:$B$30)=MONTH(I108))*$D$21:$D$30)+SUMPRODUCT(($B$34:$B$48&lt;&gt;"")*(YEAR($B$34:$B$48)=YEAR(I108))*(MONTH($B$34:$B$48)=MONTH(I108))*$C$34:$C$48)),"")</f>
        <v/>
      </c>
      <c r="M108" s="14">
        <f>IF(H108&lt;&gt;"",ROUND(M107-L108,2),"")</f>
        <v/>
      </c>
      <c r="N108" s="10">
        <f>IF(H108&lt;&gt;"",N107+L108,"")</f>
        <v/>
      </c>
      <c r="O108" s="10">
        <f>IF(H108&lt;&gt;"",O107+K108,"")</f>
        <v/>
      </c>
    </row>
    <row r="109">
      <c r="H109" s="7">
        <f>IF(AND(M108&gt;0.005,H108&lt;&gt;""),107,"")</f>
        <v/>
      </c>
      <c r="I109" s="8">
        <f>IF(H109&lt;&gt;"",EDATE(StartDate,106),"")</f>
        <v/>
      </c>
      <c r="J109" s="9">
        <f>IF(H109&lt;&gt;"",MIN(MonthlyPmt,M108+K109),"")</f>
        <v/>
      </c>
      <c r="K109" s="9">
        <f>IF(H109&lt;&gt;"",ROUND(M108*AnnualRate/12,2),"")</f>
        <v/>
      </c>
      <c r="L109" s="9">
        <f>IF(H109&lt;&gt;"",MIN(M108,(J109-K109)+SUMPRODUCT(($B$21:$B$30&lt;&gt;"")*($B$21:$B$30&lt;=I109)*(($C$21:$C$30="")+($C$21:$C$30&lt;&gt;"")*($C$21:$C$30&gt;=I109))*($E$21:$E$30="Monthly")*$D$21:$D$30)+SUMPRODUCT(($B$21:$B$30&lt;&gt;"")*($B$21:$B$30&lt;=I109)*(($C$21:$C$30="")+($C$21:$C$30&lt;&gt;"")*($C$21:$C$30&gt;=I109))*($E$21:$E$30="Annual")*(MONTH($B$21:$B$30)=MONTH(I109))*$D$21:$D$30)+SUMPRODUCT(($B$34:$B$48&lt;&gt;"")*(YEAR($B$34:$B$48)=YEAR(I109))*(MONTH($B$34:$B$48)=MONTH(I109))*$C$34:$C$48)),"")</f>
        <v/>
      </c>
      <c r="M109" s="9">
        <f>IF(H109&lt;&gt;"",ROUND(M108-L109,2),"")</f>
        <v/>
      </c>
      <c r="N109" s="10">
        <f>IF(H109&lt;&gt;"",N108+L109,"")</f>
        <v/>
      </c>
      <c r="O109" s="10">
        <f>IF(H109&lt;&gt;"",O108+K109,"")</f>
        <v/>
      </c>
    </row>
    <row r="110">
      <c r="H110" s="12">
        <f>IF(AND(M109&gt;0.005,H109&lt;&gt;""),108,"")</f>
        <v/>
      </c>
      <c r="I110" s="13">
        <f>IF(H110&lt;&gt;"",EDATE(StartDate,107),"")</f>
        <v/>
      </c>
      <c r="J110" s="14">
        <f>IF(H110&lt;&gt;"",MIN(MonthlyPmt,M109+K110),"")</f>
        <v/>
      </c>
      <c r="K110" s="14">
        <f>IF(H110&lt;&gt;"",ROUND(M109*AnnualRate/12,2),"")</f>
        <v/>
      </c>
      <c r="L110" s="14">
        <f>IF(H110&lt;&gt;"",MIN(M109,(J110-K110)+SUMPRODUCT(($B$21:$B$30&lt;&gt;"")*($B$21:$B$30&lt;=I110)*(($C$21:$C$30="")+($C$21:$C$30&lt;&gt;"")*($C$21:$C$30&gt;=I110))*($E$21:$E$30="Monthly")*$D$21:$D$30)+SUMPRODUCT(($B$21:$B$30&lt;&gt;"")*($B$21:$B$30&lt;=I110)*(($C$21:$C$30="")+($C$21:$C$30&lt;&gt;"")*($C$21:$C$30&gt;=I110))*($E$21:$E$30="Annual")*(MONTH($B$21:$B$30)=MONTH(I110))*$D$21:$D$30)+SUMPRODUCT(($B$34:$B$48&lt;&gt;"")*(YEAR($B$34:$B$48)=YEAR(I110))*(MONTH($B$34:$B$48)=MONTH(I110))*$C$34:$C$48)),"")</f>
        <v/>
      </c>
      <c r="M110" s="14">
        <f>IF(H110&lt;&gt;"",ROUND(M109-L110,2),"")</f>
        <v/>
      </c>
      <c r="N110" s="10">
        <f>IF(H110&lt;&gt;"",N109+L110,"")</f>
        <v/>
      </c>
      <c r="O110" s="10">
        <f>IF(H110&lt;&gt;"",O109+K110,"")</f>
        <v/>
      </c>
    </row>
    <row r="111">
      <c r="H111" s="7">
        <f>IF(AND(M110&gt;0.005,H110&lt;&gt;""),109,"")</f>
        <v/>
      </c>
      <c r="I111" s="8">
        <f>IF(H111&lt;&gt;"",EDATE(StartDate,108),"")</f>
        <v/>
      </c>
      <c r="J111" s="9">
        <f>IF(H111&lt;&gt;"",MIN(MonthlyPmt,M110+K111),"")</f>
        <v/>
      </c>
      <c r="K111" s="9">
        <f>IF(H111&lt;&gt;"",ROUND(M110*AnnualRate/12,2),"")</f>
        <v/>
      </c>
      <c r="L111" s="9">
        <f>IF(H111&lt;&gt;"",MIN(M110,(J111-K111)+SUMPRODUCT(($B$21:$B$30&lt;&gt;"")*($B$21:$B$30&lt;=I111)*(($C$21:$C$30="")+($C$21:$C$30&lt;&gt;"")*($C$21:$C$30&gt;=I111))*($E$21:$E$30="Monthly")*$D$21:$D$30)+SUMPRODUCT(($B$21:$B$30&lt;&gt;"")*($B$21:$B$30&lt;=I111)*(($C$21:$C$30="")+($C$21:$C$30&lt;&gt;"")*($C$21:$C$30&gt;=I111))*($E$21:$E$30="Annual")*(MONTH($B$21:$B$30)=MONTH(I111))*$D$21:$D$30)+SUMPRODUCT(($B$34:$B$48&lt;&gt;"")*(YEAR($B$34:$B$48)=YEAR(I111))*(MONTH($B$34:$B$48)=MONTH(I111))*$C$34:$C$48)),"")</f>
        <v/>
      </c>
      <c r="M111" s="9">
        <f>IF(H111&lt;&gt;"",ROUND(M110-L111,2),"")</f>
        <v/>
      </c>
      <c r="N111" s="10">
        <f>IF(H111&lt;&gt;"",N110+L111,"")</f>
        <v/>
      </c>
      <c r="O111" s="10">
        <f>IF(H111&lt;&gt;"",O110+K111,"")</f>
        <v/>
      </c>
    </row>
    <row r="112">
      <c r="H112" s="12">
        <f>IF(AND(M111&gt;0.005,H111&lt;&gt;""),110,"")</f>
        <v/>
      </c>
      <c r="I112" s="13">
        <f>IF(H112&lt;&gt;"",EDATE(StartDate,109),"")</f>
        <v/>
      </c>
      <c r="J112" s="14">
        <f>IF(H112&lt;&gt;"",MIN(MonthlyPmt,M111+K112),"")</f>
        <v/>
      </c>
      <c r="K112" s="14">
        <f>IF(H112&lt;&gt;"",ROUND(M111*AnnualRate/12,2),"")</f>
        <v/>
      </c>
      <c r="L112" s="14">
        <f>IF(H112&lt;&gt;"",MIN(M111,(J112-K112)+SUMPRODUCT(($B$21:$B$30&lt;&gt;"")*($B$21:$B$30&lt;=I112)*(($C$21:$C$30="")+($C$21:$C$30&lt;&gt;"")*($C$21:$C$30&gt;=I112))*($E$21:$E$30="Monthly")*$D$21:$D$30)+SUMPRODUCT(($B$21:$B$30&lt;&gt;"")*($B$21:$B$30&lt;=I112)*(($C$21:$C$30="")+($C$21:$C$30&lt;&gt;"")*($C$21:$C$30&gt;=I112))*($E$21:$E$30="Annual")*(MONTH($B$21:$B$30)=MONTH(I112))*$D$21:$D$30)+SUMPRODUCT(($B$34:$B$48&lt;&gt;"")*(YEAR($B$34:$B$48)=YEAR(I112))*(MONTH($B$34:$B$48)=MONTH(I112))*$C$34:$C$48)),"")</f>
        <v/>
      </c>
      <c r="M112" s="14">
        <f>IF(H112&lt;&gt;"",ROUND(M111-L112,2),"")</f>
        <v/>
      </c>
      <c r="N112" s="10">
        <f>IF(H112&lt;&gt;"",N111+L112,"")</f>
        <v/>
      </c>
      <c r="O112" s="10">
        <f>IF(H112&lt;&gt;"",O111+K112,"")</f>
        <v/>
      </c>
    </row>
    <row r="113">
      <c r="H113" s="7">
        <f>IF(AND(M112&gt;0.005,H112&lt;&gt;""),111,"")</f>
        <v/>
      </c>
      <c r="I113" s="8">
        <f>IF(H113&lt;&gt;"",EDATE(StartDate,110),"")</f>
        <v/>
      </c>
      <c r="J113" s="9">
        <f>IF(H113&lt;&gt;"",MIN(MonthlyPmt,M112+K113),"")</f>
        <v/>
      </c>
      <c r="K113" s="9">
        <f>IF(H113&lt;&gt;"",ROUND(M112*AnnualRate/12,2),"")</f>
        <v/>
      </c>
      <c r="L113" s="9">
        <f>IF(H113&lt;&gt;"",MIN(M112,(J113-K113)+SUMPRODUCT(($B$21:$B$30&lt;&gt;"")*($B$21:$B$30&lt;=I113)*(($C$21:$C$30="")+($C$21:$C$30&lt;&gt;"")*($C$21:$C$30&gt;=I113))*($E$21:$E$30="Monthly")*$D$21:$D$30)+SUMPRODUCT(($B$21:$B$30&lt;&gt;"")*($B$21:$B$30&lt;=I113)*(($C$21:$C$30="")+($C$21:$C$30&lt;&gt;"")*($C$21:$C$30&gt;=I113))*($E$21:$E$30="Annual")*(MONTH($B$21:$B$30)=MONTH(I113))*$D$21:$D$30)+SUMPRODUCT(($B$34:$B$48&lt;&gt;"")*(YEAR($B$34:$B$48)=YEAR(I113))*(MONTH($B$34:$B$48)=MONTH(I113))*$C$34:$C$48)),"")</f>
        <v/>
      </c>
      <c r="M113" s="9">
        <f>IF(H113&lt;&gt;"",ROUND(M112-L113,2),"")</f>
        <v/>
      </c>
      <c r="N113" s="10">
        <f>IF(H113&lt;&gt;"",N112+L113,"")</f>
        <v/>
      </c>
      <c r="O113" s="10">
        <f>IF(H113&lt;&gt;"",O112+K113,"")</f>
        <v/>
      </c>
    </row>
    <row r="114">
      <c r="H114" s="12">
        <f>IF(AND(M113&gt;0.005,H113&lt;&gt;""),112,"")</f>
        <v/>
      </c>
      <c r="I114" s="13">
        <f>IF(H114&lt;&gt;"",EDATE(StartDate,111),"")</f>
        <v/>
      </c>
      <c r="J114" s="14">
        <f>IF(H114&lt;&gt;"",MIN(MonthlyPmt,M113+K114),"")</f>
        <v/>
      </c>
      <c r="K114" s="14">
        <f>IF(H114&lt;&gt;"",ROUND(M113*AnnualRate/12,2),"")</f>
        <v/>
      </c>
      <c r="L114" s="14">
        <f>IF(H114&lt;&gt;"",MIN(M113,(J114-K114)+SUMPRODUCT(($B$21:$B$30&lt;&gt;"")*($B$21:$B$30&lt;=I114)*(($C$21:$C$30="")+($C$21:$C$30&lt;&gt;"")*($C$21:$C$30&gt;=I114))*($E$21:$E$30="Monthly")*$D$21:$D$30)+SUMPRODUCT(($B$21:$B$30&lt;&gt;"")*($B$21:$B$30&lt;=I114)*(($C$21:$C$30="")+($C$21:$C$30&lt;&gt;"")*($C$21:$C$30&gt;=I114))*($E$21:$E$30="Annual")*(MONTH($B$21:$B$30)=MONTH(I114))*$D$21:$D$30)+SUMPRODUCT(($B$34:$B$48&lt;&gt;"")*(YEAR($B$34:$B$48)=YEAR(I114))*(MONTH($B$34:$B$48)=MONTH(I114))*$C$34:$C$48)),"")</f>
        <v/>
      </c>
      <c r="M114" s="14">
        <f>IF(H114&lt;&gt;"",ROUND(M113-L114,2),"")</f>
        <v/>
      </c>
      <c r="N114" s="10">
        <f>IF(H114&lt;&gt;"",N113+L114,"")</f>
        <v/>
      </c>
      <c r="O114" s="10">
        <f>IF(H114&lt;&gt;"",O113+K114,"")</f>
        <v/>
      </c>
    </row>
    <row r="115">
      <c r="H115" s="7">
        <f>IF(AND(M114&gt;0.005,H114&lt;&gt;""),113,"")</f>
        <v/>
      </c>
      <c r="I115" s="8">
        <f>IF(H115&lt;&gt;"",EDATE(StartDate,112),"")</f>
        <v/>
      </c>
      <c r="J115" s="9">
        <f>IF(H115&lt;&gt;"",MIN(MonthlyPmt,M114+K115),"")</f>
        <v/>
      </c>
      <c r="K115" s="9">
        <f>IF(H115&lt;&gt;"",ROUND(M114*AnnualRate/12,2),"")</f>
        <v/>
      </c>
      <c r="L115" s="9">
        <f>IF(H115&lt;&gt;"",MIN(M114,(J115-K115)+SUMPRODUCT(($B$21:$B$30&lt;&gt;"")*($B$21:$B$30&lt;=I115)*(($C$21:$C$30="")+($C$21:$C$30&lt;&gt;"")*($C$21:$C$30&gt;=I115))*($E$21:$E$30="Monthly")*$D$21:$D$30)+SUMPRODUCT(($B$21:$B$30&lt;&gt;"")*($B$21:$B$30&lt;=I115)*(($C$21:$C$30="")+($C$21:$C$30&lt;&gt;"")*($C$21:$C$30&gt;=I115))*($E$21:$E$30="Annual")*(MONTH($B$21:$B$30)=MONTH(I115))*$D$21:$D$30)+SUMPRODUCT(($B$34:$B$48&lt;&gt;"")*(YEAR($B$34:$B$48)=YEAR(I115))*(MONTH($B$34:$B$48)=MONTH(I115))*$C$34:$C$48)),"")</f>
        <v/>
      </c>
      <c r="M115" s="9">
        <f>IF(H115&lt;&gt;"",ROUND(M114-L115,2),"")</f>
        <v/>
      </c>
      <c r="N115" s="10">
        <f>IF(H115&lt;&gt;"",N114+L115,"")</f>
        <v/>
      </c>
      <c r="O115" s="10">
        <f>IF(H115&lt;&gt;"",O114+K115,"")</f>
        <v/>
      </c>
    </row>
    <row r="116">
      <c r="H116" s="12">
        <f>IF(AND(M115&gt;0.005,H115&lt;&gt;""),114,"")</f>
        <v/>
      </c>
      <c r="I116" s="13">
        <f>IF(H116&lt;&gt;"",EDATE(StartDate,113),"")</f>
        <v/>
      </c>
      <c r="J116" s="14">
        <f>IF(H116&lt;&gt;"",MIN(MonthlyPmt,M115+K116),"")</f>
        <v/>
      </c>
      <c r="K116" s="14">
        <f>IF(H116&lt;&gt;"",ROUND(M115*AnnualRate/12,2),"")</f>
        <v/>
      </c>
      <c r="L116" s="14">
        <f>IF(H116&lt;&gt;"",MIN(M115,(J116-K116)+SUMPRODUCT(($B$21:$B$30&lt;&gt;"")*($B$21:$B$30&lt;=I116)*(($C$21:$C$30="")+($C$21:$C$30&lt;&gt;"")*($C$21:$C$30&gt;=I116))*($E$21:$E$30="Monthly")*$D$21:$D$30)+SUMPRODUCT(($B$21:$B$30&lt;&gt;"")*($B$21:$B$30&lt;=I116)*(($C$21:$C$30="")+($C$21:$C$30&lt;&gt;"")*($C$21:$C$30&gt;=I116))*($E$21:$E$30="Annual")*(MONTH($B$21:$B$30)=MONTH(I116))*$D$21:$D$30)+SUMPRODUCT(($B$34:$B$48&lt;&gt;"")*(YEAR($B$34:$B$48)=YEAR(I116))*(MONTH($B$34:$B$48)=MONTH(I116))*$C$34:$C$48)),"")</f>
        <v/>
      </c>
      <c r="M116" s="14">
        <f>IF(H116&lt;&gt;"",ROUND(M115-L116,2),"")</f>
        <v/>
      </c>
      <c r="N116" s="10">
        <f>IF(H116&lt;&gt;"",N115+L116,"")</f>
        <v/>
      </c>
      <c r="O116" s="10">
        <f>IF(H116&lt;&gt;"",O115+K116,"")</f>
        <v/>
      </c>
    </row>
    <row r="117">
      <c r="H117" s="7">
        <f>IF(AND(M116&gt;0.005,H116&lt;&gt;""),115,"")</f>
        <v/>
      </c>
      <c r="I117" s="8">
        <f>IF(H117&lt;&gt;"",EDATE(StartDate,114),"")</f>
        <v/>
      </c>
      <c r="J117" s="9">
        <f>IF(H117&lt;&gt;"",MIN(MonthlyPmt,M116+K117),"")</f>
        <v/>
      </c>
      <c r="K117" s="9">
        <f>IF(H117&lt;&gt;"",ROUND(M116*AnnualRate/12,2),"")</f>
        <v/>
      </c>
      <c r="L117" s="9">
        <f>IF(H117&lt;&gt;"",MIN(M116,(J117-K117)+SUMPRODUCT(($B$21:$B$30&lt;&gt;"")*($B$21:$B$30&lt;=I117)*(($C$21:$C$30="")+($C$21:$C$30&lt;&gt;"")*($C$21:$C$30&gt;=I117))*($E$21:$E$30="Monthly")*$D$21:$D$30)+SUMPRODUCT(($B$21:$B$30&lt;&gt;"")*($B$21:$B$30&lt;=I117)*(($C$21:$C$30="")+($C$21:$C$30&lt;&gt;"")*($C$21:$C$30&gt;=I117))*($E$21:$E$30="Annual")*(MONTH($B$21:$B$30)=MONTH(I117))*$D$21:$D$30)+SUMPRODUCT(($B$34:$B$48&lt;&gt;"")*(YEAR($B$34:$B$48)=YEAR(I117))*(MONTH($B$34:$B$48)=MONTH(I117))*$C$34:$C$48)),"")</f>
        <v/>
      </c>
      <c r="M117" s="9">
        <f>IF(H117&lt;&gt;"",ROUND(M116-L117,2),"")</f>
        <v/>
      </c>
      <c r="N117" s="10">
        <f>IF(H117&lt;&gt;"",N116+L117,"")</f>
        <v/>
      </c>
      <c r="O117" s="10">
        <f>IF(H117&lt;&gt;"",O116+K117,"")</f>
        <v/>
      </c>
    </row>
    <row r="118">
      <c r="H118" s="12">
        <f>IF(AND(M117&gt;0.005,H117&lt;&gt;""),116,"")</f>
        <v/>
      </c>
      <c r="I118" s="13">
        <f>IF(H118&lt;&gt;"",EDATE(StartDate,115),"")</f>
        <v/>
      </c>
      <c r="J118" s="14">
        <f>IF(H118&lt;&gt;"",MIN(MonthlyPmt,M117+K118),"")</f>
        <v/>
      </c>
      <c r="K118" s="14">
        <f>IF(H118&lt;&gt;"",ROUND(M117*AnnualRate/12,2),"")</f>
        <v/>
      </c>
      <c r="L118" s="14">
        <f>IF(H118&lt;&gt;"",MIN(M117,(J118-K118)+SUMPRODUCT(($B$21:$B$30&lt;&gt;"")*($B$21:$B$30&lt;=I118)*(($C$21:$C$30="")+($C$21:$C$30&lt;&gt;"")*($C$21:$C$30&gt;=I118))*($E$21:$E$30="Monthly")*$D$21:$D$30)+SUMPRODUCT(($B$21:$B$30&lt;&gt;"")*($B$21:$B$30&lt;=I118)*(($C$21:$C$30="")+($C$21:$C$30&lt;&gt;"")*($C$21:$C$30&gt;=I118))*($E$21:$E$30="Annual")*(MONTH($B$21:$B$30)=MONTH(I118))*$D$21:$D$30)+SUMPRODUCT(($B$34:$B$48&lt;&gt;"")*(YEAR($B$34:$B$48)=YEAR(I118))*(MONTH($B$34:$B$48)=MONTH(I118))*$C$34:$C$48)),"")</f>
        <v/>
      </c>
      <c r="M118" s="14">
        <f>IF(H118&lt;&gt;"",ROUND(M117-L118,2),"")</f>
        <v/>
      </c>
      <c r="N118" s="10">
        <f>IF(H118&lt;&gt;"",N117+L118,"")</f>
        <v/>
      </c>
      <c r="O118" s="10">
        <f>IF(H118&lt;&gt;"",O117+K118,"")</f>
        <v/>
      </c>
    </row>
    <row r="119">
      <c r="H119" s="7">
        <f>IF(AND(M118&gt;0.005,H118&lt;&gt;""),117,"")</f>
        <v/>
      </c>
      <c r="I119" s="8">
        <f>IF(H119&lt;&gt;"",EDATE(StartDate,116),"")</f>
        <v/>
      </c>
      <c r="J119" s="9">
        <f>IF(H119&lt;&gt;"",MIN(MonthlyPmt,M118+K119),"")</f>
        <v/>
      </c>
      <c r="K119" s="9">
        <f>IF(H119&lt;&gt;"",ROUND(M118*AnnualRate/12,2),"")</f>
        <v/>
      </c>
      <c r="L119" s="9">
        <f>IF(H119&lt;&gt;"",MIN(M118,(J119-K119)+SUMPRODUCT(($B$21:$B$30&lt;&gt;"")*($B$21:$B$30&lt;=I119)*(($C$21:$C$30="")+($C$21:$C$30&lt;&gt;"")*($C$21:$C$30&gt;=I119))*($E$21:$E$30="Monthly")*$D$21:$D$30)+SUMPRODUCT(($B$21:$B$30&lt;&gt;"")*($B$21:$B$30&lt;=I119)*(($C$21:$C$30="")+($C$21:$C$30&lt;&gt;"")*($C$21:$C$30&gt;=I119))*($E$21:$E$30="Annual")*(MONTH($B$21:$B$30)=MONTH(I119))*$D$21:$D$30)+SUMPRODUCT(($B$34:$B$48&lt;&gt;"")*(YEAR($B$34:$B$48)=YEAR(I119))*(MONTH($B$34:$B$48)=MONTH(I119))*$C$34:$C$48)),"")</f>
        <v/>
      </c>
      <c r="M119" s="9">
        <f>IF(H119&lt;&gt;"",ROUND(M118-L119,2),"")</f>
        <v/>
      </c>
      <c r="N119" s="10">
        <f>IF(H119&lt;&gt;"",N118+L119,"")</f>
        <v/>
      </c>
      <c r="O119" s="10">
        <f>IF(H119&lt;&gt;"",O118+K119,"")</f>
        <v/>
      </c>
    </row>
    <row r="120">
      <c r="H120" s="12">
        <f>IF(AND(M119&gt;0.005,H119&lt;&gt;""),118,"")</f>
        <v/>
      </c>
      <c r="I120" s="13">
        <f>IF(H120&lt;&gt;"",EDATE(StartDate,117),"")</f>
        <v/>
      </c>
      <c r="J120" s="14">
        <f>IF(H120&lt;&gt;"",MIN(MonthlyPmt,M119+K120),"")</f>
        <v/>
      </c>
      <c r="K120" s="14">
        <f>IF(H120&lt;&gt;"",ROUND(M119*AnnualRate/12,2),"")</f>
        <v/>
      </c>
      <c r="L120" s="14">
        <f>IF(H120&lt;&gt;"",MIN(M119,(J120-K120)+SUMPRODUCT(($B$21:$B$30&lt;&gt;"")*($B$21:$B$30&lt;=I120)*(($C$21:$C$30="")+($C$21:$C$30&lt;&gt;"")*($C$21:$C$30&gt;=I120))*($E$21:$E$30="Monthly")*$D$21:$D$30)+SUMPRODUCT(($B$21:$B$30&lt;&gt;"")*($B$21:$B$30&lt;=I120)*(($C$21:$C$30="")+($C$21:$C$30&lt;&gt;"")*($C$21:$C$30&gt;=I120))*($E$21:$E$30="Annual")*(MONTH($B$21:$B$30)=MONTH(I120))*$D$21:$D$30)+SUMPRODUCT(($B$34:$B$48&lt;&gt;"")*(YEAR($B$34:$B$48)=YEAR(I120))*(MONTH($B$34:$B$48)=MONTH(I120))*$C$34:$C$48)),"")</f>
        <v/>
      </c>
      <c r="M120" s="14">
        <f>IF(H120&lt;&gt;"",ROUND(M119-L120,2),"")</f>
        <v/>
      </c>
      <c r="N120" s="10">
        <f>IF(H120&lt;&gt;"",N119+L120,"")</f>
        <v/>
      </c>
      <c r="O120" s="10">
        <f>IF(H120&lt;&gt;"",O119+K120,"")</f>
        <v/>
      </c>
    </row>
    <row r="121">
      <c r="H121" s="7">
        <f>IF(AND(M120&gt;0.005,H120&lt;&gt;""),119,"")</f>
        <v/>
      </c>
      <c r="I121" s="8">
        <f>IF(H121&lt;&gt;"",EDATE(StartDate,118),"")</f>
        <v/>
      </c>
      <c r="J121" s="9">
        <f>IF(H121&lt;&gt;"",MIN(MonthlyPmt,M120+K121),"")</f>
        <v/>
      </c>
      <c r="K121" s="9">
        <f>IF(H121&lt;&gt;"",ROUND(M120*AnnualRate/12,2),"")</f>
        <v/>
      </c>
      <c r="L121" s="9">
        <f>IF(H121&lt;&gt;"",MIN(M120,(J121-K121)+SUMPRODUCT(($B$21:$B$30&lt;&gt;"")*($B$21:$B$30&lt;=I121)*(($C$21:$C$30="")+($C$21:$C$30&lt;&gt;"")*($C$21:$C$30&gt;=I121))*($E$21:$E$30="Monthly")*$D$21:$D$30)+SUMPRODUCT(($B$21:$B$30&lt;&gt;"")*($B$21:$B$30&lt;=I121)*(($C$21:$C$30="")+($C$21:$C$30&lt;&gt;"")*($C$21:$C$30&gt;=I121))*($E$21:$E$30="Annual")*(MONTH($B$21:$B$30)=MONTH(I121))*$D$21:$D$30)+SUMPRODUCT(($B$34:$B$48&lt;&gt;"")*(YEAR($B$34:$B$48)=YEAR(I121))*(MONTH($B$34:$B$48)=MONTH(I121))*$C$34:$C$48)),"")</f>
        <v/>
      </c>
      <c r="M121" s="9">
        <f>IF(H121&lt;&gt;"",ROUND(M120-L121,2),"")</f>
        <v/>
      </c>
      <c r="N121" s="10">
        <f>IF(H121&lt;&gt;"",N120+L121,"")</f>
        <v/>
      </c>
      <c r="O121" s="10">
        <f>IF(H121&lt;&gt;"",O120+K121,"")</f>
        <v/>
      </c>
    </row>
    <row r="122">
      <c r="H122" s="12">
        <f>IF(AND(M121&gt;0.005,H121&lt;&gt;""),120,"")</f>
        <v/>
      </c>
      <c r="I122" s="13">
        <f>IF(H122&lt;&gt;"",EDATE(StartDate,119),"")</f>
        <v/>
      </c>
      <c r="J122" s="14">
        <f>IF(H122&lt;&gt;"",MIN(MonthlyPmt,M121+K122),"")</f>
        <v/>
      </c>
      <c r="K122" s="14">
        <f>IF(H122&lt;&gt;"",ROUND(M121*AnnualRate/12,2),"")</f>
        <v/>
      </c>
      <c r="L122" s="14">
        <f>IF(H122&lt;&gt;"",MIN(M121,(J122-K122)+SUMPRODUCT(($B$21:$B$30&lt;&gt;"")*($B$21:$B$30&lt;=I122)*(($C$21:$C$30="")+($C$21:$C$30&lt;&gt;"")*($C$21:$C$30&gt;=I122))*($E$21:$E$30="Monthly")*$D$21:$D$30)+SUMPRODUCT(($B$21:$B$30&lt;&gt;"")*($B$21:$B$30&lt;=I122)*(($C$21:$C$30="")+($C$21:$C$30&lt;&gt;"")*($C$21:$C$30&gt;=I122))*($E$21:$E$30="Annual")*(MONTH($B$21:$B$30)=MONTH(I122))*$D$21:$D$30)+SUMPRODUCT(($B$34:$B$48&lt;&gt;"")*(YEAR($B$34:$B$48)=YEAR(I122))*(MONTH($B$34:$B$48)=MONTH(I122))*$C$34:$C$48)),"")</f>
        <v/>
      </c>
      <c r="M122" s="14">
        <f>IF(H122&lt;&gt;"",ROUND(M121-L122,2),"")</f>
        <v/>
      </c>
      <c r="N122" s="10">
        <f>IF(H122&lt;&gt;"",N121+L122,"")</f>
        <v/>
      </c>
      <c r="O122" s="10">
        <f>IF(H122&lt;&gt;"",O121+K122,"")</f>
        <v/>
      </c>
    </row>
    <row r="123">
      <c r="H123" s="7">
        <f>IF(AND(M122&gt;0.005,H122&lt;&gt;""),121,"")</f>
        <v/>
      </c>
      <c r="I123" s="8">
        <f>IF(H123&lt;&gt;"",EDATE(StartDate,120),"")</f>
        <v/>
      </c>
      <c r="J123" s="9">
        <f>IF(H123&lt;&gt;"",MIN(MonthlyPmt,M122+K123),"")</f>
        <v/>
      </c>
      <c r="K123" s="9">
        <f>IF(H123&lt;&gt;"",ROUND(M122*AnnualRate/12,2),"")</f>
        <v/>
      </c>
      <c r="L123" s="9">
        <f>IF(H123&lt;&gt;"",MIN(M122,(J123-K123)+SUMPRODUCT(($B$21:$B$30&lt;&gt;"")*($B$21:$B$30&lt;=I123)*(($C$21:$C$30="")+($C$21:$C$30&lt;&gt;"")*($C$21:$C$30&gt;=I123))*($E$21:$E$30="Monthly")*$D$21:$D$30)+SUMPRODUCT(($B$21:$B$30&lt;&gt;"")*($B$21:$B$30&lt;=I123)*(($C$21:$C$30="")+($C$21:$C$30&lt;&gt;"")*($C$21:$C$30&gt;=I123))*($E$21:$E$30="Annual")*(MONTH($B$21:$B$30)=MONTH(I123))*$D$21:$D$30)+SUMPRODUCT(($B$34:$B$48&lt;&gt;"")*(YEAR($B$34:$B$48)=YEAR(I123))*(MONTH($B$34:$B$48)=MONTH(I123))*$C$34:$C$48)),"")</f>
        <v/>
      </c>
      <c r="M123" s="9">
        <f>IF(H123&lt;&gt;"",ROUND(M122-L123,2),"")</f>
        <v/>
      </c>
      <c r="N123" s="10">
        <f>IF(H123&lt;&gt;"",N122+L123,"")</f>
        <v/>
      </c>
      <c r="O123" s="10">
        <f>IF(H123&lt;&gt;"",O122+K123,"")</f>
        <v/>
      </c>
    </row>
    <row r="124">
      <c r="H124" s="12">
        <f>IF(AND(M123&gt;0.005,H123&lt;&gt;""),122,"")</f>
        <v/>
      </c>
      <c r="I124" s="13">
        <f>IF(H124&lt;&gt;"",EDATE(StartDate,121),"")</f>
        <v/>
      </c>
      <c r="J124" s="14">
        <f>IF(H124&lt;&gt;"",MIN(MonthlyPmt,M123+K124),"")</f>
        <v/>
      </c>
      <c r="K124" s="14">
        <f>IF(H124&lt;&gt;"",ROUND(M123*AnnualRate/12,2),"")</f>
        <v/>
      </c>
      <c r="L124" s="14">
        <f>IF(H124&lt;&gt;"",MIN(M123,(J124-K124)+SUMPRODUCT(($B$21:$B$30&lt;&gt;"")*($B$21:$B$30&lt;=I124)*(($C$21:$C$30="")+($C$21:$C$30&lt;&gt;"")*($C$21:$C$30&gt;=I124))*($E$21:$E$30="Monthly")*$D$21:$D$30)+SUMPRODUCT(($B$21:$B$30&lt;&gt;"")*($B$21:$B$30&lt;=I124)*(($C$21:$C$30="")+($C$21:$C$30&lt;&gt;"")*($C$21:$C$30&gt;=I124))*($E$21:$E$30="Annual")*(MONTH($B$21:$B$30)=MONTH(I124))*$D$21:$D$30)+SUMPRODUCT(($B$34:$B$48&lt;&gt;"")*(YEAR($B$34:$B$48)=YEAR(I124))*(MONTH($B$34:$B$48)=MONTH(I124))*$C$34:$C$48)),"")</f>
        <v/>
      </c>
      <c r="M124" s="14">
        <f>IF(H124&lt;&gt;"",ROUND(M123-L124,2),"")</f>
        <v/>
      </c>
      <c r="N124" s="10">
        <f>IF(H124&lt;&gt;"",N123+L124,"")</f>
        <v/>
      </c>
      <c r="O124" s="10">
        <f>IF(H124&lt;&gt;"",O123+K124,"")</f>
        <v/>
      </c>
    </row>
    <row r="125">
      <c r="H125" s="7">
        <f>IF(AND(M124&gt;0.005,H124&lt;&gt;""),123,"")</f>
        <v/>
      </c>
      <c r="I125" s="8">
        <f>IF(H125&lt;&gt;"",EDATE(StartDate,122),"")</f>
        <v/>
      </c>
      <c r="J125" s="9">
        <f>IF(H125&lt;&gt;"",MIN(MonthlyPmt,M124+K125),"")</f>
        <v/>
      </c>
      <c r="K125" s="9">
        <f>IF(H125&lt;&gt;"",ROUND(M124*AnnualRate/12,2),"")</f>
        <v/>
      </c>
      <c r="L125" s="9">
        <f>IF(H125&lt;&gt;"",MIN(M124,(J125-K125)+SUMPRODUCT(($B$21:$B$30&lt;&gt;"")*($B$21:$B$30&lt;=I125)*(($C$21:$C$30="")+($C$21:$C$30&lt;&gt;"")*($C$21:$C$30&gt;=I125))*($E$21:$E$30="Monthly")*$D$21:$D$30)+SUMPRODUCT(($B$21:$B$30&lt;&gt;"")*($B$21:$B$30&lt;=I125)*(($C$21:$C$30="")+($C$21:$C$30&lt;&gt;"")*($C$21:$C$30&gt;=I125))*($E$21:$E$30="Annual")*(MONTH($B$21:$B$30)=MONTH(I125))*$D$21:$D$30)+SUMPRODUCT(($B$34:$B$48&lt;&gt;"")*(YEAR($B$34:$B$48)=YEAR(I125))*(MONTH($B$34:$B$48)=MONTH(I125))*$C$34:$C$48)),"")</f>
        <v/>
      </c>
      <c r="M125" s="9">
        <f>IF(H125&lt;&gt;"",ROUND(M124-L125,2),"")</f>
        <v/>
      </c>
      <c r="N125" s="10">
        <f>IF(H125&lt;&gt;"",N124+L125,"")</f>
        <v/>
      </c>
      <c r="O125" s="10">
        <f>IF(H125&lt;&gt;"",O124+K125,"")</f>
        <v/>
      </c>
    </row>
    <row r="126">
      <c r="H126" s="12">
        <f>IF(AND(M125&gt;0.005,H125&lt;&gt;""),124,"")</f>
        <v/>
      </c>
      <c r="I126" s="13">
        <f>IF(H126&lt;&gt;"",EDATE(StartDate,123),"")</f>
        <v/>
      </c>
      <c r="J126" s="14">
        <f>IF(H126&lt;&gt;"",MIN(MonthlyPmt,M125+K126),"")</f>
        <v/>
      </c>
      <c r="K126" s="14">
        <f>IF(H126&lt;&gt;"",ROUND(M125*AnnualRate/12,2),"")</f>
        <v/>
      </c>
      <c r="L126" s="14">
        <f>IF(H126&lt;&gt;"",MIN(M125,(J126-K126)+SUMPRODUCT(($B$21:$B$30&lt;&gt;"")*($B$21:$B$30&lt;=I126)*(($C$21:$C$30="")+($C$21:$C$30&lt;&gt;"")*($C$21:$C$30&gt;=I126))*($E$21:$E$30="Monthly")*$D$21:$D$30)+SUMPRODUCT(($B$21:$B$30&lt;&gt;"")*($B$21:$B$30&lt;=I126)*(($C$21:$C$30="")+($C$21:$C$30&lt;&gt;"")*($C$21:$C$30&gt;=I126))*($E$21:$E$30="Annual")*(MONTH($B$21:$B$30)=MONTH(I126))*$D$21:$D$30)+SUMPRODUCT(($B$34:$B$48&lt;&gt;"")*(YEAR($B$34:$B$48)=YEAR(I126))*(MONTH($B$34:$B$48)=MONTH(I126))*$C$34:$C$48)),"")</f>
        <v/>
      </c>
      <c r="M126" s="14">
        <f>IF(H126&lt;&gt;"",ROUND(M125-L126,2),"")</f>
        <v/>
      </c>
      <c r="N126" s="10">
        <f>IF(H126&lt;&gt;"",N125+L126,"")</f>
        <v/>
      </c>
      <c r="O126" s="10">
        <f>IF(H126&lt;&gt;"",O125+K126,"")</f>
        <v/>
      </c>
    </row>
    <row r="127">
      <c r="H127" s="7">
        <f>IF(AND(M126&gt;0.005,H126&lt;&gt;""),125,"")</f>
        <v/>
      </c>
      <c r="I127" s="8">
        <f>IF(H127&lt;&gt;"",EDATE(StartDate,124),"")</f>
        <v/>
      </c>
      <c r="J127" s="9">
        <f>IF(H127&lt;&gt;"",MIN(MonthlyPmt,M126+K127),"")</f>
        <v/>
      </c>
      <c r="K127" s="9">
        <f>IF(H127&lt;&gt;"",ROUND(M126*AnnualRate/12,2),"")</f>
        <v/>
      </c>
      <c r="L127" s="9">
        <f>IF(H127&lt;&gt;"",MIN(M126,(J127-K127)+SUMPRODUCT(($B$21:$B$30&lt;&gt;"")*($B$21:$B$30&lt;=I127)*(($C$21:$C$30="")+($C$21:$C$30&lt;&gt;"")*($C$21:$C$30&gt;=I127))*($E$21:$E$30="Monthly")*$D$21:$D$30)+SUMPRODUCT(($B$21:$B$30&lt;&gt;"")*($B$21:$B$30&lt;=I127)*(($C$21:$C$30="")+($C$21:$C$30&lt;&gt;"")*($C$21:$C$30&gt;=I127))*($E$21:$E$30="Annual")*(MONTH($B$21:$B$30)=MONTH(I127))*$D$21:$D$30)+SUMPRODUCT(($B$34:$B$48&lt;&gt;"")*(YEAR($B$34:$B$48)=YEAR(I127))*(MONTH($B$34:$B$48)=MONTH(I127))*$C$34:$C$48)),"")</f>
        <v/>
      </c>
      <c r="M127" s="9">
        <f>IF(H127&lt;&gt;"",ROUND(M126-L127,2),"")</f>
        <v/>
      </c>
      <c r="N127" s="10">
        <f>IF(H127&lt;&gt;"",N126+L127,"")</f>
        <v/>
      </c>
      <c r="O127" s="10">
        <f>IF(H127&lt;&gt;"",O126+K127,"")</f>
        <v/>
      </c>
    </row>
    <row r="128">
      <c r="H128" s="12">
        <f>IF(AND(M127&gt;0.005,H127&lt;&gt;""),126,"")</f>
        <v/>
      </c>
      <c r="I128" s="13">
        <f>IF(H128&lt;&gt;"",EDATE(StartDate,125),"")</f>
        <v/>
      </c>
      <c r="J128" s="14">
        <f>IF(H128&lt;&gt;"",MIN(MonthlyPmt,M127+K128),"")</f>
        <v/>
      </c>
      <c r="K128" s="14">
        <f>IF(H128&lt;&gt;"",ROUND(M127*AnnualRate/12,2),"")</f>
        <v/>
      </c>
      <c r="L128" s="14">
        <f>IF(H128&lt;&gt;"",MIN(M127,(J128-K128)+SUMPRODUCT(($B$21:$B$30&lt;&gt;"")*($B$21:$B$30&lt;=I128)*(($C$21:$C$30="")+($C$21:$C$30&lt;&gt;"")*($C$21:$C$30&gt;=I128))*($E$21:$E$30="Monthly")*$D$21:$D$30)+SUMPRODUCT(($B$21:$B$30&lt;&gt;"")*($B$21:$B$30&lt;=I128)*(($C$21:$C$30="")+($C$21:$C$30&lt;&gt;"")*($C$21:$C$30&gt;=I128))*($E$21:$E$30="Annual")*(MONTH($B$21:$B$30)=MONTH(I128))*$D$21:$D$30)+SUMPRODUCT(($B$34:$B$48&lt;&gt;"")*(YEAR($B$34:$B$48)=YEAR(I128))*(MONTH($B$34:$B$48)=MONTH(I128))*$C$34:$C$48)),"")</f>
        <v/>
      </c>
      <c r="M128" s="14">
        <f>IF(H128&lt;&gt;"",ROUND(M127-L128,2),"")</f>
        <v/>
      </c>
      <c r="N128" s="10">
        <f>IF(H128&lt;&gt;"",N127+L128,"")</f>
        <v/>
      </c>
      <c r="O128" s="10">
        <f>IF(H128&lt;&gt;"",O127+K128,"")</f>
        <v/>
      </c>
    </row>
    <row r="129">
      <c r="H129" s="7">
        <f>IF(AND(M128&gt;0.005,H128&lt;&gt;""),127,"")</f>
        <v/>
      </c>
      <c r="I129" s="8">
        <f>IF(H129&lt;&gt;"",EDATE(StartDate,126),"")</f>
        <v/>
      </c>
      <c r="J129" s="9">
        <f>IF(H129&lt;&gt;"",MIN(MonthlyPmt,M128+K129),"")</f>
        <v/>
      </c>
      <c r="K129" s="9">
        <f>IF(H129&lt;&gt;"",ROUND(M128*AnnualRate/12,2),"")</f>
        <v/>
      </c>
      <c r="L129" s="9">
        <f>IF(H129&lt;&gt;"",MIN(M128,(J129-K129)+SUMPRODUCT(($B$21:$B$30&lt;&gt;"")*($B$21:$B$30&lt;=I129)*(($C$21:$C$30="")+($C$21:$C$30&lt;&gt;"")*($C$21:$C$30&gt;=I129))*($E$21:$E$30="Monthly")*$D$21:$D$30)+SUMPRODUCT(($B$21:$B$30&lt;&gt;"")*($B$21:$B$30&lt;=I129)*(($C$21:$C$30="")+($C$21:$C$30&lt;&gt;"")*($C$21:$C$30&gt;=I129))*($E$21:$E$30="Annual")*(MONTH($B$21:$B$30)=MONTH(I129))*$D$21:$D$30)+SUMPRODUCT(($B$34:$B$48&lt;&gt;"")*(YEAR($B$34:$B$48)=YEAR(I129))*(MONTH($B$34:$B$48)=MONTH(I129))*$C$34:$C$48)),"")</f>
        <v/>
      </c>
      <c r="M129" s="9">
        <f>IF(H129&lt;&gt;"",ROUND(M128-L129,2),"")</f>
        <v/>
      </c>
      <c r="N129" s="10">
        <f>IF(H129&lt;&gt;"",N128+L129,"")</f>
        <v/>
      </c>
      <c r="O129" s="10">
        <f>IF(H129&lt;&gt;"",O128+K129,"")</f>
        <v/>
      </c>
    </row>
    <row r="130">
      <c r="H130" s="12">
        <f>IF(AND(M129&gt;0.005,H129&lt;&gt;""),128,"")</f>
        <v/>
      </c>
      <c r="I130" s="13">
        <f>IF(H130&lt;&gt;"",EDATE(StartDate,127),"")</f>
        <v/>
      </c>
      <c r="J130" s="14">
        <f>IF(H130&lt;&gt;"",MIN(MonthlyPmt,M129+K130),"")</f>
        <v/>
      </c>
      <c r="K130" s="14">
        <f>IF(H130&lt;&gt;"",ROUND(M129*AnnualRate/12,2),"")</f>
        <v/>
      </c>
      <c r="L130" s="14">
        <f>IF(H130&lt;&gt;"",MIN(M129,(J130-K130)+SUMPRODUCT(($B$21:$B$30&lt;&gt;"")*($B$21:$B$30&lt;=I130)*(($C$21:$C$30="")+($C$21:$C$30&lt;&gt;"")*($C$21:$C$30&gt;=I130))*($E$21:$E$30="Monthly")*$D$21:$D$30)+SUMPRODUCT(($B$21:$B$30&lt;&gt;"")*($B$21:$B$30&lt;=I130)*(($C$21:$C$30="")+($C$21:$C$30&lt;&gt;"")*($C$21:$C$30&gt;=I130))*($E$21:$E$30="Annual")*(MONTH($B$21:$B$30)=MONTH(I130))*$D$21:$D$30)+SUMPRODUCT(($B$34:$B$48&lt;&gt;"")*(YEAR($B$34:$B$48)=YEAR(I130))*(MONTH($B$34:$B$48)=MONTH(I130))*$C$34:$C$48)),"")</f>
        <v/>
      </c>
      <c r="M130" s="14">
        <f>IF(H130&lt;&gt;"",ROUND(M129-L130,2),"")</f>
        <v/>
      </c>
      <c r="N130" s="10">
        <f>IF(H130&lt;&gt;"",N129+L130,"")</f>
        <v/>
      </c>
      <c r="O130" s="10">
        <f>IF(H130&lt;&gt;"",O129+K130,"")</f>
        <v/>
      </c>
    </row>
    <row r="131">
      <c r="H131" s="7">
        <f>IF(AND(M130&gt;0.005,H130&lt;&gt;""),129,"")</f>
        <v/>
      </c>
      <c r="I131" s="8">
        <f>IF(H131&lt;&gt;"",EDATE(StartDate,128),"")</f>
        <v/>
      </c>
      <c r="J131" s="9">
        <f>IF(H131&lt;&gt;"",MIN(MonthlyPmt,M130+K131),"")</f>
        <v/>
      </c>
      <c r="K131" s="9">
        <f>IF(H131&lt;&gt;"",ROUND(M130*AnnualRate/12,2),"")</f>
        <v/>
      </c>
      <c r="L131" s="9">
        <f>IF(H131&lt;&gt;"",MIN(M130,(J131-K131)+SUMPRODUCT(($B$21:$B$30&lt;&gt;"")*($B$21:$B$30&lt;=I131)*(($C$21:$C$30="")+($C$21:$C$30&lt;&gt;"")*($C$21:$C$30&gt;=I131))*($E$21:$E$30="Monthly")*$D$21:$D$30)+SUMPRODUCT(($B$21:$B$30&lt;&gt;"")*($B$21:$B$30&lt;=I131)*(($C$21:$C$30="")+($C$21:$C$30&lt;&gt;"")*($C$21:$C$30&gt;=I131))*($E$21:$E$30="Annual")*(MONTH($B$21:$B$30)=MONTH(I131))*$D$21:$D$30)+SUMPRODUCT(($B$34:$B$48&lt;&gt;"")*(YEAR($B$34:$B$48)=YEAR(I131))*(MONTH($B$34:$B$48)=MONTH(I131))*$C$34:$C$48)),"")</f>
        <v/>
      </c>
      <c r="M131" s="9">
        <f>IF(H131&lt;&gt;"",ROUND(M130-L131,2),"")</f>
        <v/>
      </c>
      <c r="N131" s="10">
        <f>IF(H131&lt;&gt;"",N130+L131,"")</f>
        <v/>
      </c>
      <c r="O131" s="10">
        <f>IF(H131&lt;&gt;"",O130+K131,"")</f>
        <v/>
      </c>
    </row>
    <row r="132">
      <c r="H132" s="12">
        <f>IF(AND(M131&gt;0.005,H131&lt;&gt;""),130,"")</f>
        <v/>
      </c>
      <c r="I132" s="13">
        <f>IF(H132&lt;&gt;"",EDATE(StartDate,129),"")</f>
        <v/>
      </c>
      <c r="J132" s="14">
        <f>IF(H132&lt;&gt;"",MIN(MonthlyPmt,M131+K132),"")</f>
        <v/>
      </c>
      <c r="K132" s="14">
        <f>IF(H132&lt;&gt;"",ROUND(M131*AnnualRate/12,2),"")</f>
        <v/>
      </c>
      <c r="L132" s="14">
        <f>IF(H132&lt;&gt;"",MIN(M131,(J132-K132)+SUMPRODUCT(($B$21:$B$30&lt;&gt;"")*($B$21:$B$30&lt;=I132)*(($C$21:$C$30="")+($C$21:$C$30&lt;&gt;"")*($C$21:$C$30&gt;=I132))*($E$21:$E$30="Monthly")*$D$21:$D$30)+SUMPRODUCT(($B$21:$B$30&lt;&gt;"")*($B$21:$B$30&lt;=I132)*(($C$21:$C$30="")+($C$21:$C$30&lt;&gt;"")*($C$21:$C$30&gt;=I132))*($E$21:$E$30="Annual")*(MONTH($B$21:$B$30)=MONTH(I132))*$D$21:$D$30)+SUMPRODUCT(($B$34:$B$48&lt;&gt;"")*(YEAR($B$34:$B$48)=YEAR(I132))*(MONTH($B$34:$B$48)=MONTH(I132))*$C$34:$C$48)),"")</f>
        <v/>
      </c>
      <c r="M132" s="14">
        <f>IF(H132&lt;&gt;"",ROUND(M131-L132,2),"")</f>
        <v/>
      </c>
      <c r="N132" s="10">
        <f>IF(H132&lt;&gt;"",N131+L132,"")</f>
        <v/>
      </c>
      <c r="O132" s="10">
        <f>IF(H132&lt;&gt;"",O131+K132,"")</f>
        <v/>
      </c>
    </row>
    <row r="133">
      <c r="H133" s="7">
        <f>IF(AND(M132&gt;0.005,H132&lt;&gt;""),131,"")</f>
        <v/>
      </c>
      <c r="I133" s="8">
        <f>IF(H133&lt;&gt;"",EDATE(StartDate,130),"")</f>
        <v/>
      </c>
      <c r="J133" s="9">
        <f>IF(H133&lt;&gt;"",MIN(MonthlyPmt,M132+K133),"")</f>
        <v/>
      </c>
      <c r="K133" s="9">
        <f>IF(H133&lt;&gt;"",ROUND(M132*AnnualRate/12,2),"")</f>
        <v/>
      </c>
      <c r="L133" s="9">
        <f>IF(H133&lt;&gt;"",MIN(M132,(J133-K133)+SUMPRODUCT(($B$21:$B$30&lt;&gt;"")*($B$21:$B$30&lt;=I133)*(($C$21:$C$30="")+($C$21:$C$30&lt;&gt;"")*($C$21:$C$30&gt;=I133))*($E$21:$E$30="Monthly")*$D$21:$D$30)+SUMPRODUCT(($B$21:$B$30&lt;&gt;"")*($B$21:$B$30&lt;=I133)*(($C$21:$C$30="")+($C$21:$C$30&lt;&gt;"")*($C$21:$C$30&gt;=I133))*($E$21:$E$30="Annual")*(MONTH($B$21:$B$30)=MONTH(I133))*$D$21:$D$30)+SUMPRODUCT(($B$34:$B$48&lt;&gt;"")*(YEAR($B$34:$B$48)=YEAR(I133))*(MONTH($B$34:$B$48)=MONTH(I133))*$C$34:$C$48)),"")</f>
        <v/>
      </c>
      <c r="M133" s="9">
        <f>IF(H133&lt;&gt;"",ROUND(M132-L133,2),"")</f>
        <v/>
      </c>
      <c r="N133" s="10">
        <f>IF(H133&lt;&gt;"",N132+L133,"")</f>
        <v/>
      </c>
      <c r="O133" s="10">
        <f>IF(H133&lt;&gt;"",O132+K133,"")</f>
        <v/>
      </c>
    </row>
    <row r="134">
      <c r="H134" s="12">
        <f>IF(AND(M133&gt;0.005,H133&lt;&gt;""),132,"")</f>
        <v/>
      </c>
      <c r="I134" s="13">
        <f>IF(H134&lt;&gt;"",EDATE(StartDate,131),"")</f>
        <v/>
      </c>
      <c r="J134" s="14">
        <f>IF(H134&lt;&gt;"",MIN(MonthlyPmt,M133+K134),"")</f>
        <v/>
      </c>
      <c r="K134" s="14">
        <f>IF(H134&lt;&gt;"",ROUND(M133*AnnualRate/12,2),"")</f>
        <v/>
      </c>
      <c r="L134" s="14">
        <f>IF(H134&lt;&gt;"",MIN(M133,(J134-K134)+SUMPRODUCT(($B$21:$B$30&lt;&gt;"")*($B$21:$B$30&lt;=I134)*(($C$21:$C$30="")+($C$21:$C$30&lt;&gt;"")*($C$21:$C$30&gt;=I134))*($E$21:$E$30="Monthly")*$D$21:$D$30)+SUMPRODUCT(($B$21:$B$30&lt;&gt;"")*($B$21:$B$30&lt;=I134)*(($C$21:$C$30="")+($C$21:$C$30&lt;&gt;"")*($C$21:$C$30&gt;=I134))*($E$21:$E$30="Annual")*(MONTH($B$21:$B$30)=MONTH(I134))*$D$21:$D$30)+SUMPRODUCT(($B$34:$B$48&lt;&gt;"")*(YEAR($B$34:$B$48)=YEAR(I134))*(MONTH($B$34:$B$48)=MONTH(I134))*$C$34:$C$48)),"")</f>
        <v/>
      </c>
      <c r="M134" s="14">
        <f>IF(H134&lt;&gt;"",ROUND(M133-L134,2),"")</f>
        <v/>
      </c>
      <c r="N134" s="10">
        <f>IF(H134&lt;&gt;"",N133+L134,"")</f>
        <v/>
      </c>
      <c r="O134" s="10">
        <f>IF(H134&lt;&gt;"",O133+K134,"")</f>
        <v/>
      </c>
    </row>
    <row r="135">
      <c r="H135" s="7">
        <f>IF(AND(M134&gt;0.005,H134&lt;&gt;""),133,"")</f>
        <v/>
      </c>
      <c r="I135" s="8">
        <f>IF(H135&lt;&gt;"",EDATE(StartDate,132),"")</f>
        <v/>
      </c>
      <c r="J135" s="9">
        <f>IF(H135&lt;&gt;"",MIN(MonthlyPmt,M134+K135),"")</f>
        <v/>
      </c>
      <c r="K135" s="9">
        <f>IF(H135&lt;&gt;"",ROUND(M134*AnnualRate/12,2),"")</f>
        <v/>
      </c>
      <c r="L135" s="9">
        <f>IF(H135&lt;&gt;"",MIN(M134,(J135-K135)+SUMPRODUCT(($B$21:$B$30&lt;&gt;"")*($B$21:$B$30&lt;=I135)*(($C$21:$C$30="")+($C$21:$C$30&lt;&gt;"")*($C$21:$C$30&gt;=I135))*($E$21:$E$30="Monthly")*$D$21:$D$30)+SUMPRODUCT(($B$21:$B$30&lt;&gt;"")*($B$21:$B$30&lt;=I135)*(($C$21:$C$30="")+($C$21:$C$30&lt;&gt;"")*($C$21:$C$30&gt;=I135))*($E$21:$E$30="Annual")*(MONTH($B$21:$B$30)=MONTH(I135))*$D$21:$D$30)+SUMPRODUCT(($B$34:$B$48&lt;&gt;"")*(YEAR($B$34:$B$48)=YEAR(I135))*(MONTH($B$34:$B$48)=MONTH(I135))*$C$34:$C$48)),"")</f>
        <v/>
      </c>
      <c r="M135" s="9">
        <f>IF(H135&lt;&gt;"",ROUND(M134-L135,2),"")</f>
        <v/>
      </c>
      <c r="N135" s="10">
        <f>IF(H135&lt;&gt;"",N134+L135,"")</f>
        <v/>
      </c>
      <c r="O135" s="10">
        <f>IF(H135&lt;&gt;"",O134+K135,"")</f>
        <v/>
      </c>
    </row>
    <row r="136">
      <c r="H136" s="12">
        <f>IF(AND(M135&gt;0.005,H135&lt;&gt;""),134,"")</f>
        <v/>
      </c>
      <c r="I136" s="13">
        <f>IF(H136&lt;&gt;"",EDATE(StartDate,133),"")</f>
        <v/>
      </c>
      <c r="J136" s="14">
        <f>IF(H136&lt;&gt;"",MIN(MonthlyPmt,M135+K136),"")</f>
        <v/>
      </c>
      <c r="K136" s="14">
        <f>IF(H136&lt;&gt;"",ROUND(M135*AnnualRate/12,2),"")</f>
        <v/>
      </c>
      <c r="L136" s="14">
        <f>IF(H136&lt;&gt;"",MIN(M135,(J136-K136)+SUMPRODUCT(($B$21:$B$30&lt;&gt;"")*($B$21:$B$30&lt;=I136)*(($C$21:$C$30="")+($C$21:$C$30&lt;&gt;"")*($C$21:$C$30&gt;=I136))*($E$21:$E$30="Monthly")*$D$21:$D$30)+SUMPRODUCT(($B$21:$B$30&lt;&gt;"")*($B$21:$B$30&lt;=I136)*(($C$21:$C$30="")+($C$21:$C$30&lt;&gt;"")*($C$21:$C$30&gt;=I136))*($E$21:$E$30="Annual")*(MONTH($B$21:$B$30)=MONTH(I136))*$D$21:$D$30)+SUMPRODUCT(($B$34:$B$48&lt;&gt;"")*(YEAR($B$34:$B$48)=YEAR(I136))*(MONTH($B$34:$B$48)=MONTH(I136))*$C$34:$C$48)),"")</f>
        <v/>
      </c>
      <c r="M136" s="14">
        <f>IF(H136&lt;&gt;"",ROUND(M135-L136,2),"")</f>
        <v/>
      </c>
      <c r="N136" s="10">
        <f>IF(H136&lt;&gt;"",N135+L136,"")</f>
        <v/>
      </c>
      <c r="O136" s="10">
        <f>IF(H136&lt;&gt;"",O135+K136,"")</f>
        <v/>
      </c>
    </row>
    <row r="137">
      <c r="H137" s="7">
        <f>IF(AND(M136&gt;0.005,H136&lt;&gt;""),135,"")</f>
        <v/>
      </c>
      <c r="I137" s="8">
        <f>IF(H137&lt;&gt;"",EDATE(StartDate,134),"")</f>
        <v/>
      </c>
      <c r="J137" s="9">
        <f>IF(H137&lt;&gt;"",MIN(MonthlyPmt,M136+K137),"")</f>
        <v/>
      </c>
      <c r="K137" s="9">
        <f>IF(H137&lt;&gt;"",ROUND(M136*AnnualRate/12,2),"")</f>
        <v/>
      </c>
      <c r="L137" s="9">
        <f>IF(H137&lt;&gt;"",MIN(M136,(J137-K137)+SUMPRODUCT(($B$21:$B$30&lt;&gt;"")*($B$21:$B$30&lt;=I137)*(($C$21:$C$30="")+($C$21:$C$30&lt;&gt;"")*($C$21:$C$30&gt;=I137))*($E$21:$E$30="Monthly")*$D$21:$D$30)+SUMPRODUCT(($B$21:$B$30&lt;&gt;"")*($B$21:$B$30&lt;=I137)*(($C$21:$C$30="")+($C$21:$C$30&lt;&gt;"")*($C$21:$C$30&gt;=I137))*($E$21:$E$30="Annual")*(MONTH($B$21:$B$30)=MONTH(I137))*$D$21:$D$30)+SUMPRODUCT(($B$34:$B$48&lt;&gt;"")*(YEAR($B$34:$B$48)=YEAR(I137))*(MONTH($B$34:$B$48)=MONTH(I137))*$C$34:$C$48)),"")</f>
        <v/>
      </c>
      <c r="M137" s="9">
        <f>IF(H137&lt;&gt;"",ROUND(M136-L137,2),"")</f>
        <v/>
      </c>
      <c r="N137" s="10">
        <f>IF(H137&lt;&gt;"",N136+L137,"")</f>
        <v/>
      </c>
      <c r="O137" s="10">
        <f>IF(H137&lt;&gt;"",O136+K137,"")</f>
        <v/>
      </c>
    </row>
    <row r="138">
      <c r="H138" s="12">
        <f>IF(AND(M137&gt;0.005,H137&lt;&gt;""),136,"")</f>
        <v/>
      </c>
      <c r="I138" s="13">
        <f>IF(H138&lt;&gt;"",EDATE(StartDate,135),"")</f>
        <v/>
      </c>
      <c r="J138" s="14">
        <f>IF(H138&lt;&gt;"",MIN(MonthlyPmt,M137+K138),"")</f>
        <v/>
      </c>
      <c r="K138" s="14">
        <f>IF(H138&lt;&gt;"",ROUND(M137*AnnualRate/12,2),"")</f>
        <v/>
      </c>
      <c r="L138" s="14">
        <f>IF(H138&lt;&gt;"",MIN(M137,(J138-K138)+SUMPRODUCT(($B$21:$B$30&lt;&gt;"")*($B$21:$B$30&lt;=I138)*(($C$21:$C$30="")+($C$21:$C$30&lt;&gt;"")*($C$21:$C$30&gt;=I138))*($E$21:$E$30="Monthly")*$D$21:$D$30)+SUMPRODUCT(($B$21:$B$30&lt;&gt;"")*($B$21:$B$30&lt;=I138)*(($C$21:$C$30="")+($C$21:$C$30&lt;&gt;"")*($C$21:$C$30&gt;=I138))*($E$21:$E$30="Annual")*(MONTH($B$21:$B$30)=MONTH(I138))*$D$21:$D$30)+SUMPRODUCT(($B$34:$B$48&lt;&gt;"")*(YEAR($B$34:$B$48)=YEAR(I138))*(MONTH($B$34:$B$48)=MONTH(I138))*$C$34:$C$48)),"")</f>
        <v/>
      </c>
      <c r="M138" s="14">
        <f>IF(H138&lt;&gt;"",ROUND(M137-L138,2),"")</f>
        <v/>
      </c>
      <c r="N138" s="10">
        <f>IF(H138&lt;&gt;"",N137+L138,"")</f>
        <v/>
      </c>
      <c r="O138" s="10">
        <f>IF(H138&lt;&gt;"",O137+K138,"")</f>
        <v/>
      </c>
    </row>
    <row r="139">
      <c r="H139" s="7">
        <f>IF(AND(M138&gt;0.005,H138&lt;&gt;""),137,"")</f>
        <v/>
      </c>
      <c r="I139" s="8">
        <f>IF(H139&lt;&gt;"",EDATE(StartDate,136),"")</f>
        <v/>
      </c>
      <c r="J139" s="9">
        <f>IF(H139&lt;&gt;"",MIN(MonthlyPmt,M138+K139),"")</f>
        <v/>
      </c>
      <c r="K139" s="9">
        <f>IF(H139&lt;&gt;"",ROUND(M138*AnnualRate/12,2),"")</f>
        <v/>
      </c>
      <c r="L139" s="9">
        <f>IF(H139&lt;&gt;"",MIN(M138,(J139-K139)+SUMPRODUCT(($B$21:$B$30&lt;&gt;"")*($B$21:$B$30&lt;=I139)*(($C$21:$C$30="")+($C$21:$C$30&lt;&gt;"")*($C$21:$C$30&gt;=I139))*($E$21:$E$30="Monthly")*$D$21:$D$30)+SUMPRODUCT(($B$21:$B$30&lt;&gt;"")*($B$21:$B$30&lt;=I139)*(($C$21:$C$30="")+($C$21:$C$30&lt;&gt;"")*($C$21:$C$30&gt;=I139))*($E$21:$E$30="Annual")*(MONTH($B$21:$B$30)=MONTH(I139))*$D$21:$D$30)+SUMPRODUCT(($B$34:$B$48&lt;&gt;"")*(YEAR($B$34:$B$48)=YEAR(I139))*(MONTH($B$34:$B$48)=MONTH(I139))*$C$34:$C$48)),"")</f>
        <v/>
      </c>
      <c r="M139" s="9">
        <f>IF(H139&lt;&gt;"",ROUND(M138-L139,2),"")</f>
        <v/>
      </c>
      <c r="N139" s="10">
        <f>IF(H139&lt;&gt;"",N138+L139,"")</f>
        <v/>
      </c>
      <c r="O139" s="10">
        <f>IF(H139&lt;&gt;"",O138+K139,"")</f>
        <v/>
      </c>
    </row>
    <row r="140">
      <c r="H140" s="12">
        <f>IF(AND(M139&gt;0.005,H139&lt;&gt;""),138,"")</f>
        <v/>
      </c>
      <c r="I140" s="13">
        <f>IF(H140&lt;&gt;"",EDATE(StartDate,137),"")</f>
        <v/>
      </c>
      <c r="J140" s="14">
        <f>IF(H140&lt;&gt;"",MIN(MonthlyPmt,M139+K140),"")</f>
        <v/>
      </c>
      <c r="K140" s="14">
        <f>IF(H140&lt;&gt;"",ROUND(M139*AnnualRate/12,2),"")</f>
        <v/>
      </c>
      <c r="L140" s="14">
        <f>IF(H140&lt;&gt;"",MIN(M139,(J140-K140)+SUMPRODUCT(($B$21:$B$30&lt;&gt;"")*($B$21:$B$30&lt;=I140)*(($C$21:$C$30="")+($C$21:$C$30&lt;&gt;"")*($C$21:$C$30&gt;=I140))*($E$21:$E$30="Monthly")*$D$21:$D$30)+SUMPRODUCT(($B$21:$B$30&lt;&gt;"")*($B$21:$B$30&lt;=I140)*(($C$21:$C$30="")+($C$21:$C$30&lt;&gt;"")*($C$21:$C$30&gt;=I140))*($E$21:$E$30="Annual")*(MONTH($B$21:$B$30)=MONTH(I140))*$D$21:$D$30)+SUMPRODUCT(($B$34:$B$48&lt;&gt;"")*(YEAR($B$34:$B$48)=YEAR(I140))*(MONTH($B$34:$B$48)=MONTH(I140))*$C$34:$C$48)),"")</f>
        <v/>
      </c>
      <c r="M140" s="14">
        <f>IF(H140&lt;&gt;"",ROUND(M139-L140,2),"")</f>
        <v/>
      </c>
      <c r="N140" s="10">
        <f>IF(H140&lt;&gt;"",N139+L140,"")</f>
        <v/>
      </c>
      <c r="O140" s="10">
        <f>IF(H140&lt;&gt;"",O139+K140,"")</f>
        <v/>
      </c>
    </row>
    <row r="141">
      <c r="H141" s="7">
        <f>IF(AND(M140&gt;0.005,H140&lt;&gt;""),139,"")</f>
        <v/>
      </c>
      <c r="I141" s="8">
        <f>IF(H141&lt;&gt;"",EDATE(StartDate,138),"")</f>
        <v/>
      </c>
      <c r="J141" s="9">
        <f>IF(H141&lt;&gt;"",MIN(MonthlyPmt,M140+K141),"")</f>
        <v/>
      </c>
      <c r="K141" s="9">
        <f>IF(H141&lt;&gt;"",ROUND(M140*AnnualRate/12,2),"")</f>
        <v/>
      </c>
      <c r="L141" s="9">
        <f>IF(H141&lt;&gt;"",MIN(M140,(J141-K141)+SUMPRODUCT(($B$21:$B$30&lt;&gt;"")*($B$21:$B$30&lt;=I141)*(($C$21:$C$30="")+($C$21:$C$30&lt;&gt;"")*($C$21:$C$30&gt;=I141))*($E$21:$E$30="Monthly")*$D$21:$D$30)+SUMPRODUCT(($B$21:$B$30&lt;&gt;"")*($B$21:$B$30&lt;=I141)*(($C$21:$C$30="")+($C$21:$C$30&lt;&gt;"")*($C$21:$C$30&gt;=I141))*($E$21:$E$30="Annual")*(MONTH($B$21:$B$30)=MONTH(I141))*$D$21:$D$30)+SUMPRODUCT(($B$34:$B$48&lt;&gt;"")*(YEAR($B$34:$B$48)=YEAR(I141))*(MONTH($B$34:$B$48)=MONTH(I141))*$C$34:$C$48)),"")</f>
        <v/>
      </c>
      <c r="M141" s="9">
        <f>IF(H141&lt;&gt;"",ROUND(M140-L141,2),"")</f>
        <v/>
      </c>
      <c r="N141" s="10">
        <f>IF(H141&lt;&gt;"",N140+L141,"")</f>
        <v/>
      </c>
      <c r="O141" s="10">
        <f>IF(H141&lt;&gt;"",O140+K141,"")</f>
        <v/>
      </c>
    </row>
    <row r="142">
      <c r="H142" s="12">
        <f>IF(AND(M141&gt;0.005,H141&lt;&gt;""),140,"")</f>
        <v/>
      </c>
      <c r="I142" s="13">
        <f>IF(H142&lt;&gt;"",EDATE(StartDate,139),"")</f>
        <v/>
      </c>
      <c r="J142" s="14">
        <f>IF(H142&lt;&gt;"",MIN(MonthlyPmt,M141+K142),"")</f>
        <v/>
      </c>
      <c r="K142" s="14">
        <f>IF(H142&lt;&gt;"",ROUND(M141*AnnualRate/12,2),"")</f>
        <v/>
      </c>
      <c r="L142" s="14">
        <f>IF(H142&lt;&gt;"",MIN(M141,(J142-K142)+SUMPRODUCT(($B$21:$B$30&lt;&gt;"")*($B$21:$B$30&lt;=I142)*(($C$21:$C$30="")+($C$21:$C$30&lt;&gt;"")*($C$21:$C$30&gt;=I142))*($E$21:$E$30="Monthly")*$D$21:$D$30)+SUMPRODUCT(($B$21:$B$30&lt;&gt;"")*($B$21:$B$30&lt;=I142)*(($C$21:$C$30="")+($C$21:$C$30&lt;&gt;"")*($C$21:$C$30&gt;=I142))*($E$21:$E$30="Annual")*(MONTH($B$21:$B$30)=MONTH(I142))*$D$21:$D$30)+SUMPRODUCT(($B$34:$B$48&lt;&gt;"")*(YEAR($B$34:$B$48)=YEAR(I142))*(MONTH($B$34:$B$48)=MONTH(I142))*$C$34:$C$48)),"")</f>
        <v/>
      </c>
      <c r="M142" s="14">
        <f>IF(H142&lt;&gt;"",ROUND(M141-L142,2),"")</f>
        <v/>
      </c>
      <c r="N142" s="10">
        <f>IF(H142&lt;&gt;"",N141+L142,"")</f>
        <v/>
      </c>
      <c r="O142" s="10">
        <f>IF(H142&lt;&gt;"",O141+K142,"")</f>
        <v/>
      </c>
    </row>
    <row r="143">
      <c r="H143" s="7">
        <f>IF(AND(M142&gt;0.005,H142&lt;&gt;""),141,"")</f>
        <v/>
      </c>
      <c r="I143" s="8">
        <f>IF(H143&lt;&gt;"",EDATE(StartDate,140),"")</f>
        <v/>
      </c>
      <c r="J143" s="9">
        <f>IF(H143&lt;&gt;"",MIN(MonthlyPmt,M142+K143),"")</f>
        <v/>
      </c>
      <c r="K143" s="9">
        <f>IF(H143&lt;&gt;"",ROUND(M142*AnnualRate/12,2),"")</f>
        <v/>
      </c>
      <c r="L143" s="9">
        <f>IF(H143&lt;&gt;"",MIN(M142,(J143-K143)+SUMPRODUCT(($B$21:$B$30&lt;&gt;"")*($B$21:$B$30&lt;=I143)*(($C$21:$C$30="")+($C$21:$C$30&lt;&gt;"")*($C$21:$C$30&gt;=I143))*($E$21:$E$30="Monthly")*$D$21:$D$30)+SUMPRODUCT(($B$21:$B$30&lt;&gt;"")*($B$21:$B$30&lt;=I143)*(($C$21:$C$30="")+($C$21:$C$30&lt;&gt;"")*($C$21:$C$30&gt;=I143))*($E$21:$E$30="Annual")*(MONTH($B$21:$B$30)=MONTH(I143))*$D$21:$D$30)+SUMPRODUCT(($B$34:$B$48&lt;&gt;"")*(YEAR($B$34:$B$48)=YEAR(I143))*(MONTH($B$34:$B$48)=MONTH(I143))*$C$34:$C$48)),"")</f>
        <v/>
      </c>
      <c r="M143" s="9">
        <f>IF(H143&lt;&gt;"",ROUND(M142-L143,2),"")</f>
        <v/>
      </c>
      <c r="N143" s="10">
        <f>IF(H143&lt;&gt;"",N142+L143,"")</f>
        <v/>
      </c>
      <c r="O143" s="10">
        <f>IF(H143&lt;&gt;"",O142+K143,"")</f>
        <v/>
      </c>
    </row>
    <row r="144">
      <c r="H144" s="12">
        <f>IF(AND(M143&gt;0.005,H143&lt;&gt;""),142,"")</f>
        <v/>
      </c>
      <c r="I144" s="13">
        <f>IF(H144&lt;&gt;"",EDATE(StartDate,141),"")</f>
        <v/>
      </c>
      <c r="J144" s="14">
        <f>IF(H144&lt;&gt;"",MIN(MonthlyPmt,M143+K144),"")</f>
        <v/>
      </c>
      <c r="K144" s="14">
        <f>IF(H144&lt;&gt;"",ROUND(M143*AnnualRate/12,2),"")</f>
        <v/>
      </c>
      <c r="L144" s="14">
        <f>IF(H144&lt;&gt;"",MIN(M143,(J144-K144)+SUMPRODUCT(($B$21:$B$30&lt;&gt;"")*($B$21:$B$30&lt;=I144)*(($C$21:$C$30="")+($C$21:$C$30&lt;&gt;"")*($C$21:$C$30&gt;=I144))*($E$21:$E$30="Monthly")*$D$21:$D$30)+SUMPRODUCT(($B$21:$B$30&lt;&gt;"")*($B$21:$B$30&lt;=I144)*(($C$21:$C$30="")+($C$21:$C$30&lt;&gt;"")*($C$21:$C$30&gt;=I144))*($E$21:$E$30="Annual")*(MONTH($B$21:$B$30)=MONTH(I144))*$D$21:$D$30)+SUMPRODUCT(($B$34:$B$48&lt;&gt;"")*(YEAR($B$34:$B$48)=YEAR(I144))*(MONTH($B$34:$B$48)=MONTH(I144))*$C$34:$C$48)),"")</f>
        <v/>
      </c>
      <c r="M144" s="14">
        <f>IF(H144&lt;&gt;"",ROUND(M143-L144,2),"")</f>
        <v/>
      </c>
      <c r="N144" s="10">
        <f>IF(H144&lt;&gt;"",N143+L144,"")</f>
        <v/>
      </c>
      <c r="O144" s="10">
        <f>IF(H144&lt;&gt;"",O143+K144,"")</f>
        <v/>
      </c>
    </row>
    <row r="145">
      <c r="H145" s="7">
        <f>IF(AND(M144&gt;0.005,H144&lt;&gt;""),143,"")</f>
        <v/>
      </c>
      <c r="I145" s="8">
        <f>IF(H145&lt;&gt;"",EDATE(StartDate,142),"")</f>
        <v/>
      </c>
      <c r="J145" s="9">
        <f>IF(H145&lt;&gt;"",MIN(MonthlyPmt,M144+K145),"")</f>
        <v/>
      </c>
      <c r="K145" s="9">
        <f>IF(H145&lt;&gt;"",ROUND(M144*AnnualRate/12,2),"")</f>
        <v/>
      </c>
      <c r="L145" s="9">
        <f>IF(H145&lt;&gt;"",MIN(M144,(J145-K145)+SUMPRODUCT(($B$21:$B$30&lt;&gt;"")*($B$21:$B$30&lt;=I145)*(($C$21:$C$30="")+($C$21:$C$30&lt;&gt;"")*($C$21:$C$30&gt;=I145))*($E$21:$E$30="Monthly")*$D$21:$D$30)+SUMPRODUCT(($B$21:$B$30&lt;&gt;"")*($B$21:$B$30&lt;=I145)*(($C$21:$C$30="")+($C$21:$C$30&lt;&gt;"")*($C$21:$C$30&gt;=I145))*($E$21:$E$30="Annual")*(MONTH($B$21:$B$30)=MONTH(I145))*$D$21:$D$30)+SUMPRODUCT(($B$34:$B$48&lt;&gt;"")*(YEAR($B$34:$B$48)=YEAR(I145))*(MONTH($B$34:$B$48)=MONTH(I145))*$C$34:$C$48)),"")</f>
        <v/>
      </c>
      <c r="M145" s="9">
        <f>IF(H145&lt;&gt;"",ROUND(M144-L145,2),"")</f>
        <v/>
      </c>
      <c r="N145" s="10">
        <f>IF(H145&lt;&gt;"",N144+L145,"")</f>
        <v/>
      </c>
      <c r="O145" s="10">
        <f>IF(H145&lt;&gt;"",O144+K145,"")</f>
        <v/>
      </c>
    </row>
    <row r="146">
      <c r="H146" s="12">
        <f>IF(AND(M145&gt;0.005,H145&lt;&gt;""),144,"")</f>
        <v/>
      </c>
      <c r="I146" s="13">
        <f>IF(H146&lt;&gt;"",EDATE(StartDate,143),"")</f>
        <v/>
      </c>
      <c r="J146" s="14">
        <f>IF(H146&lt;&gt;"",MIN(MonthlyPmt,M145+K146),"")</f>
        <v/>
      </c>
      <c r="K146" s="14">
        <f>IF(H146&lt;&gt;"",ROUND(M145*AnnualRate/12,2),"")</f>
        <v/>
      </c>
      <c r="L146" s="14">
        <f>IF(H146&lt;&gt;"",MIN(M145,(J146-K146)+SUMPRODUCT(($B$21:$B$30&lt;&gt;"")*($B$21:$B$30&lt;=I146)*(($C$21:$C$30="")+($C$21:$C$30&lt;&gt;"")*($C$21:$C$30&gt;=I146))*($E$21:$E$30="Monthly")*$D$21:$D$30)+SUMPRODUCT(($B$21:$B$30&lt;&gt;"")*($B$21:$B$30&lt;=I146)*(($C$21:$C$30="")+($C$21:$C$30&lt;&gt;"")*($C$21:$C$30&gt;=I146))*($E$21:$E$30="Annual")*(MONTH($B$21:$B$30)=MONTH(I146))*$D$21:$D$30)+SUMPRODUCT(($B$34:$B$48&lt;&gt;"")*(YEAR($B$34:$B$48)=YEAR(I146))*(MONTH($B$34:$B$48)=MONTH(I146))*$C$34:$C$48)),"")</f>
        <v/>
      </c>
      <c r="M146" s="14">
        <f>IF(H146&lt;&gt;"",ROUND(M145-L146,2),"")</f>
        <v/>
      </c>
      <c r="N146" s="10">
        <f>IF(H146&lt;&gt;"",N145+L146,"")</f>
        <v/>
      </c>
      <c r="O146" s="10">
        <f>IF(H146&lt;&gt;"",O145+K146,"")</f>
        <v/>
      </c>
    </row>
    <row r="147">
      <c r="H147" s="7">
        <f>IF(AND(M146&gt;0.005,H146&lt;&gt;""),145,"")</f>
        <v/>
      </c>
      <c r="I147" s="8">
        <f>IF(H147&lt;&gt;"",EDATE(StartDate,144),"")</f>
        <v/>
      </c>
      <c r="J147" s="9">
        <f>IF(H147&lt;&gt;"",MIN(MonthlyPmt,M146+K147),"")</f>
        <v/>
      </c>
      <c r="K147" s="9">
        <f>IF(H147&lt;&gt;"",ROUND(M146*AnnualRate/12,2),"")</f>
        <v/>
      </c>
      <c r="L147" s="9">
        <f>IF(H147&lt;&gt;"",MIN(M146,(J147-K147)+SUMPRODUCT(($B$21:$B$30&lt;&gt;"")*($B$21:$B$30&lt;=I147)*(($C$21:$C$30="")+($C$21:$C$30&lt;&gt;"")*($C$21:$C$30&gt;=I147))*($E$21:$E$30="Monthly")*$D$21:$D$30)+SUMPRODUCT(($B$21:$B$30&lt;&gt;"")*($B$21:$B$30&lt;=I147)*(($C$21:$C$30="")+($C$21:$C$30&lt;&gt;"")*($C$21:$C$30&gt;=I147))*($E$21:$E$30="Annual")*(MONTH($B$21:$B$30)=MONTH(I147))*$D$21:$D$30)+SUMPRODUCT(($B$34:$B$48&lt;&gt;"")*(YEAR($B$34:$B$48)=YEAR(I147))*(MONTH($B$34:$B$48)=MONTH(I147))*$C$34:$C$48)),"")</f>
        <v/>
      </c>
      <c r="M147" s="9">
        <f>IF(H147&lt;&gt;"",ROUND(M146-L147,2),"")</f>
        <v/>
      </c>
      <c r="N147" s="10">
        <f>IF(H147&lt;&gt;"",N146+L147,"")</f>
        <v/>
      </c>
      <c r="O147" s="10">
        <f>IF(H147&lt;&gt;"",O146+K147,"")</f>
        <v/>
      </c>
    </row>
    <row r="148">
      <c r="H148" s="12">
        <f>IF(AND(M147&gt;0.005,H147&lt;&gt;""),146,"")</f>
        <v/>
      </c>
      <c r="I148" s="13">
        <f>IF(H148&lt;&gt;"",EDATE(StartDate,145),"")</f>
        <v/>
      </c>
      <c r="J148" s="14">
        <f>IF(H148&lt;&gt;"",MIN(MonthlyPmt,M147+K148),"")</f>
        <v/>
      </c>
      <c r="K148" s="14">
        <f>IF(H148&lt;&gt;"",ROUND(M147*AnnualRate/12,2),"")</f>
        <v/>
      </c>
      <c r="L148" s="14">
        <f>IF(H148&lt;&gt;"",MIN(M147,(J148-K148)+SUMPRODUCT(($B$21:$B$30&lt;&gt;"")*($B$21:$B$30&lt;=I148)*(($C$21:$C$30="")+($C$21:$C$30&lt;&gt;"")*($C$21:$C$30&gt;=I148))*($E$21:$E$30="Monthly")*$D$21:$D$30)+SUMPRODUCT(($B$21:$B$30&lt;&gt;"")*($B$21:$B$30&lt;=I148)*(($C$21:$C$30="")+($C$21:$C$30&lt;&gt;"")*($C$21:$C$30&gt;=I148))*($E$21:$E$30="Annual")*(MONTH($B$21:$B$30)=MONTH(I148))*$D$21:$D$30)+SUMPRODUCT(($B$34:$B$48&lt;&gt;"")*(YEAR($B$34:$B$48)=YEAR(I148))*(MONTH($B$34:$B$48)=MONTH(I148))*$C$34:$C$48)),"")</f>
        <v/>
      </c>
      <c r="M148" s="14">
        <f>IF(H148&lt;&gt;"",ROUND(M147-L148,2),"")</f>
        <v/>
      </c>
      <c r="N148" s="10">
        <f>IF(H148&lt;&gt;"",N147+L148,"")</f>
        <v/>
      </c>
      <c r="O148" s="10">
        <f>IF(H148&lt;&gt;"",O147+K148,"")</f>
        <v/>
      </c>
    </row>
    <row r="149">
      <c r="H149" s="7">
        <f>IF(AND(M148&gt;0.005,H148&lt;&gt;""),147,"")</f>
        <v/>
      </c>
      <c r="I149" s="8">
        <f>IF(H149&lt;&gt;"",EDATE(StartDate,146),"")</f>
        <v/>
      </c>
      <c r="J149" s="9">
        <f>IF(H149&lt;&gt;"",MIN(MonthlyPmt,M148+K149),"")</f>
        <v/>
      </c>
      <c r="K149" s="9">
        <f>IF(H149&lt;&gt;"",ROUND(M148*AnnualRate/12,2),"")</f>
        <v/>
      </c>
      <c r="L149" s="9">
        <f>IF(H149&lt;&gt;"",MIN(M148,(J149-K149)+SUMPRODUCT(($B$21:$B$30&lt;&gt;"")*($B$21:$B$30&lt;=I149)*(($C$21:$C$30="")+($C$21:$C$30&lt;&gt;"")*($C$21:$C$30&gt;=I149))*($E$21:$E$30="Monthly")*$D$21:$D$30)+SUMPRODUCT(($B$21:$B$30&lt;&gt;"")*($B$21:$B$30&lt;=I149)*(($C$21:$C$30="")+($C$21:$C$30&lt;&gt;"")*($C$21:$C$30&gt;=I149))*($E$21:$E$30="Annual")*(MONTH($B$21:$B$30)=MONTH(I149))*$D$21:$D$30)+SUMPRODUCT(($B$34:$B$48&lt;&gt;"")*(YEAR($B$34:$B$48)=YEAR(I149))*(MONTH($B$34:$B$48)=MONTH(I149))*$C$34:$C$48)),"")</f>
        <v/>
      </c>
      <c r="M149" s="9">
        <f>IF(H149&lt;&gt;"",ROUND(M148-L149,2),"")</f>
        <v/>
      </c>
      <c r="N149" s="10">
        <f>IF(H149&lt;&gt;"",N148+L149,"")</f>
        <v/>
      </c>
      <c r="O149" s="10">
        <f>IF(H149&lt;&gt;"",O148+K149,"")</f>
        <v/>
      </c>
    </row>
    <row r="150">
      <c r="H150" s="12">
        <f>IF(AND(M149&gt;0.005,H149&lt;&gt;""),148,"")</f>
        <v/>
      </c>
      <c r="I150" s="13">
        <f>IF(H150&lt;&gt;"",EDATE(StartDate,147),"")</f>
        <v/>
      </c>
      <c r="J150" s="14">
        <f>IF(H150&lt;&gt;"",MIN(MonthlyPmt,M149+K150),"")</f>
        <v/>
      </c>
      <c r="K150" s="14">
        <f>IF(H150&lt;&gt;"",ROUND(M149*AnnualRate/12,2),"")</f>
        <v/>
      </c>
      <c r="L150" s="14">
        <f>IF(H150&lt;&gt;"",MIN(M149,(J150-K150)+SUMPRODUCT(($B$21:$B$30&lt;&gt;"")*($B$21:$B$30&lt;=I150)*(($C$21:$C$30="")+($C$21:$C$30&lt;&gt;"")*($C$21:$C$30&gt;=I150))*($E$21:$E$30="Monthly")*$D$21:$D$30)+SUMPRODUCT(($B$21:$B$30&lt;&gt;"")*($B$21:$B$30&lt;=I150)*(($C$21:$C$30="")+($C$21:$C$30&lt;&gt;"")*($C$21:$C$30&gt;=I150))*($E$21:$E$30="Annual")*(MONTH($B$21:$B$30)=MONTH(I150))*$D$21:$D$30)+SUMPRODUCT(($B$34:$B$48&lt;&gt;"")*(YEAR($B$34:$B$48)=YEAR(I150))*(MONTH($B$34:$B$48)=MONTH(I150))*$C$34:$C$48)),"")</f>
        <v/>
      </c>
      <c r="M150" s="14">
        <f>IF(H150&lt;&gt;"",ROUND(M149-L150,2),"")</f>
        <v/>
      </c>
      <c r="N150" s="10">
        <f>IF(H150&lt;&gt;"",N149+L150,"")</f>
        <v/>
      </c>
      <c r="O150" s="10">
        <f>IF(H150&lt;&gt;"",O149+K150,"")</f>
        <v/>
      </c>
    </row>
    <row r="151">
      <c r="H151" s="7">
        <f>IF(AND(M150&gt;0.005,H150&lt;&gt;""),149,"")</f>
        <v/>
      </c>
      <c r="I151" s="8">
        <f>IF(H151&lt;&gt;"",EDATE(StartDate,148),"")</f>
        <v/>
      </c>
      <c r="J151" s="9">
        <f>IF(H151&lt;&gt;"",MIN(MonthlyPmt,M150+K151),"")</f>
        <v/>
      </c>
      <c r="K151" s="9">
        <f>IF(H151&lt;&gt;"",ROUND(M150*AnnualRate/12,2),"")</f>
        <v/>
      </c>
      <c r="L151" s="9">
        <f>IF(H151&lt;&gt;"",MIN(M150,(J151-K151)+SUMPRODUCT(($B$21:$B$30&lt;&gt;"")*($B$21:$B$30&lt;=I151)*(($C$21:$C$30="")+($C$21:$C$30&lt;&gt;"")*($C$21:$C$30&gt;=I151))*($E$21:$E$30="Monthly")*$D$21:$D$30)+SUMPRODUCT(($B$21:$B$30&lt;&gt;"")*($B$21:$B$30&lt;=I151)*(($C$21:$C$30="")+($C$21:$C$30&lt;&gt;"")*($C$21:$C$30&gt;=I151))*($E$21:$E$30="Annual")*(MONTH($B$21:$B$30)=MONTH(I151))*$D$21:$D$30)+SUMPRODUCT(($B$34:$B$48&lt;&gt;"")*(YEAR($B$34:$B$48)=YEAR(I151))*(MONTH($B$34:$B$48)=MONTH(I151))*$C$34:$C$48)),"")</f>
        <v/>
      </c>
      <c r="M151" s="9">
        <f>IF(H151&lt;&gt;"",ROUND(M150-L151,2),"")</f>
        <v/>
      </c>
      <c r="N151" s="10">
        <f>IF(H151&lt;&gt;"",N150+L151,"")</f>
        <v/>
      </c>
      <c r="O151" s="10">
        <f>IF(H151&lt;&gt;"",O150+K151,"")</f>
        <v/>
      </c>
    </row>
    <row r="152">
      <c r="H152" s="12">
        <f>IF(AND(M151&gt;0.005,H151&lt;&gt;""),150,"")</f>
        <v/>
      </c>
      <c r="I152" s="13">
        <f>IF(H152&lt;&gt;"",EDATE(StartDate,149),"")</f>
        <v/>
      </c>
      <c r="J152" s="14">
        <f>IF(H152&lt;&gt;"",MIN(MonthlyPmt,M151+K152),"")</f>
        <v/>
      </c>
      <c r="K152" s="14">
        <f>IF(H152&lt;&gt;"",ROUND(M151*AnnualRate/12,2),"")</f>
        <v/>
      </c>
      <c r="L152" s="14">
        <f>IF(H152&lt;&gt;"",MIN(M151,(J152-K152)+SUMPRODUCT(($B$21:$B$30&lt;&gt;"")*($B$21:$B$30&lt;=I152)*(($C$21:$C$30="")+($C$21:$C$30&lt;&gt;"")*($C$21:$C$30&gt;=I152))*($E$21:$E$30="Monthly")*$D$21:$D$30)+SUMPRODUCT(($B$21:$B$30&lt;&gt;"")*($B$21:$B$30&lt;=I152)*(($C$21:$C$30="")+($C$21:$C$30&lt;&gt;"")*($C$21:$C$30&gt;=I152))*($E$21:$E$30="Annual")*(MONTH($B$21:$B$30)=MONTH(I152))*$D$21:$D$30)+SUMPRODUCT(($B$34:$B$48&lt;&gt;"")*(YEAR($B$34:$B$48)=YEAR(I152))*(MONTH($B$34:$B$48)=MONTH(I152))*$C$34:$C$48)),"")</f>
        <v/>
      </c>
      <c r="M152" s="14">
        <f>IF(H152&lt;&gt;"",ROUND(M151-L152,2),"")</f>
        <v/>
      </c>
      <c r="N152" s="10">
        <f>IF(H152&lt;&gt;"",N151+L152,"")</f>
        <v/>
      </c>
      <c r="O152" s="10">
        <f>IF(H152&lt;&gt;"",O151+K152,"")</f>
        <v/>
      </c>
    </row>
    <row r="153">
      <c r="H153" s="7">
        <f>IF(AND(M152&gt;0.005,H152&lt;&gt;""),151,"")</f>
        <v/>
      </c>
      <c r="I153" s="8">
        <f>IF(H153&lt;&gt;"",EDATE(StartDate,150),"")</f>
        <v/>
      </c>
      <c r="J153" s="9">
        <f>IF(H153&lt;&gt;"",MIN(MonthlyPmt,M152+K153),"")</f>
        <v/>
      </c>
      <c r="K153" s="9">
        <f>IF(H153&lt;&gt;"",ROUND(M152*AnnualRate/12,2),"")</f>
        <v/>
      </c>
      <c r="L153" s="9">
        <f>IF(H153&lt;&gt;"",MIN(M152,(J153-K153)+SUMPRODUCT(($B$21:$B$30&lt;&gt;"")*($B$21:$B$30&lt;=I153)*(($C$21:$C$30="")+($C$21:$C$30&lt;&gt;"")*($C$21:$C$30&gt;=I153))*($E$21:$E$30="Monthly")*$D$21:$D$30)+SUMPRODUCT(($B$21:$B$30&lt;&gt;"")*($B$21:$B$30&lt;=I153)*(($C$21:$C$30="")+($C$21:$C$30&lt;&gt;"")*($C$21:$C$30&gt;=I153))*($E$21:$E$30="Annual")*(MONTH($B$21:$B$30)=MONTH(I153))*$D$21:$D$30)+SUMPRODUCT(($B$34:$B$48&lt;&gt;"")*(YEAR($B$34:$B$48)=YEAR(I153))*(MONTH($B$34:$B$48)=MONTH(I153))*$C$34:$C$48)),"")</f>
        <v/>
      </c>
      <c r="M153" s="9">
        <f>IF(H153&lt;&gt;"",ROUND(M152-L153,2),"")</f>
        <v/>
      </c>
      <c r="N153" s="10">
        <f>IF(H153&lt;&gt;"",N152+L153,"")</f>
        <v/>
      </c>
      <c r="O153" s="10">
        <f>IF(H153&lt;&gt;"",O152+K153,"")</f>
        <v/>
      </c>
    </row>
    <row r="154">
      <c r="H154" s="12">
        <f>IF(AND(M153&gt;0.005,H153&lt;&gt;""),152,"")</f>
        <v/>
      </c>
      <c r="I154" s="13">
        <f>IF(H154&lt;&gt;"",EDATE(StartDate,151),"")</f>
        <v/>
      </c>
      <c r="J154" s="14">
        <f>IF(H154&lt;&gt;"",MIN(MonthlyPmt,M153+K154),"")</f>
        <v/>
      </c>
      <c r="K154" s="14">
        <f>IF(H154&lt;&gt;"",ROUND(M153*AnnualRate/12,2),"")</f>
        <v/>
      </c>
      <c r="L154" s="14">
        <f>IF(H154&lt;&gt;"",MIN(M153,(J154-K154)+SUMPRODUCT(($B$21:$B$30&lt;&gt;"")*($B$21:$B$30&lt;=I154)*(($C$21:$C$30="")+($C$21:$C$30&lt;&gt;"")*($C$21:$C$30&gt;=I154))*($E$21:$E$30="Monthly")*$D$21:$D$30)+SUMPRODUCT(($B$21:$B$30&lt;&gt;"")*($B$21:$B$30&lt;=I154)*(($C$21:$C$30="")+($C$21:$C$30&lt;&gt;"")*($C$21:$C$30&gt;=I154))*($E$21:$E$30="Annual")*(MONTH($B$21:$B$30)=MONTH(I154))*$D$21:$D$30)+SUMPRODUCT(($B$34:$B$48&lt;&gt;"")*(YEAR($B$34:$B$48)=YEAR(I154))*(MONTH($B$34:$B$48)=MONTH(I154))*$C$34:$C$48)),"")</f>
        <v/>
      </c>
      <c r="M154" s="14">
        <f>IF(H154&lt;&gt;"",ROUND(M153-L154,2),"")</f>
        <v/>
      </c>
      <c r="N154" s="10">
        <f>IF(H154&lt;&gt;"",N153+L154,"")</f>
        <v/>
      </c>
      <c r="O154" s="10">
        <f>IF(H154&lt;&gt;"",O153+K154,"")</f>
        <v/>
      </c>
    </row>
    <row r="155">
      <c r="H155" s="7">
        <f>IF(AND(M154&gt;0.005,H154&lt;&gt;""),153,"")</f>
        <v/>
      </c>
      <c r="I155" s="8">
        <f>IF(H155&lt;&gt;"",EDATE(StartDate,152),"")</f>
        <v/>
      </c>
      <c r="J155" s="9">
        <f>IF(H155&lt;&gt;"",MIN(MonthlyPmt,M154+K155),"")</f>
        <v/>
      </c>
      <c r="K155" s="9">
        <f>IF(H155&lt;&gt;"",ROUND(M154*AnnualRate/12,2),"")</f>
        <v/>
      </c>
      <c r="L155" s="9">
        <f>IF(H155&lt;&gt;"",MIN(M154,(J155-K155)+SUMPRODUCT(($B$21:$B$30&lt;&gt;"")*($B$21:$B$30&lt;=I155)*(($C$21:$C$30="")+($C$21:$C$30&lt;&gt;"")*($C$21:$C$30&gt;=I155))*($E$21:$E$30="Monthly")*$D$21:$D$30)+SUMPRODUCT(($B$21:$B$30&lt;&gt;"")*($B$21:$B$30&lt;=I155)*(($C$21:$C$30="")+($C$21:$C$30&lt;&gt;"")*($C$21:$C$30&gt;=I155))*($E$21:$E$30="Annual")*(MONTH($B$21:$B$30)=MONTH(I155))*$D$21:$D$30)+SUMPRODUCT(($B$34:$B$48&lt;&gt;"")*(YEAR($B$34:$B$48)=YEAR(I155))*(MONTH($B$34:$B$48)=MONTH(I155))*$C$34:$C$48)),"")</f>
        <v/>
      </c>
      <c r="M155" s="9">
        <f>IF(H155&lt;&gt;"",ROUND(M154-L155,2),"")</f>
        <v/>
      </c>
      <c r="N155" s="10">
        <f>IF(H155&lt;&gt;"",N154+L155,"")</f>
        <v/>
      </c>
      <c r="O155" s="10">
        <f>IF(H155&lt;&gt;"",O154+K155,"")</f>
        <v/>
      </c>
    </row>
    <row r="156">
      <c r="H156" s="12">
        <f>IF(AND(M155&gt;0.005,H155&lt;&gt;""),154,"")</f>
        <v/>
      </c>
      <c r="I156" s="13">
        <f>IF(H156&lt;&gt;"",EDATE(StartDate,153),"")</f>
        <v/>
      </c>
      <c r="J156" s="14">
        <f>IF(H156&lt;&gt;"",MIN(MonthlyPmt,M155+K156),"")</f>
        <v/>
      </c>
      <c r="K156" s="14">
        <f>IF(H156&lt;&gt;"",ROUND(M155*AnnualRate/12,2),"")</f>
        <v/>
      </c>
      <c r="L156" s="14">
        <f>IF(H156&lt;&gt;"",MIN(M155,(J156-K156)+SUMPRODUCT(($B$21:$B$30&lt;&gt;"")*($B$21:$B$30&lt;=I156)*(($C$21:$C$30="")+($C$21:$C$30&lt;&gt;"")*($C$21:$C$30&gt;=I156))*($E$21:$E$30="Monthly")*$D$21:$D$30)+SUMPRODUCT(($B$21:$B$30&lt;&gt;"")*($B$21:$B$30&lt;=I156)*(($C$21:$C$30="")+($C$21:$C$30&lt;&gt;"")*($C$21:$C$30&gt;=I156))*($E$21:$E$30="Annual")*(MONTH($B$21:$B$30)=MONTH(I156))*$D$21:$D$30)+SUMPRODUCT(($B$34:$B$48&lt;&gt;"")*(YEAR($B$34:$B$48)=YEAR(I156))*(MONTH($B$34:$B$48)=MONTH(I156))*$C$34:$C$48)),"")</f>
        <v/>
      </c>
      <c r="M156" s="14">
        <f>IF(H156&lt;&gt;"",ROUND(M155-L156,2),"")</f>
        <v/>
      </c>
      <c r="N156" s="10">
        <f>IF(H156&lt;&gt;"",N155+L156,"")</f>
        <v/>
      </c>
      <c r="O156" s="10">
        <f>IF(H156&lt;&gt;"",O155+K156,"")</f>
        <v/>
      </c>
    </row>
    <row r="157">
      <c r="H157" s="7">
        <f>IF(AND(M156&gt;0.005,H156&lt;&gt;""),155,"")</f>
        <v/>
      </c>
      <c r="I157" s="8">
        <f>IF(H157&lt;&gt;"",EDATE(StartDate,154),"")</f>
        <v/>
      </c>
      <c r="J157" s="9">
        <f>IF(H157&lt;&gt;"",MIN(MonthlyPmt,M156+K157),"")</f>
        <v/>
      </c>
      <c r="K157" s="9">
        <f>IF(H157&lt;&gt;"",ROUND(M156*AnnualRate/12,2),"")</f>
        <v/>
      </c>
      <c r="L157" s="9">
        <f>IF(H157&lt;&gt;"",MIN(M156,(J157-K157)+SUMPRODUCT(($B$21:$B$30&lt;&gt;"")*($B$21:$B$30&lt;=I157)*(($C$21:$C$30="")+($C$21:$C$30&lt;&gt;"")*($C$21:$C$30&gt;=I157))*($E$21:$E$30="Monthly")*$D$21:$D$30)+SUMPRODUCT(($B$21:$B$30&lt;&gt;"")*($B$21:$B$30&lt;=I157)*(($C$21:$C$30="")+($C$21:$C$30&lt;&gt;"")*($C$21:$C$30&gt;=I157))*($E$21:$E$30="Annual")*(MONTH($B$21:$B$30)=MONTH(I157))*$D$21:$D$30)+SUMPRODUCT(($B$34:$B$48&lt;&gt;"")*(YEAR($B$34:$B$48)=YEAR(I157))*(MONTH($B$34:$B$48)=MONTH(I157))*$C$34:$C$48)),"")</f>
        <v/>
      </c>
      <c r="M157" s="9">
        <f>IF(H157&lt;&gt;"",ROUND(M156-L157,2),"")</f>
        <v/>
      </c>
      <c r="N157" s="10">
        <f>IF(H157&lt;&gt;"",N156+L157,"")</f>
        <v/>
      </c>
      <c r="O157" s="10">
        <f>IF(H157&lt;&gt;"",O156+K157,"")</f>
        <v/>
      </c>
    </row>
    <row r="158">
      <c r="H158" s="12">
        <f>IF(AND(M157&gt;0.005,H157&lt;&gt;""),156,"")</f>
        <v/>
      </c>
      <c r="I158" s="13">
        <f>IF(H158&lt;&gt;"",EDATE(StartDate,155),"")</f>
        <v/>
      </c>
      <c r="J158" s="14">
        <f>IF(H158&lt;&gt;"",MIN(MonthlyPmt,M157+K158),"")</f>
        <v/>
      </c>
      <c r="K158" s="14">
        <f>IF(H158&lt;&gt;"",ROUND(M157*AnnualRate/12,2),"")</f>
        <v/>
      </c>
      <c r="L158" s="14">
        <f>IF(H158&lt;&gt;"",MIN(M157,(J158-K158)+SUMPRODUCT(($B$21:$B$30&lt;&gt;"")*($B$21:$B$30&lt;=I158)*(($C$21:$C$30="")+($C$21:$C$30&lt;&gt;"")*($C$21:$C$30&gt;=I158))*($E$21:$E$30="Monthly")*$D$21:$D$30)+SUMPRODUCT(($B$21:$B$30&lt;&gt;"")*($B$21:$B$30&lt;=I158)*(($C$21:$C$30="")+($C$21:$C$30&lt;&gt;"")*($C$21:$C$30&gt;=I158))*($E$21:$E$30="Annual")*(MONTH($B$21:$B$30)=MONTH(I158))*$D$21:$D$30)+SUMPRODUCT(($B$34:$B$48&lt;&gt;"")*(YEAR($B$34:$B$48)=YEAR(I158))*(MONTH($B$34:$B$48)=MONTH(I158))*$C$34:$C$48)),"")</f>
        <v/>
      </c>
      <c r="M158" s="14">
        <f>IF(H158&lt;&gt;"",ROUND(M157-L158,2),"")</f>
        <v/>
      </c>
      <c r="N158" s="10">
        <f>IF(H158&lt;&gt;"",N157+L158,"")</f>
        <v/>
      </c>
      <c r="O158" s="10">
        <f>IF(H158&lt;&gt;"",O157+K158,"")</f>
        <v/>
      </c>
    </row>
    <row r="159">
      <c r="H159" s="7">
        <f>IF(AND(M158&gt;0.005,H158&lt;&gt;""),157,"")</f>
        <v/>
      </c>
      <c r="I159" s="8">
        <f>IF(H159&lt;&gt;"",EDATE(StartDate,156),"")</f>
        <v/>
      </c>
      <c r="J159" s="9">
        <f>IF(H159&lt;&gt;"",MIN(MonthlyPmt,M158+K159),"")</f>
        <v/>
      </c>
      <c r="K159" s="9">
        <f>IF(H159&lt;&gt;"",ROUND(M158*AnnualRate/12,2),"")</f>
        <v/>
      </c>
      <c r="L159" s="9">
        <f>IF(H159&lt;&gt;"",MIN(M158,(J159-K159)+SUMPRODUCT(($B$21:$B$30&lt;&gt;"")*($B$21:$B$30&lt;=I159)*(($C$21:$C$30="")+($C$21:$C$30&lt;&gt;"")*($C$21:$C$30&gt;=I159))*($E$21:$E$30="Monthly")*$D$21:$D$30)+SUMPRODUCT(($B$21:$B$30&lt;&gt;"")*($B$21:$B$30&lt;=I159)*(($C$21:$C$30="")+($C$21:$C$30&lt;&gt;"")*($C$21:$C$30&gt;=I159))*($E$21:$E$30="Annual")*(MONTH($B$21:$B$30)=MONTH(I159))*$D$21:$D$30)+SUMPRODUCT(($B$34:$B$48&lt;&gt;"")*(YEAR($B$34:$B$48)=YEAR(I159))*(MONTH($B$34:$B$48)=MONTH(I159))*$C$34:$C$48)),"")</f>
        <v/>
      </c>
      <c r="M159" s="9">
        <f>IF(H159&lt;&gt;"",ROUND(M158-L159,2),"")</f>
        <v/>
      </c>
      <c r="N159" s="10">
        <f>IF(H159&lt;&gt;"",N158+L159,"")</f>
        <v/>
      </c>
      <c r="O159" s="10">
        <f>IF(H159&lt;&gt;"",O158+K159,"")</f>
        <v/>
      </c>
    </row>
    <row r="160">
      <c r="H160" s="12">
        <f>IF(AND(M159&gt;0.005,H159&lt;&gt;""),158,"")</f>
        <v/>
      </c>
      <c r="I160" s="13">
        <f>IF(H160&lt;&gt;"",EDATE(StartDate,157),"")</f>
        <v/>
      </c>
      <c r="J160" s="14">
        <f>IF(H160&lt;&gt;"",MIN(MonthlyPmt,M159+K160),"")</f>
        <v/>
      </c>
      <c r="K160" s="14">
        <f>IF(H160&lt;&gt;"",ROUND(M159*AnnualRate/12,2),"")</f>
        <v/>
      </c>
      <c r="L160" s="14">
        <f>IF(H160&lt;&gt;"",MIN(M159,(J160-K160)+SUMPRODUCT(($B$21:$B$30&lt;&gt;"")*($B$21:$B$30&lt;=I160)*(($C$21:$C$30="")+($C$21:$C$30&lt;&gt;"")*($C$21:$C$30&gt;=I160))*($E$21:$E$30="Monthly")*$D$21:$D$30)+SUMPRODUCT(($B$21:$B$30&lt;&gt;"")*($B$21:$B$30&lt;=I160)*(($C$21:$C$30="")+($C$21:$C$30&lt;&gt;"")*($C$21:$C$30&gt;=I160))*($E$21:$E$30="Annual")*(MONTH($B$21:$B$30)=MONTH(I160))*$D$21:$D$30)+SUMPRODUCT(($B$34:$B$48&lt;&gt;"")*(YEAR($B$34:$B$48)=YEAR(I160))*(MONTH($B$34:$B$48)=MONTH(I160))*$C$34:$C$48)),"")</f>
        <v/>
      </c>
      <c r="M160" s="14">
        <f>IF(H160&lt;&gt;"",ROUND(M159-L160,2),"")</f>
        <v/>
      </c>
      <c r="N160" s="10">
        <f>IF(H160&lt;&gt;"",N159+L160,"")</f>
        <v/>
      </c>
      <c r="O160" s="10">
        <f>IF(H160&lt;&gt;"",O159+K160,"")</f>
        <v/>
      </c>
    </row>
    <row r="161">
      <c r="H161" s="7">
        <f>IF(AND(M160&gt;0.005,H160&lt;&gt;""),159,"")</f>
        <v/>
      </c>
      <c r="I161" s="8">
        <f>IF(H161&lt;&gt;"",EDATE(StartDate,158),"")</f>
        <v/>
      </c>
      <c r="J161" s="9">
        <f>IF(H161&lt;&gt;"",MIN(MonthlyPmt,M160+K161),"")</f>
        <v/>
      </c>
      <c r="K161" s="9">
        <f>IF(H161&lt;&gt;"",ROUND(M160*AnnualRate/12,2),"")</f>
        <v/>
      </c>
      <c r="L161" s="9">
        <f>IF(H161&lt;&gt;"",MIN(M160,(J161-K161)+SUMPRODUCT(($B$21:$B$30&lt;&gt;"")*($B$21:$B$30&lt;=I161)*(($C$21:$C$30="")+($C$21:$C$30&lt;&gt;"")*($C$21:$C$30&gt;=I161))*($E$21:$E$30="Monthly")*$D$21:$D$30)+SUMPRODUCT(($B$21:$B$30&lt;&gt;"")*($B$21:$B$30&lt;=I161)*(($C$21:$C$30="")+($C$21:$C$30&lt;&gt;"")*($C$21:$C$30&gt;=I161))*($E$21:$E$30="Annual")*(MONTH($B$21:$B$30)=MONTH(I161))*$D$21:$D$30)+SUMPRODUCT(($B$34:$B$48&lt;&gt;"")*(YEAR($B$34:$B$48)=YEAR(I161))*(MONTH($B$34:$B$48)=MONTH(I161))*$C$34:$C$48)),"")</f>
        <v/>
      </c>
      <c r="M161" s="9">
        <f>IF(H161&lt;&gt;"",ROUND(M160-L161,2),"")</f>
        <v/>
      </c>
      <c r="N161" s="10">
        <f>IF(H161&lt;&gt;"",N160+L161,"")</f>
        <v/>
      </c>
      <c r="O161" s="10">
        <f>IF(H161&lt;&gt;"",O160+K161,"")</f>
        <v/>
      </c>
    </row>
    <row r="162">
      <c r="H162" s="12">
        <f>IF(AND(M161&gt;0.005,H161&lt;&gt;""),160,"")</f>
        <v/>
      </c>
      <c r="I162" s="13">
        <f>IF(H162&lt;&gt;"",EDATE(StartDate,159),"")</f>
        <v/>
      </c>
      <c r="J162" s="14">
        <f>IF(H162&lt;&gt;"",MIN(MonthlyPmt,M161+K162),"")</f>
        <v/>
      </c>
      <c r="K162" s="14">
        <f>IF(H162&lt;&gt;"",ROUND(M161*AnnualRate/12,2),"")</f>
        <v/>
      </c>
      <c r="L162" s="14">
        <f>IF(H162&lt;&gt;"",MIN(M161,(J162-K162)+SUMPRODUCT(($B$21:$B$30&lt;&gt;"")*($B$21:$B$30&lt;=I162)*(($C$21:$C$30="")+($C$21:$C$30&lt;&gt;"")*($C$21:$C$30&gt;=I162))*($E$21:$E$30="Monthly")*$D$21:$D$30)+SUMPRODUCT(($B$21:$B$30&lt;&gt;"")*($B$21:$B$30&lt;=I162)*(($C$21:$C$30="")+($C$21:$C$30&lt;&gt;"")*($C$21:$C$30&gt;=I162))*($E$21:$E$30="Annual")*(MONTH($B$21:$B$30)=MONTH(I162))*$D$21:$D$30)+SUMPRODUCT(($B$34:$B$48&lt;&gt;"")*(YEAR($B$34:$B$48)=YEAR(I162))*(MONTH($B$34:$B$48)=MONTH(I162))*$C$34:$C$48)),"")</f>
        <v/>
      </c>
      <c r="M162" s="14">
        <f>IF(H162&lt;&gt;"",ROUND(M161-L162,2),"")</f>
        <v/>
      </c>
      <c r="N162" s="10">
        <f>IF(H162&lt;&gt;"",N161+L162,"")</f>
        <v/>
      </c>
      <c r="O162" s="10">
        <f>IF(H162&lt;&gt;"",O161+K162,"")</f>
        <v/>
      </c>
    </row>
    <row r="163">
      <c r="H163" s="7">
        <f>IF(AND(M162&gt;0.005,H162&lt;&gt;""),161,"")</f>
        <v/>
      </c>
      <c r="I163" s="8">
        <f>IF(H163&lt;&gt;"",EDATE(StartDate,160),"")</f>
        <v/>
      </c>
      <c r="J163" s="9">
        <f>IF(H163&lt;&gt;"",MIN(MonthlyPmt,M162+K163),"")</f>
        <v/>
      </c>
      <c r="K163" s="9">
        <f>IF(H163&lt;&gt;"",ROUND(M162*AnnualRate/12,2),"")</f>
        <v/>
      </c>
      <c r="L163" s="9">
        <f>IF(H163&lt;&gt;"",MIN(M162,(J163-K163)+SUMPRODUCT(($B$21:$B$30&lt;&gt;"")*($B$21:$B$30&lt;=I163)*(($C$21:$C$30="")+($C$21:$C$30&lt;&gt;"")*($C$21:$C$30&gt;=I163))*($E$21:$E$30="Monthly")*$D$21:$D$30)+SUMPRODUCT(($B$21:$B$30&lt;&gt;"")*($B$21:$B$30&lt;=I163)*(($C$21:$C$30="")+($C$21:$C$30&lt;&gt;"")*($C$21:$C$30&gt;=I163))*($E$21:$E$30="Annual")*(MONTH($B$21:$B$30)=MONTH(I163))*$D$21:$D$30)+SUMPRODUCT(($B$34:$B$48&lt;&gt;"")*(YEAR($B$34:$B$48)=YEAR(I163))*(MONTH($B$34:$B$48)=MONTH(I163))*$C$34:$C$48)),"")</f>
        <v/>
      </c>
      <c r="M163" s="9">
        <f>IF(H163&lt;&gt;"",ROUND(M162-L163,2),"")</f>
        <v/>
      </c>
      <c r="N163" s="10">
        <f>IF(H163&lt;&gt;"",N162+L163,"")</f>
        <v/>
      </c>
      <c r="O163" s="10">
        <f>IF(H163&lt;&gt;"",O162+K163,"")</f>
        <v/>
      </c>
    </row>
    <row r="164">
      <c r="H164" s="12">
        <f>IF(AND(M163&gt;0.005,H163&lt;&gt;""),162,"")</f>
        <v/>
      </c>
      <c r="I164" s="13">
        <f>IF(H164&lt;&gt;"",EDATE(StartDate,161),"")</f>
        <v/>
      </c>
      <c r="J164" s="14">
        <f>IF(H164&lt;&gt;"",MIN(MonthlyPmt,M163+K164),"")</f>
        <v/>
      </c>
      <c r="K164" s="14">
        <f>IF(H164&lt;&gt;"",ROUND(M163*AnnualRate/12,2),"")</f>
        <v/>
      </c>
      <c r="L164" s="14">
        <f>IF(H164&lt;&gt;"",MIN(M163,(J164-K164)+SUMPRODUCT(($B$21:$B$30&lt;&gt;"")*($B$21:$B$30&lt;=I164)*(($C$21:$C$30="")+($C$21:$C$30&lt;&gt;"")*($C$21:$C$30&gt;=I164))*($E$21:$E$30="Monthly")*$D$21:$D$30)+SUMPRODUCT(($B$21:$B$30&lt;&gt;"")*($B$21:$B$30&lt;=I164)*(($C$21:$C$30="")+($C$21:$C$30&lt;&gt;"")*($C$21:$C$30&gt;=I164))*($E$21:$E$30="Annual")*(MONTH($B$21:$B$30)=MONTH(I164))*$D$21:$D$30)+SUMPRODUCT(($B$34:$B$48&lt;&gt;"")*(YEAR($B$34:$B$48)=YEAR(I164))*(MONTH($B$34:$B$48)=MONTH(I164))*$C$34:$C$48)),"")</f>
        <v/>
      </c>
      <c r="M164" s="14">
        <f>IF(H164&lt;&gt;"",ROUND(M163-L164,2),"")</f>
        <v/>
      </c>
      <c r="N164" s="10">
        <f>IF(H164&lt;&gt;"",N163+L164,"")</f>
        <v/>
      </c>
      <c r="O164" s="10">
        <f>IF(H164&lt;&gt;"",O163+K164,"")</f>
        <v/>
      </c>
    </row>
    <row r="165">
      <c r="H165" s="7">
        <f>IF(AND(M164&gt;0.005,H164&lt;&gt;""),163,"")</f>
        <v/>
      </c>
      <c r="I165" s="8">
        <f>IF(H165&lt;&gt;"",EDATE(StartDate,162),"")</f>
        <v/>
      </c>
      <c r="J165" s="9">
        <f>IF(H165&lt;&gt;"",MIN(MonthlyPmt,M164+K165),"")</f>
        <v/>
      </c>
      <c r="K165" s="9">
        <f>IF(H165&lt;&gt;"",ROUND(M164*AnnualRate/12,2),"")</f>
        <v/>
      </c>
      <c r="L165" s="9">
        <f>IF(H165&lt;&gt;"",MIN(M164,(J165-K165)+SUMPRODUCT(($B$21:$B$30&lt;&gt;"")*($B$21:$B$30&lt;=I165)*(($C$21:$C$30="")+($C$21:$C$30&lt;&gt;"")*($C$21:$C$30&gt;=I165))*($E$21:$E$30="Monthly")*$D$21:$D$30)+SUMPRODUCT(($B$21:$B$30&lt;&gt;"")*($B$21:$B$30&lt;=I165)*(($C$21:$C$30="")+($C$21:$C$30&lt;&gt;"")*($C$21:$C$30&gt;=I165))*($E$21:$E$30="Annual")*(MONTH($B$21:$B$30)=MONTH(I165))*$D$21:$D$30)+SUMPRODUCT(($B$34:$B$48&lt;&gt;"")*(YEAR($B$34:$B$48)=YEAR(I165))*(MONTH($B$34:$B$48)=MONTH(I165))*$C$34:$C$48)),"")</f>
        <v/>
      </c>
      <c r="M165" s="9">
        <f>IF(H165&lt;&gt;"",ROUND(M164-L165,2),"")</f>
        <v/>
      </c>
      <c r="N165" s="10">
        <f>IF(H165&lt;&gt;"",N164+L165,"")</f>
        <v/>
      </c>
      <c r="O165" s="10">
        <f>IF(H165&lt;&gt;"",O164+K165,"")</f>
        <v/>
      </c>
    </row>
    <row r="166">
      <c r="H166" s="12">
        <f>IF(AND(M165&gt;0.005,H165&lt;&gt;""),164,"")</f>
        <v/>
      </c>
      <c r="I166" s="13">
        <f>IF(H166&lt;&gt;"",EDATE(StartDate,163),"")</f>
        <v/>
      </c>
      <c r="J166" s="14">
        <f>IF(H166&lt;&gt;"",MIN(MonthlyPmt,M165+K166),"")</f>
        <v/>
      </c>
      <c r="K166" s="14">
        <f>IF(H166&lt;&gt;"",ROUND(M165*AnnualRate/12,2),"")</f>
        <v/>
      </c>
      <c r="L166" s="14">
        <f>IF(H166&lt;&gt;"",MIN(M165,(J166-K166)+SUMPRODUCT(($B$21:$B$30&lt;&gt;"")*($B$21:$B$30&lt;=I166)*(($C$21:$C$30="")+($C$21:$C$30&lt;&gt;"")*($C$21:$C$30&gt;=I166))*($E$21:$E$30="Monthly")*$D$21:$D$30)+SUMPRODUCT(($B$21:$B$30&lt;&gt;"")*($B$21:$B$30&lt;=I166)*(($C$21:$C$30="")+($C$21:$C$30&lt;&gt;"")*($C$21:$C$30&gt;=I166))*($E$21:$E$30="Annual")*(MONTH($B$21:$B$30)=MONTH(I166))*$D$21:$D$30)+SUMPRODUCT(($B$34:$B$48&lt;&gt;"")*(YEAR($B$34:$B$48)=YEAR(I166))*(MONTH($B$34:$B$48)=MONTH(I166))*$C$34:$C$48)),"")</f>
        <v/>
      </c>
      <c r="M166" s="14">
        <f>IF(H166&lt;&gt;"",ROUND(M165-L166,2),"")</f>
        <v/>
      </c>
      <c r="N166" s="10">
        <f>IF(H166&lt;&gt;"",N165+L166,"")</f>
        <v/>
      </c>
      <c r="O166" s="10">
        <f>IF(H166&lt;&gt;"",O165+K166,"")</f>
        <v/>
      </c>
    </row>
    <row r="167">
      <c r="H167" s="7">
        <f>IF(AND(M166&gt;0.005,H166&lt;&gt;""),165,"")</f>
        <v/>
      </c>
      <c r="I167" s="8">
        <f>IF(H167&lt;&gt;"",EDATE(StartDate,164),"")</f>
        <v/>
      </c>
      <c r="J167" s="9">
        <f>IF(H167&lt;&gt;"",MIN(MonthlyPmt,M166+K167),"")</f>
        <v/>
      </c>
      <c r="K167" s="9">
        <f>IF(H167&lt;&gt;"",ROUND(M166*AnnualRate/12,2),"")</f>
        <v/>
      </c>
      <c r="L167" s="9">
        <f>IF(H167&lt;&gt;"",MIN(M166,(J167-K167)+SUMPRODUCT(($B$21:$B$30&lt;&gt;"")*($B$21:$B$30&lt;=I167)*(($C$21:$C$30="")+($C$21:$C$30&lt;&gt;"")*($C$21:$C$30&gt;=I167))*($E$21:$E$30="Monthly")*$D$21:$D$30)+SUMPRODUCT(($B$21:$B$30&lt;&gt;"")*($B$21:$B$30&lt;=I167)*(($C$21:$C$30="")+($C$21:$C$30&lt;&gt;"")*($C$21:$C$30&gt;=I167))*($E$21:$E$30="Annual")*(MONTH($B$21:$B$30)=MONTH(I167))*$D$21:$D$30)+SUMPRODUCT(($B$34:$B$48&lt;&gt;"")*(YEAR($B$34:$B$48)=YEAR(I167))*(MONTH($B$34:$B$48)=MONTH(I167))*$C$34:$C$48)),"")</f>
        <v/>
      </c>
      <c r="M167" s="9">
        <f>IF(H167&lt;&gt;"",ROUND(M166-L167,2),"")</f>
        <v/>
      </c>
      <c r="N167" s="10">
        <f>IF(H167&lt;&gt;"",N166+L167,"")</f>
        <v/>
      </c>
      <c r="O167" s="10">
        <f>IF(H167&lt;&gt;"",O166+K167,"")</f>
        <v/>
      </c>
    </row>
    <row r="168">
      <c r="H168" s="12">
        <f>IF(AND(M167&gt;0.005,H167&lt;&gt;""),166,"")</f>
        <v/>
      </c>
      <c r="I168" s="13">
        <f>IF(H168&lt;&gt;"",EDATE(StartDate,165),"")</f>
        <v/>
      </c>
      <c r="J168" s="14">
        <f>IF(H168&lt;&gt;"",MIN(MonthlyPmt,M167+K168),"")</f>
        <v/>
      </c>
      <c r="K168" s="14">
        <f>IF(H168&lt;&gt;"",ROUND(M167*AnnualRate/12,2),"")</f>
        <v/>
      </c>
      <c r="L168" s="14">
        <f>IF(H168&lt;&gt;"",MIN(M167,(J168-K168)+SUMPRODUCT(($B$21:$B$30&lt;&gt;"")*($B$21:$B$30&lt;=I168)*(($C$21:$C$30="")+($C$21:$C$30&lt;&gt;"")*($C$21:$C$30&gt;=I168))*($E$21:$E$30="Monthly")*$D$21:$D$30)+SUMPRODUCT(($B$21:$B$30&lt;&gt;"")*($B$21:$B$30&lt;=I168)*(($C$21:$C$30="")+($C$21:$C$30&lt;&gt;"")*($C$21:$C$30&gt;=I168))*($E$21:$E$30="Annual")*(MONTH($B$21:$B$30)=MONTH(I168))*$D$21:$D$30)+SUMPRODUCT(($B$34:$B$48&lt;&gt;"")*(YEAR($B$34:$B$48)=YEAR(I168))*(MONTH($B$34:$B$48)=MONTH(I168))*$C$34:$C$48)),"")</f>
        <v/>
      </c>
      <c r="M168" s="14">
        <f>IF(H168&lt;&gt;"",ROUND(M167-L168,2),"")</f>
        <v/>
      </c>
      <c r="N168" s="10">
        <f>IF(H168&lt;&gt;"",N167+L168,"")</f>
        <v/>
      </c>
      <c r="O168" s="10">
        <f>IF(H168&lt;&gt;"",O167+K168,"")</f>
        <v/>
      </c>
    </row>
    <row r="169">
      <c r="H169" s="7">
        <f>IF(AND(M168&gt;0.005,H168&lt;&gt;""),167,"")</f>
        <v/>
      </c>
      <c r="I169" s="8">
        <f>IF(H169&lt;&gt;"",EDATE(StartDate,166),"")</f>
        <v/>
      </c>
      <c r="J169" s="9">
        <f>IF(H169&lt;&gt;"",MIN(MonthlyPmt,M168+K169),"")</f>
        <v/>
      </c>
      <c r="K169" s="9">
        <f>IF(H169&lt;&gt;"",ROUND(M168*AnnualRate/12,2),"")</f>
        <v/>
      </c>
      <c r="L169" s="9">
        <f>IF(H169&lt;&gt;"",MIN(M168,(J169-K169)+SUMPRODUCT(($B$21:$B$30&lt;&gt;"")*($B$21:$B$30&lt;=I169)*(($C$21:$C$30="")+($C$21:$C$30&lt;&gt;"")*($C$21:$C$30&gt;=I169))*($E$21:$E$30="Monthly")*$D$21:$D$30)+SUMPRODUCT(($B$21:$B$30&lt;&gt;"")*($B$21:$B$30&lt;=I169)*(($C$21:$C$30="")+($C$21:$C$30&lt;&gt;"")*($C$21:$C$30&gt;=I169))*($E$21:$E$30="Annual")*(MONTH($B$21:$B$30)=MONTH(I169))*$D$21:$D$30)+SUMPRODUCT(($B$34:$B$48&lt;&gt;"")*(YEAR($B$34:$B$48)=YEAR(I169))*(MONTH($B$34:$B$48)=MONTH(I169))*$C$34:$C$48)),"")</f>
        <v/>
      </c>
      <c r="M169" s="9">
        <f>IF(H169&lt;&gt;"",ROUND(M168-L169,2),"")</f>
        <v/>
      </c>
      <c r="N169" s="10">
        <f>IF(H169&lt;&gt;"",N168+L169,"")</f>
        <v/>
      </c>
      <c r="O169" s="10">
        <f>IF(H169&lt;&gt;"",O168+K169,"")</f>
        <v/>
      </c>
    </row>
    <row r="170">
      <c r="H170" s="12">
        <f>IF(AND(M169&gt;0.005,H169&lt;&gt;""),168,"")</f>
        <v/>
      </c>
      <c r="I170" s="13">
        <f>IF(H170&lt;&gt;"",EDATE(StartDate,167),"")</f>
        <v/>
      </c>
      <c r="J170" s="14">
        <f>IF(H170&lt;&gt;"",MIN(MonthlyPmt,M169+K170),"")</f>
        <v/>
      </c>
      <c r="K170" s="14">
        <f>IF(H170&lt;&gt;"",ROUND(M169*AnnualRate/12,2),"")</f>
        <v/>
      </c>
      <c r="L170" s="14">
        <f>IF(H170&lt;&gt;"",MIN(M169,(J170-K170)+SUMPRODUCT(($B$21:$B$30&lt;&gt;"")*($B$21:$B$30&lt;=I170)*(($C$21:$C$30="")+($C$21:$C$30&lt;&gt;"")*($C$21:$C$30&gt;=I170))*($E$21:$E$30="Monthly")*$D$21:$D$30)+SUMPRODUCT(($B$21:$B$30&lt;&gt;"")*($B$21:$B$30&lt;=I170)*(($C$21:$C$30="")+($C$21:$C$30&lt;&gt;"")*($C$21:$C$30&gt;=I170))*($E$21:$E$30="Annual")*(MONTH($B$21:$B$30)=MONTH(I170))*$D$21:$D$30)+SUMPRODUCT(($B$34:$B$48&lt;&gt;"")*(YEAR($B$34:$B$48)=YEAR(I170))*(MONTH($B$34:$B$48)=MONTH(I170))*$C$34:$C$48)),"")</f>
        <v/>
      </c>
      <c r="M170" s="14">
        <f>IF(H170&lt;&gt;"",ROUND(M169-L170,2),"")</f>
        <v/>
      </c>
      <c r="N170" s="10">
        <f>IF(H170&lt;&gt;"",N169+L170,"")</f>
        <v/>
      </c>
      <c r="O170" s="10">
        <f>IF(H170&lt;&gt;"",O169+K170,"")</f>
        <v/>
      </c>
    </row>
    <row r="171">
      <c r="H171" s="7">
        <f>IF(AND(M170&gt;0.005,H170&lt;&gt;""),169,"")</f>
        <v/>
      </c>
      <c r="I171" s="8">
        <f>IF(H171&lt;&gt;"",EDATE(StartDate,168),"")</f>
        <v/>
      </c>
      <c r="J171" s="9">
        <f>IF(H171&lt;&gt;"",MIN(MonthlyPmt,M170+K171),"")</f>
        <v/>
      </c>
      <c r="K171" s="9">
        <f>IF(H171&lt;&gt;"",ROUND(M170*AnnualRate/12,2),"")</f>
        <v/>
      </c>
      <c r="L171" s="9">
        <f>IF(H171&lt;&gt;"",MIN(M170,(J171-K171)+SUMPRODUCT(($B$21:$B$30&lt;&gt;"")*($B$21:$B$30&lt;=I171)*(($C$21:$C$30="")+($C$21:$C$30&lt;&gt;"")*($C$21:$C$30&gt;=I171))*($E$21:$E$30="Monthly")*$D$21:$D$30)+SUMPRODUCT(($B$21:$B$30&lt;&gt;"")*($B$21:$B$30&lt;=I171)*(($C$21:$C$30="")+($C$21:$C$30&lt;&gt;"")*($C$21:$C$30&gt;=I171))*($E$21:$E$30="Annual")*(MONTH($B$21:$B$30)=MONTH(I171))*$D$21:$D$30)+SUMPRODUCT(($B$34:$B$48&lt;&gt;"")*(YEAR($B$34:$B$48)=YEAR(I171))*(MONTH($B$34:$B$48)=MONTH(I171))*$C$34:$C$48)),"")</f>
        <v/>
      </c>
      <c r="M171" s="9">
        <f>IF(H171&lt;&gt;"",ROUND(M170-L171,2),"")</f>
        <v/>
      </c>
      <c r="N171" s="10">
        <f>IF(H171&lt;&gt;"",N170+L171,"")</f>
        <v/>
      </c>
      <c r="O171" s="10">
        <f>IF(H171&lt;&gt;"",O170+K171,"")</f>
        <v/>
      </c>
    </row>
    <row r="172">
      <c r="H172" s="12">
        <f>IF(AND(M171&gt;0.005,H171&lt;&gt;""),170,"")</f>
        <v/>
      </c>
      <c r="I172" s="13">
        <f>IF(H172&lt;&gt;"",EDATE(StartDate,169),"")</f>
        <v/>
      </c>
      <c r="J172" s="14">
        <f>IF(H172&lt;&gt;"",MIN(MonthlyPmt,M171+K172),"")</f>
        <v/>
      </c>
      <c r="K172" s="14">
        <f>IF(H172&lt;&gt;"",ROUND(M171*AnnualRate/12,2),"")</f>
        <v/>
      </c>
      <c r="L172" s="14">
        <f>IF(H172&lt;&gt;"",MIN(M171,(J172-K172)+SUMPRODUCT(($B$21:$B$30&lt;&gt;"")*($B$21:$B$30&lt;=I172)*(($C$21:$C$30="")+($C$21:$C$30&lt;&gt;"")*($C$21:$C$30&gt;=I172))*($E$21:$E$30="Monthly")*$D$21:$D$30)+SUMPRODUCT(($B$21:$B$30&lt;&gt;"")*($B$21:$B$30&lt;=I172)*(($C$21:$C$30="")+($C$21:$C$30&lt;&gt;"")*($C$21:$C$30&gt;=I172))*($E$21:$E$30="Annual")*(MONTH($B$21:$B$30)=MONTH(I172))*$D$21:$D$30)+SUMPRODUCT(($B$34:$B$48&lt;&gt;"")*(YEAR($B$34:$B$48)=YEAR(I172))*(MONTH($B$34:$B$48)=MONTH(I172))*$C$34:$C$48)),"")</f>
        <v/>
      </c>
      <c r="M172" s="14">
        <f>IF(H172&lt;&gt;"",ROUND(M171-L172,2),"")</f>
        <v/>
      </c>
      <c r="N172" s="10">
        <f>IF(H172&lt;&gt;"",N171+L172,"")</f>
        <v/>
      </c>
      <c r="O172" s="10">
        <f>IF(H172&lt;&gt;"",O171+K172,"")</f>
        <v/>
      </c>
    </row>
    <row r="173">
      <c r="H173" s="7">
        <f>IF(AND(M172&gt;0.005,H172&lt;&gt;""),171,"")</f>
        <v/>
      </c>
      <c r="I173" s="8">
        <f>IF(H173&lt;&gt;"",EDATE(StartDate,170),"")</f>
        <v/>
      </c>
      <c r="J173" s="9">
        <f>IF(H173&lt;&gt;"",MIN(MonthlyPmt,M172+K173),"")</f>
        <v/>
      </c>
      <c r="K173" s="9">
        <f>IF(H173&lt;&gt;"",ROUND(M172*AnnualRate/12,2),"")</f>
        <v/>
      </c>
      <c r="L173" s="9">
        <f>IF(H173&lt;&gt;"",MIN(M172,(J173-K173)+SUMPRODUCT(($B$21:$B$30&lt;&gt;"")*($B$21:$B$30&lt;=I173)*(($C$21:$C$30="")+($C$21:$C$30&lt;&gt;"")*($C$21:$C$30&gt;=I173))*($E$21:$E$30="Monthly")*$D$21:$D$30)+SUMPRODUCT(($B$21:$B$30&lt;&gt;"")*($B$21:$B$30&lt;=I173)*(($C$21:$C$30="")+($C$21:$C$30&lt;&gt;"")*($C$21:$C$30&gt;=I173))*($E$21:$E$30="Annual")*(MONTH($B$21:$B$30)=MONTH(I173))*$D$21:$D$30)+SUMPRODUCT(($B$34:$B$48&lt;&gt;"")*(YEAR($B$34:$B$48)=YEAR(I173))*(MONTH($B$34:$B$48)=MONTH(I173))*$C$34:$C$48)),"")</f>
        <v/>
      </c>
      <c r="M173" s="9">
        <f>IF(H173&lt;&gt;"",ROUND(M172-L173,2),"")</f>
        <v/>
      </c>
      <c r="N173" s="10">
        <f>IF(H173&lt;&gt;"",N172+L173,"")</f>
        <v/>
      </c>
      <c r="O173" s="10">
        <f>IF(H173&lt;&gt;"",O172+K173,"")</f>
        <v/>
      </c>
    </row>
    <row r="174">
      <c r="H174" s="12">
        <f>IF(AND(M173&gt;0.005,H173&lt;&gt;""),172,"")</f>
        <v/>
      </c>
      <c r="I174" s="13">
        <f>IF(H174&lt;&gt;"",EDATE(StartDate,171),"")</f>
        <v/>
      </c>
      <c r="J174" s="14">
        <f>IF(H174&lt;&gt;"",MIN(MonthlyPmt,M173+K174),"")</f>
        <v/>
      </c>
      <c r="K174" s="14">
        <f>IF(H174&lt;&gt;"",ROUND(M173*AnnualRate/12,2),"")</f>
        <v/>
      </c>
      <c r="L174" s="14">
        <f>IF(H174&lt;&gt;"",MIN(M173,(J174-K174)+SUMPRODUCT(($B$21:$B$30&lt;&gt;"")*($B$21:$B$30&lt;=I174)*(($C$21:$C$30="")+($C$21:$C$30&lt;&gt;"")*($C$21:$C$30&gt;=I174))*($E$21:$E$30="Monthly")*$D$21:$D$30)+SUMPRODUCT(($B$21:$B$30&lt;&gt;"")*($B$21:$B$30&lt;=I174)*(($C$21:$C$30="")+($C$21:$C$30&lt;&gt;"")*($C$21:$C$30&gt;=I174))*($E$21:$E$30="Annual")*(MONTH($B$21:$B$30)=MONTH(I174))*$D$21:$D$30)+SUMPRODUCT(($B$34:$B$48&lt;&gt;"")*(YEAR($B$34:$B$48)=YEAR(I174))*(MONTH($B$34:$B$48)=MONTH(I174))*$C$34:$C$48)),"")</f>
        <v/>
      </c>
      <c r="M174" s="14">
        <f>IF(H174&lt;&gt;"",ROUND(M173-L174,2),"")</f>
        <v/>
      </c>
      <c r="N174" s="10">
        <f>IF(H174&lt;&gt;"",N173+L174,"")</f>
        <v/>
      </c>
      <c r="O174" s="10">
        <f>IF(H174&lt;&gt;"",O173+K174,"")</f>
        <v/>
      </c>
    </row>
    <row r="175">
      <c r="H175" s="7">
        <f>IF(AND(M174&gt;0.005,H174&lt;&gt;""),173,"")</f>
        <v/>
      </c>
      <c r="I175" s="8">
        <f>IF(H175&lt;&gt;"",EDATE(StartDate,172),"")</f>
        <v/>
      </c>
      <c r="J175" s="9">
        <f>IF(H175&lt;&gt;"",MIN(MonthlyPmt,M174+K175),"")</f>
        <v/>
      </c>
      <c r="K175" s="9">
        <f>IF(H175&lt;&gt;"",ROUND(M174*AnnualRate/12,2),"")</f>
        <v/>
      </c>
      <c r="L175" s="9">
        <f>IF(H175&lt;&gt;"",MIN(M174,(J175-K175)+SUMPRODUCT(($B$21:$B$30&lt;&gt;"")*($B$21:$B$30&lt;=I175)*(($C$21:$C$30="")+($C$21:$C$30&lt;&gt;"")*($C$21:$C$30&gt;=I175))*($E$21:$E$30="Monthly")*$D$21:$D$30)+SUMPRODUCT(($B$21:$B$30&lt;&gt;"")*($B$21:$B$30&lt;=I175)*(($C$21:$C$30="")+($C$21:$C$30&lt;&gt;"")*($C$21:$C$30&gt;=I175))*($E$21:$E$30="Annual")*(MONTH($B$21:$B$30)=MONTH(I175))*$D$21:$D$30)+SUMPRODUCT(($B$34:$B$48&lt;&gt;"")*(YEAR($B$34:$B$48)=YEAR(I175))*(MONTH($B$34:$B$48)=MONTH(I175))*$C$34:$C$48)),"")</f>
        <v/>
      </c>
      <c r="M175" s="9">
        <f>IF(H175&lt;&gt;"",ROUND(M174-L175,2),"")</f>
        <v/>
      </c>
      <c r="N175" s="10">
        <f>IF(H175&lt;&gt;"",N174+L175,"")</f>
        <v/>
      </c>
      <c r="O175" s="10">
        <f>IF(H175&lt;&gt;"",O174+K175,"")</f>
        <v/>
      </c>
    </row>
    <row r="176">
      <c r="H176" s="12">
        <f>IF(AND(M175&gt;0.005,H175&lt;&gt;""),174,"")</f>
        <v/>
      </c>
      <c r="I176" s="13">
        <f>IF(H176&lt;&gt;"",EDATE(StartDate,173),"")</f>
        <v/>
      </c>
      <c r="J176" s="14">
        <f>IF(H176&lt;&gt;"",MIN(MonthlyPmt,M175+K176),"")</f>
        <v/>
      </c>
      <c r="K176" s="14">
        <f>IF(H176&lt;&gt;"",ROUND(M175*AnnualRate/12,2),"")</f>
        <v/>
      </c>
      <c r="L176" s="14">
        <f>IF(H176&lt;&gt;"",MIN(M175,(J176-K176)+SUMPRODUCT(($B$21:$B$30&lt;&gt;"")*($B$21:$B$30&lt;=I176)*(($C$21:$C$30="")+($C$21:$C$30&lt;&gt;"")*($C$21:$C$30&gt;=I176))*($E$21:$E$30="Monthly")*$D$21:$D$30)+SUMPRODUCT(($B$21:$B$30&lt;&gt;"")*($B$21:$B$30&lt;=I176)*(($C$21:$C$30="")+($C$21:$C$30&lt;&gt;"")*($C$21:$C$30&gt;=I176))*($E$21:$E$30="Annual")*(MONTH($B$21:$B$30)=MONTH(I176))*$D$21:$D$30)+SUMPRODUCT(($B$34:$B$48&lt;&gt;"")*(YEAR($B$34:$B$48)=YEAR(I176))*(MONTH($B$34:$B$48)=MONTH(I176))*$C$34:$C$48)),"")</f>
        <v/>
      </c>
      <c r="M176" s="14">
        <f>IF(H176&lt;&gt;"",ROUND(M175-L176,2),"")</f>
        <v/>
      </c>
      <c r="N176" s="10">
        <f>IF(H176&lt;&gt;"",N175+L176,"")</f>
        <v/>
      </c>
      <c r="O176" s="10">
        <f>IF(H176&lt;&gt;"",O175+K176,"")</f>
        <v/>
      </c>
    </row>
    <row r="177">
      <c r="H177" s="7">
        <f>IF(AND(M176&gt;0.005,H176&lt;&gt;""),175,"")</f>
        <v/>
      </c>
      <c r="I177" s="8">
        <f>IF(H177&lt;&gt;"",EDATE(StartDate,174),"")</f>
        <v/>
      </c>
      <c r="J177" s="9">
        <f>IF(H177&lt;&gt;"",MIN(MonthlyPmt,M176+K177),"")</f>
        <v/>
      </c>
      <c r="K177" s="9">
        <f>IF(H177&lt;&gt;"",ROUND(M176*AnnualRate/12,2),"")</f>
        <v/>
      </c>
      <c r="L177" s="9">
        <f>IF(H177&lt;&gt;"",MIN(M176,(J177-K177)+SUMPRODUCT(($B$21:$B$30&lt;&gt;"")*($B$21:$B$30&lt;=I177)*(($C$21:$C$30="")+($C$21:$C$30&lt;&gt;"")*($C$21:$C$30&gt;=I177))*($E$21:$E$30="Monthly")*$D$21:$D$30)+SUMPRODUCT(($B$21:$B$30&lt;&gt;"")*($B$21:$B$30&lt;=I177)*(($C$21:$C$30="")+($C$21:$C$30&lt;&gt;"")*($C$21:$C$30&gt;=I177))*($E$21:$E$30="Annual")*(MONTH($B$21:$B$30)=MONTH(I177))*$D$21:$D$30)+SUMPRODUCT(($B$34:$B$48&lt;&gt;"")*(YEAR($B$34:$B$48)=YEAR(I177))*(MONTH($B$34:$B$48)=MONTH(I177))*$C$34:$C$48)),"")</f>
        <v/>
      </c>
      <c r="M177" s="9">
        <f>IF(H177&lt;&gt;"",ROUND(M176-L177,2),"")</f>
        <v/>
      </c>
      <c r="N177" s="10">
        <f>IF(H177&lt;&gt;"",N176+L177,"")</f>
        <v/>
      </c>
      <c r="O177" s="10">
        <f>IF(H177&lt;&gt;"",O176+K177,"")</f>
        <v/>
      </c>
    </row>
    <row r="178">
      <c r="H178" s="12">
        <f>IF(AND(M177&gt;0.005,H177&lt;&gt;""),176,"")</f>
        <v/>
      </c>
      <c r="I178" s="13">
        <f>IF(H178&lt;&gt;"",EDATE(StartDate,175),"")</f>
        <v/>
      </c>
      <c r="J178" s="14">
        <f>IF(H178&lt;&gt;"",MIN(MonthlyPmt,M177+K178),"")</f>
        <v/>
      </c>
      <c r="K178" s="14">
        <f>IF(H178&lt;&gt;"",ROUND(M177*AnnualRate/12,2),"")</f>
        <v/>
      </c>
      <c r="L178" s="14">
        <f>IF(H178&lt;&gt;"",MIN(M177,(J178-K178)+SUMPRODUCT(($B$21:$B$30&lt;&gt;"")*($B$21:$B$30&lt;=I178)*(($C$21:$C$30="")+($C$21:$C$30&lt;&gt;"")*($C$21:$C$30&gt;=I178))*($E$21:$E$30="Monthly")*$D$21:$D$30)+SUMPRODUCT(($B$21:$B$30&lt;&gt;"")*($B$21:$B$30&lt;=I178)*(($C$21:$C$30="")+($C$21:$C$30&lt;&gt;"")*($C$21:$C$30&gt;=I178))*($E$21:$E$30="Annual")*(MONTH($B$21:$B$30)=MONTH(I178))*$D$21:$D$30)+SUMPRODUCT(($B$34:$B$48&lt;&gt;"")*(YEAR($B$34:$B$48)=YEAR(I178))*(MONTH($B$34:$B$48)=MONTH(I178))*$C$34:$C$48)),"")</f>
        <v/>
      </c>
      <c r="M178" s="14">
        <f>IF(H178&lt;&gt;"",ROUND(M177-L178,2),"")</f>
        <v/>
      </c>
      <c r="N178" s="10">
        <f>IF(H178&lt;&gt;"",N177+L178,"")</f>
        <v/>
      </c>
      <c r="O178" s="10">
        <f>IF(H178&lt;&gt;"",O177+K178,"")</f>
        <v/>
      </c>
    </row>
    <row r="179">
      <c r="H179" s="7">
        <f>IF(AND(M178&gt;0.005,H178&lt;&gt;""),177,"")</f>
        <v/>
      </c>
      <c r="I179" s="8">
        <f>IF(H179&lt;&gt;"",EDATE(StartDate,176),"")</f>
        <v/>
      </c>
      <c r="J179" s="9">
        <f>IF(H179&lt;&gt;"",MIN(MonthlyPmt,M178+K179),"")</f>
        <v/>
      </c>
      <c r="K179" s="9">
        <f>IF(H179&lt;&gt;"",ROUND(M178*AnnualRate/12,2),"")</f>
        <v/>
      </c>
      <c r="L179" s="9">
        <f>IF(H179&lt;&gt;"",MIN(M178,(J179-K179)+SUMPRODUCT(($B$21:$B$30&lt;&gt;"")*($B$21:$B$30&lt;=I179)*(($C$21:$C$30="")+($C$21:$C$30&lt;&gt;"")*($C$21:$C$30&gt;=I179))*($E$21:$E$30="Monthly")*$D$21:$D$30)+SUMPRODUCT(($B$21:$B$30&lt;&gt;"")*($B$21:$B$30&lt;=I179)*(($C$21:$C$30="")+($C$21:$C$30&lt;&gt;"")*($C$21:$C$30&gt;=I179))*($E$21:$E$30="Annual")*(MONTH($B$21:$B$30)=MONTH(I179))*$D$21:$D$30)+SUMPRODUCT(($B$34:$B$48&lt;&gt;"")*(YEAR($B$34:$B$48)=YEAR(I179))*(MONTH($B$34:$B$48)=MONTH(I179))*$C$34:$C$48)),"")</f>
        <v/>
      </c>
      <c r="M179" s="9">
        <f>IF(H179&lt;&gt;"",ROUND(M178-L179,2),"")</f>
        <v/>
      </c>
      <c r="N179" s="10">
        <f>IF(H179&lt;&gt;"",N178+L179,"")</f>
        <v/>
      </c>
      <c r="O179" s="10">
        <f>IF(H179&lt;&gt;"",O178+K179,"")</f>
        <v/>
      </c>
    </row>
    <row r="180">
      <c r="H180" s="12">
        <f>IF(AND(M179&gt;0.005,H179&lt;&gt;""),178,"")</f>
        <v/>
      </c>
      <c r="I180" s="13">
        <f>IF(H180&lt;&gt;"",EDATE(StartDate,177),"")</f>
        <v/>
      </c>
      <c r="J180" s="14">
        <f>IF(H180&lt;&gt;"",MIN(MonthlyPmt,M179+K180),"")</f>
        <v/>
      </c>
      <c r="K180" s="14">
        <f>IF(H180&lt;&gt;"",ROUND(M179*AnnualRate/12,2),"")</f>
        <v/>
      </c>
      <c r="L180" s="14">
        <f>IF(H180&lt;&gt;"",MIN(M179,(J180-K180)+SUMPRODUCT(($B$21:$B$30&lt;&gt;"")*($B$21:$B$30&lt;=I180)*(($C$21:$C$30="")+($C$21:$C$30&lt;&gt;"")*($C$21:$C$30&gt;=I180))*($E$21:$E$30="Monthly")*$D$21:$D$30)+SUMPRODUCT(($B$21:$B$30&lt;&gt;"")*($B$21:$B$30&lt;=I180)*(($C$21:$C$30="")+($C$21:$C$30&lt;&gt;"")*($C$21:$C$30&gt;=I180))*($E$21:$E$30="Annual")*(MONTH($B$21:$B$30)=MONTH(I180))*$D$21:$D$30)+SUMPRODUCT(($B$34:$B$48&lt;&gt;"")*(YEAR($B$34:$B$48)=YEAR(I180))*(MONTH($B$34:$B$48)=MONTH(I180))*$C$34:$C$48)),"")</f>
        <v/>
      </c>
      <c r="M180" s="14">
        <f>IF(H180&lt;&gt;"",ROUND(M179-L180,2),"")</f>
        <v/>
      </c>
      <c r="N180" s="10">
        <f>IF(H180&lt;&gt;"",N179+L180,"")</f>
        <v/>
      </c>
      <c r="O180" s="10">
        <f>IF(H180&lt;&gt;"",O179+K180,"")</f>
        <v/>
      </c>
    </row>
    <row r="181">
      <c r="H181" s="7">
        <f>IF(AND(M180&gt;0.005,H180&lt;&gt;""),179,"")</f>
        <v/>
      </c>
      <c r="I181" s="8">
        <f>IF(H181&lt;&gt;"",EDATE(StartDate,178),"")</f>
        <v/>
      </c>
      <c r="J181" s="9">
        <f>IF(H181&lt;&gt;"",MIN(MonthlyPmt,M180+K181),"")</f>
        <v/>
      </c>
      <c r="K181" s="9">
        <f>IF(H181&lt;&gt;"",ROUND(M180*AnnualRate/12,2),"")</f>
        <v/>
      </c>
      <c r="L181" s="9">
        <f>IF(H181&lt;&gt;"",MIN(M180,(J181-K181)+SUMPRODUCT(($B$21:$B$30&lt;&gt;"")*($B$21:$B$30&lt;=I181)*(($C$21:$C$30="")+($C$21:$C$30&lt;&gt;"")*($C$21:$C$30&gt;=I181))*($E$21:$E$30="Monthly")*$D$21:$D$30)+SUMPRODUCT(($B$21:$B$30&lt;&gt;"")*($B$21:$B$30&lt;=I181)*(($C$21:$C$30="")+($C$21:$C$30&lt;&gt;"")*($C$21:$C$30&gt;=I181))*($E$21:$E$30="Annual")*(MONTH($B$21:$B$30)=MONTH(I181))*$D$21:$D$30)+SUMPRODUCT(($B$34:$B$48&lt;&gt;"")*(YEAR($B$34:$B$48)=YEAR(I181))*(MONTH($B$34:$B$48)=MONTH(I181))*$C$34:$C$48)),"")</f>
        <v/>
      </c>
      <c r="M181" s="9">
        <f>IF(H181&lt;&gt;"",ROUND(M180-L181,2),"")</f>
        <v/>
      </c>
      <c r="N181" s="10">
        <f>IF(H181&lt;&gt;"",N180+L181,"")</f>
        <v/>
      </c>
      <c r="O181" s="10">
        <f>IF(H181&lt;&gt;"",O180+K181,"")</f>
        <v/>
      </c>
    </row>
    <row r="182">
      <c r="H182" s="12">
        <f>IF(AND(M181&gt;0.005,H181&lt;&gt;""),180,"")</f>
        <v/>
      </c>
      <c r="I182" s="13">
        <f>IF(H182&lt;&gt;"",EDATE(StartDate,179),"")</f>
        <v/>
      </c>
      <c r="J182" s="14">
        <f>IF(H182&lt;&gt;"",MIN(MonthlyPmt,M181+K182),"")</f>
        <v/>
      </c>
      <c r="K182" s="14">
        <f>IF(H182&lt;&gt;"",ROUND(M181*AnnualRate/12,2),"")</f>
        <v/>
      </c>
      <c r="L182" s="14">
        <f>IF(H182&lt;&gt;"",MIN(M181,(J182-K182)+SUMPRODUCT(($B$21:$B$30&lt;&gt;"")*($B$21:$B$30&lt;=I182)*(($C$21:$C$30="")+($C$21:$C$30&lt;&gt;"")*($C$21:$C$30&gt;=I182))*($E$21:$E$30="Monthly")*$D$21:$D$30)+SUMPRODUCT(($B$21:$B$30&lt;&gt;"")*($B$21:$B$30&lt;=I182)*(($C$21:$C$30="")+($C$21:$C$30&lt;&gt;"")*($C$21:$C$30&gt;=I182))*($E$21:$E$30="Annual")*(MONTH($B$21:$B$30)=MONTH(I182))*$D$21:$D$30)+SUMPRODUCT(($B$34:$B$48&lt;&gt;"")*(YEAR($B$34:$B$48)=YEAR(I182))*(MONTH($B$34:$B$48)=MONTH(I182))*$C$34:$C$48)),"")</f>
        <v/>
      </c>
      <c r="M182" s="14">
        <f>IF(H182&lt;&gt;"",ROUND(M181-L182,2),"")</f>
        <v/>
      </c>
      <c r="N182" s="10">
        <f>IF(H182&lt;&gt;"",N181+L182,"")</f>
        <v/>
      </c>
      <c r="O182" s="10">
        <f>IF(H182&lt;&gt;"",O181+K182,"")</f>
        <v/>
      </c>
    </row>
    <row r="183">
      <c r="H183" s="7">
        <f>IF(AND(M182&gt;0.005,H182&lt;&gt;""),181,"")</f>
        <v/>
      </c>
      <c r="I183" s="8">
        <f>IF(H183&lt;&gt;"",EDATE(StartDate,180),"")</f>
        <v/>
      </c>
      <c r="J183" s="9">
        <f>IF(H183&lt;&gt;"",MIN(MonthlyPmt,M182+K183),"")</f>
        <v/>
      </c>
      <c r="K183" s="9">
        <f>IF(H183&lt;&gt;"",ROUND(M182*AnnualRate/12,2),"")</f>
        <v/>
      </c>
      <c r="L183" s="9">
        <f>IF(H183&lt;&gt;"",MIN(M182,(J183-K183)+SUMPRODUCT(($B$21:$B$30&lt;&gt;"")*($B$21:$B$30&lt;=I183)*(($C$21:$C$30="")+($C$21:$C$30&lt;&gt;"")*($C$21:$C$30&gt;=I183))*($E$21:$E$30="Monthly")*$D$21:$D$30)+SUMPRODUCT(($B$21:$B$30&lt;&gt;"")*($B$21:$B$30&lt;=I183)*(($C$21:$C$30="")+($C$21:$C$30&lt;&gt;"")*($C$21:$C$30&gt;=I183))*($E$21:$E$30="Annual")*(MONTH($B$21:$B$30)=MONTH(I183))*$D$21:$D$30)+SUMPRODUCT(($B$34:$B$48&lt;&gt;"")*(YEAR($B$34:$B$48)=YEAR(I183))*(MONTH($B$34:$B$48)=MONTH(I183))*$C$34:$C$48)),"")</f>
        <v/>
      </c>
      <c r="M183" s="9">
        <f>IF(H183&lt;&gt;"",ROUND(M182-L183,2),"")</f>
        <v/>
      </c>
      <c r="N183" s="10">
        <f>IF(H183&lt;&gt;"",N182+L183,"")</f>
        <v/>
      </c>
      <c r="O183" s="10">
        <f>IF(H183&lt;&gt;"",O182+K183,"")</f>
        <v/>
      </c>
    </row>
    <row r="184">
      <c r="H184" s="12">
        <f>IF(AND(M183&gt;0.005,H183&lt;&gt;""),182,"")</f>
        <v/>
      </c>
      <c r="I184" s="13">
        <f>IF(H184&lt;&gt;"",EDATE(StartDate,181),"")</f>
        <v/>
      </c>
      <c r="J184" s="14">
        <f>IF(H184&lt;&gt;"",MIN(MonthlyPmt,M183+K184),"")</f>
        <v/>
      </c>
      <c r="K184" s="14">
        <f>IF(H184&lt;&gt;"",ROUND(M183*AnnualRate/12,2),"")</f>
        <v/>
      </c>
      <c r="L184" s="14">
        <f>IF(H184&lt;&gt;"",MIN(M183,(J184-K184)+SUMPRODUCT(($B$21:$B$30&lt;&gt;"")*($B$21:$B$30&lt;=I184)*(($C$21:$C$30="")+($C$21:$C$30&lt;&gt;"")*($C$21:$C$30&gt;=I184))*($E$21:$E$30="Monthly")*$D$21:$D$30)+SUMPRODUCT(($B$21:$B$30&lt;&gt;"")*($B$21:$B$30&lt;=I184)*(($C$21:$C$30="")+($C$21:$C$30&lt;&gt;"")*($C$21:$C$30&gt;=I184))*($E$21:$E$30="Annual")*(MONTH($B$21:$B$30)=MONTH(I184))*$D$21:$D$30)+SUMPRODUCT(($B$34:$B$48&lt;&gt;"")*(YEAR($B$34:$B$48)=YEAR(I184))*(MONTH($B$34:$B$48)=MONTH(I184))*$C$34:$C$48)),"")</f>
        <v/>
      </c>
      <c r="M184" s="14">
        <f>IF(H184&lt;&gt;"",ROUND(M183-L184,2),"")</f>
        <v/>
      </c>
      <c r="N184" s="10">
        <f>IF(H184&lt;&gt;"",N183+L184,"")</f>
        <v/>
      </c>
      <c r="O184" s="10">
        <f>IF(H184&lt;&gt;"",O183+K184,"")</f>
        <v/>
      </c>
    </row>
    <row r="185">
      <c r="H185" s="7">
        <f>IF(AND(M184&gt;0.005,H184&lt;&gt;""),183,"")</f>
        <v/>
      </c>
      <c r="I185" s="8">
        <f>IF(H185&lt;&gt;"",EDATE(StartDate,182),"")</f>
        <v/>
      </c>
      <c r="J185" s="9">
        <f>IF(H185&lt;&gt;"",MIN(MonthlyPmt,M184+K185),"")</f>
        <v/>
      </c>
      <c r="K185" s="9">
        <f>IF(H185&lt;&gt;"",ROUND(M184*AnnualRate/12,2),"")</f>
        <v/>
      </c>
      <c r="L185" s="9">
        <f>IF(H185&lt;&gt;"",MIN(M184,(J185-K185)+SUMPRODUCT(($B$21:$B$30&lt;&gt;"")*($B$21:$B$30&lt;=I185)*(($C$21:$C$30="")+($C$21:$C$30&lt;&gt;"")*($C$21:$C$30&gt;=I185))*($E$21:$E$30="Monthly")*$D$21:$D$30)+SUMPRODUCT(($B$21:$B$30&lt;&gt;"")*($B$21:$B$30&lt;=I185)*(($C$21:$C$30="")+($C$21:$C$30&lt;&gt;"")*($C$21:$C$30&gt;=I185))*($E$21:$E$30="Annual")*(MONTH($B$21:$B$30)=MONTH(I185))*$D$21:$D$30)+SUMPRODUCT(($B$34:$B$48&lt;&gt;"")*(YEAR($B$34:$B$48)=YEAR(I185))*(MONTH($B$34:$B$48)=MONTH(I185))*$C$34:$C$48)),"")</f>
        <v/>
      </c>
      <c r="M185" s="9">
        <f>IF(H185&lt;&gt;"",ROUND(M184-L185,2),"")</f>
        <v/>
      </c>
      <c r="N185" s="10">
        <f>IF(H185&lt;&gt;"",N184+L185,"")</f>
        <v/>
      </c>
      <c r="O185" s="10">
        <f>IF(H185&lt;&gt;"",O184+K185,"")</f>
        <v/>
      </c>
    </row>
    <row r="186">
      <c r="H186" s="12">
        <f>IF(AND(M185&gt;0.005,H185&lt;&gt;""),184,"")</f>
        <v/>
      </c>
      <c r="I186" s="13">
        <f>IF(H186&lt;&gt;"",EDATE(StartDate,183),"")</f>
        <v/>
      </c>
      <c r="J186" s="14">
        <f>IF(H186&lt;&gt;"",MIN(MonthlyPmt,M185+K186),"")</f>
        <v/>
      </c>
      <c r="K186" s="14">
        <f>IF(H186&lt;&gt;"",ROUND(M185*AnnualRate/12,2),"")</f>
        <v/>
      </c>
      <c r="L186" s="14">
        <f>IF(H186&lt;&gt;"",MIN(M185,(J186-K186)+SUMPRODUCT(($B$21:$B$30&lt;&gt;"")*($B$21:$B$30&lt;=I186)*(($C$21:$C$30="")+($C$21:$C$30&lt;&gt;"")*($C$21:$C$30&gt;=I186))*($E$21:$E$30="Monthly")*$D$21:$D$30)+SUMPRODUCT(($B$21:$B$30&lt;&gt;"")*($B$21:$B$30&lt;=I186)*(($C$21:$C$30="")+($C$21:$C$30&lt;&gt;"")*($C$21:$C$30&gt;=I186))*($E$21:$E$30="Annual")*(MONTH($B$21:$B$30)=MONTH(I186))*$D$21:$D$30)+SUMPRODUCT(($B$34:$B$48&lt;&gt;"")*(YEAR($B$34:$B$48)=YEAR(I186))*(MONTH($B$34:$B$48)=MONTH(I186))*$C$34:$C$48)),"")</f>
        <v/>
      </c>
      <c r="M186" s="14">
        <f>IF(H186&lt;&gt;"",ROUND(M185-L186,2),"")</f>
        <v/>
      </c>
      <c r="N186" s="10">
        <f>IF(H186&lt;&gt;"",N185+L186,"")</f>
        <v/>
      </c>
      <c r="O186" s="10">
        <f>IF(H186&lt;&gt;"",O185+K186,"")</f>
        <v/>
      </c>
    </row>
    <row r="187">
      <c r="H187" s="7">
        <f>IF(AND(M186&gt;0.005,H186&lt;&gt;""),185,"")</f>
        <v/>
      </c>
      <c r="I187" s="8">
        <f>IF(H187&lt;&gt;"",EDATE(StartDate,184),"")</f>
        <v/>
      </c>
      <c r="J187" s="9">
        <f>IF(H187&lt;&gt;"",MIN(MonthlyPmt,M186+K187),"")</f>
        <v/>
      </c>
      <c r="K187" s="9">
        <f>IF(H187&lt;&gt;"",ROUND(M186*AnnualRate/12,2),"")</f>
        <v/>
      </c>
      <c r="L187" s="9">
        <f>IF(H187&lt;&gt;"",MIN(M186,(J187-K187)+SUMPRODUCT(($B$21:$B$30&lt;&gt;"")*($B$21:$B$30&lt;=I187)*(($C$21:$C$30="")+($C$21:$C$30&lt;&gt;"")*($C$21:$C$30&gt;=I187))*($E$21:$E$30="Monthly")*$D$21:$D$30)+SUMPRODUCT(($B$21:$B$30&lt;&gt;"")*($B$21:$B$30&lt;=I187)*(($C$21:$C$30="")+($C$21:$C$30&lt;&gt;"")*($C$21:$C$30&gt;=I187))*($E$21:$E$30="Annual")*(MONTH($B$21:$B$30)=MONTH(I187))*$D$21:$D$30)+SUMPRODUCT(($B$34:$B$48&lt;&gt;"")*(YEAR($B$34:$B$48)=YEAR(I187))*(MONTH($B$34:$B$48)=MONTH(I187))*$C$34:$C$48)),"")</f>
        <v/>
      </c>
      <c r="M187" s="9">
        <f>IF(H187&lt;&gt;"",ROUND(M186-L187,2),"")</f>
        <v/>
      </c>
      <c r="N187" s="10">
        <f>IF(H187&lt;&gt;"",N186+L187,"")</f>
        <v/>
      </c>
      <c r="O187" s="10">
        <f>IF(H187&lt;&gt;"",O186+K187,"")</f>
        <v/>
      </c>
    </row>
    <row r="188">
      <c r="H188" s="12">
        <f>IF(AND(M187&gt;0.005,H187&lt;&gt;""),186,"")</f>
        <v/>
      </c>
      <c r="I188" s="13">
        <f>IF(H188&lt;&gt;"",EDATE(StartDate,185),"")</f>
        <v/>
      </c>
      <c r="J188" s="14">
        <f>IF(H188&lt;&gt;"",MIN(MonthlyPmt,M187+K188),"")</f>
        <v/>
      </c>
      <c r="K188" s="14">
        <f>IF(H188&lt;&gt;"",ROUND(M187*AnnualRate/12,2),"")</f>
        <v/>
      </c>
      <c r="L188" s="14">
        <f>IF(H188&lt;&gt;"",MIN(M187,(J188-K188)+SUMPRODUCT(($B$21:$B$30&lt;&gt;"")*($B$21:$B$30&lt;=I188)*(($C$21:$C$30="")+($C$21:$C$30&lt;&gt;"")*($C$21:$C$30&gt;=I188))*($E$21:$E$30="Monthly")*$D$21:$D$30)+SUMPRODUCT(($B$21:$B$30&lt;&gt;"")*($B$21:$B$30&lt;=I188)*(($C$21:$C$30="")+($C$21:$C$30&lt;&gt;"")*($C$21:$C$30&gt;=I188))*($E$21:$E$30="Annual")*(MONTH($B$21:$B$30)=MONTH(I188))*$D$21:$D$30)+SUMPRODUCT(($B$34:$B$48&lt;&gt;"")*(YEAR($B$34:$B$48)=YEAR(I188))*(MONTH($B$34:$B$48)=MONTH(I188))*$C$34:$C$48)),"")</f>
        <v/>
      </c>
      <c r="M188" s="14">
        <f>IF(H188&lt;&gt;"",ROUND(M187-L188,2),"")</f>
        <v/>
      </c>
      <c r="N188" s="10">
        <f>IF(H188&lt;&gt;"",N187+L188,"")</f>
        <v/>
      </c>
      <c r="O188" s="10">
        <f>IF(H188&lt;&gt;"",O187+K188,"")</f>
        <v/>
      </c>
    </row>
    <row r="189">
      <c r="H189" s="7">
        <f>IF(AND(M188&gt;0.005,H188&lt;&gt;""),187,"")</f>
        <v/>
      </c>
      <c r="I189" s="8">
        <f>IF(H189&lt;&gt;"",EDATE(StartDate,186),"")</f>
        <v/>
      </c>
      <c r="J189" s="9">
        <f>IF(H189&lt;&gt;"",MIN(MonthlyPmt,M188+K189),"")</f>
        <v/>
      </c>
      <c r="K189" s="9">
        <f>IF(H189&lt;&gt;"",ROUND(M188*AnnualRate/12,2),"")</f>
        <v/>
      </c>
      <c r="L189" s="9">
        <f>IF(H189&lt;&gt;"",MIN(M188,(J189-K189)+SUMPRODUCT(($B$21:$B$30&lt;&gt;"")*($B$21:$B$30&lt;=I189)*(($C$21:$C$30="")+($C$21:$C$30&lt;&gt;"")*($C$21:$C$30&gt;=I189))*($E$21:$E$30="Monthly")*$D$21:$D$30)+SUMPRODUCT(($B$21:$B$30&lt;&gt;"")*($B$21:$B$30&lt;=I189)*(($C$21:$C$30="")+($C$21:$C$30&lt;&gt;"")*($C$21:$C$30&gt;=I189))*($E$21:$E$30="Annual")*(MONTH($B$21:$B$30)=MONTH(I189))*$D$21:$D$30)+SUMPRODUCT(($B$34:$B$48&lt;&gt;"")*(YEAR($B$34:$B$48)=YEAR(I189))*(MONTH($B$34:$B$48)=MONTH(I189))*$C$34:$C$48)),"")</f>
        <v/>
      </c>
      <c r="M189" s="9">
        <f>IF(H189&lt;&gt;"",ROUND(M188-L189,2),"")</f>
        <v/>
      </c>
      <c r="N189" s="10">
        <f>IF(H189&lt;&gt;"",N188+L189,"")</f>
        <v/>
      </c>
      <c r="O189" s="10">
        <f>IF(H189&lt;&gt;"",O188+K189,"")</f>
        <v/>
      </c>
    </row>
    <row r="190">
      <c r="H190" s="12">
        <f>IF(AND(M189&gt;0.005,H189&lt;&gt;""),188,"")</f>
        <v/>
      </c>
      <c r="I190" s="13">
        <f>IF(H190&lt;&gt;"",EDATE(StartDate,187),"")</f>
        <v/>
      </c>
      <c r="J190" s="14">
        <f>IF(H190&lt;&gt;"",MIN(MonthlyPmt,M189+K190),"")</f>
        <v/>
      </c>
      <c r="K190" s="14">
        <f>IF(H190&lt;&gt;"",ROUND(M189*AnnualRate/12,2),"")</f>
        <v/>
      </c>
      <c r="L190" s="14">
        <f>IF(H190&lt;&gt;"",MIN(M189,(J190-K190)+SUMPRODUCT(($B$21:$B$30&lt;&gt;"")*($B$21:$B$30&lt;=I190)*(($C$21:$C$30="")+($C$21:$C$30&lt;&gt;"")*($C$21:$C$30&gt;=I190))*($E$21:$E$30="Monthly")*$D$21:$D$30)+SUMPRODUCT(($B$21:$B$30&lt;&gt;"")*($B$21:$B$30&lt;=I190)*(($C$21:$C$30="")+($C$21:$C$30&lt;&gt;"")*($C$21:$C$30&gt;=I190))*($E$21:$E$30="Annual")*(MONTH($B$21:$B$30)=MONTH(I190))*$D$21:$D$30)+SUMPRODUCT(($B$34:$B$48&lt;&gt;"")*(YEAR($B$34:$B$48)=YEAR(I190))*(MONTH($B$34:$B$48)=MONTH(I190))*$C$34:$C$48)),"")</f>
        <v/>
      </c>
      <c r="M190" s="14">
        <f>IF(H190&lt;&gt;"",ROUND(M189-L190,2),"")</f>
        <v/>
      </c>
      <c r="N190" s="10">
        <f>IF(H190&lt;&gt;"",N189+L190,"")</f>
        <v/>
      </c>
      <c r="O190" s="10">
        <f>IF(H190&lt;&gt;"",O189+K190,"")</f>
        <v/>
      </c>
    </row>
    <row r="191">
      <c r="H191" s="7">
        <f>IF(AND(M190&gt;0.005,H190&lt;&gt;""),189,"")</f>
        <v/>
      </c>
      <c r="I191" s="8">
        <f>IF(H191&lt;&gt;"",EDATE(StartDate,188),"")</f>
        <v/>
      </c>
      <c r="J191" s="9">
        <f>IF(H191&lt;&gt;"",MIN(MonthlyPmt,M190+K191),"")</f>
        <v/>
      </c>
      <c r="K191" s="9">
        <f>IF(H191&lt;&gt;"",ROUND(M190*AnnualRate/12,2),"")</f>
        <v/>
      </c>
      <c r="L191" s="9">
        <f>IF(H191&lt;&gt;"",MIN(M190,(J191-K191)+SUMPRODUCT(($B$21:$B$30&lt;&gt;"")*($B$21:$B$30&lt;=I191)*(($C$21:$C$30="")+($C$21:$C$30&lt;&gt;"")*($C$21:$C$30&gt;=I191))*($E$21:$E$30="Monthly")*$D$21:$D$30)+SUMPRODUCT(($B$21:$B$30&lt;&gt;"")*($B$21:$B$30&lt;=I191)*(($C$21:$C$30="")+($C$21:$C$30&lt;&gt;"")*($C$21:$C$30&gt;=I191))*($E$21:$E$30="Annual")*(MONTH($B$21:$B$30)=MONTH(I191))*$D$21:$D$30)+SUMPRODUCT(($B$34:$B$48&lt;&gt;"")*(YEAR($B$34:$B$48)=YEAR(I191))*(MONTH($B$34:$B$48)=MONTH(I191))*$C$34:$C$48)),"")</f>
        <v/>
      </c>
      <c r="M191" s="9">
        <f>IF(H191&lt;&gt;"",ROUND(M190-L191,2),"")</f>
        <v/>
      </c>
      <c r="N191" s="10">
        <f>IF(H191&lt;&gt;"",N190+L191,"")</f>
        <v/>
      </c>
      <c r="O191" s="10">
        <f>IF(H191&lt;&gt;"",O190+K191,"")</f>
        <v/>
      </c>
    </row>
    <row r="192">
      <c r="H192" s="12">
        <f>IF(AND(M191&gt;0.005,H191&lt;&gt;""),190,"")</f>
        <v/>
      </c>
      <c r="I192" s="13">
        <f>IF(H192&lt;&gt;"",EDATE(StartDate,189),"")</f>
        <v/>
      </c>
      <c r="J192" s="14">
        <f>IF(H192&lt;&gt;"",MIN(MonthlyPmt,M191+K192),"")</f>
        <v/>
      </c>
      <c r="K192" s="14">
        <f>IF(H192&lt;&gt;"",ROUND(M191*AnnualRate/12,2),"")</f>
        <v/>
      </c>
      <c r="L192" s="14">
        <f>IF(H192&lt;&gt;"",MIN(M191,(J192-K192)+SUMPRODUCT(($B$21:$B$30&lt;&gt;"")*($B$21:$B$30&lt;=I192)*(($C$21:$C$30="")+($C$21:$C$30&lt;&gt;"")*($C$21:$C$30&gt;=I192))*($E$21:$E$30="Monthly")*$D$21:$D$30)+SUMPRODUCT(($B$21:$B$30&lt;&gt;"")*($B$21:$B$30&lt;=I192)*(($C$21:$C$30="")+($C$21:$C$30&lt;&gt;"")*($C$21:$C$30&gt;=I192))*($E$21:$E$30="Annual")*(MONTH($B$21:$B$30)=MONTH(I192))*$D$21:$D$30)+SUMPRODUCT(($B$34:$B$48&lt;&gt;"")*(YEAR($B$34:$B$48)=YEAR(I192))*(MONTH($B$34:$B$48)=MONTH(I192))*$C$34:$C$48)),"")</f>
        <v/>
      </c>
      <c r="M192" s="14">
        <f>IF(H192&lt;&gt;"",ROUND(M191-L192,2),"")</f>
        <v/>
      </c>
      <c r="N192" s="10">
        <f>IF(H192&lt;&gt;"",N191+L192,"")</f>
        <v/>
      </c>
      <c r="O192" s="10">
        <f>IF(H192&lt;&gt;"",O191+K192,"")</f>
        <v/>
      </c>
    </row>
    <row r="193">
      <c r="H193" s="7">
        <f>IF(AND(M192&gt;0.005,H192&lt;&gt;""),191,"")</f>
        <v/>
      </c>
      <c r="I193" s="8">
        <f>IF(H193&lt;&gt;"",EDATE(StartDate,190),"")</f>
        <v/>
      </c>
      <c r="J193" s="9">
        <f>IF(H193&lt;&gt;"",MIN(MonthlyPmt,M192+K193),"")</f>
        <v/>
      </c>
      <c r="K193" s="9">
        <f>IF(H193&lt;&gt;"",ROUND(M192*AnnualRate/12,2),"")</f>
        <v/>
      </c>
      <c r="L193" s="9">
        <f>IF(H193&lt;&gt;"",MIN(M192,(J193-K193)+SUMPRODUCT(($B$21:$B$30&lt;&gt;"")*($B$21:$B$30&lt;=I193)*(($C$21:$C$30="")+($C$21:$C$30&lt;&gt;"")*($C$21:$C$30&gt;=I193))*($E$21:$E$30="Monthly")*$D$21:$D$30)+SUMPRODUCT(($B$21:$B$30&lt;&gt;"")*($B$21:$B$30&lt;=I193)*(($C$21:$C$30="")+($C$21:$C$30&lt;&gt;"")*($C$21:$C$30&gt;=I193))*($E$21:$E$30="Annual")*(MONTH($B$21:$B$30)=MONTH(I193))*$D$21:$D$30)+SUMPRODUCT(($B$34:$B$48&lt;&gt;"")*(YEAR($B$34:$B$48)=YEAR(I193))*(MONTH($B$34:$B$48)=MONTH(I193))*$C$34:$C$48)),"")</f>
        <v/>
      </c>
      <c r="M193" s="9">
        <f>IF(H193&lt;&gt;"",ROUND(M192-L193,2),"")</f>
        <v/>
      </c>
      <c r="N193" s="10">
        <f>IF(H193&lt;&gt;"",N192+L193,"")</f>
        <v/>
      </c>
      <c r="O193" s="10">
        <f>IF(H193&lt;&gt;"",O192+K193,"")</f>
        <v/>
      </c>
    </row>
    <row r="194">
      <c r="H194" s="12">
        <f>IF(AND(M193&gt;0.005,H193&lt;&gt;""),192,"")</f>
        <v/>
      </c>
      <c r="I194" s="13">
        <f>IF(H194&lt;&gt;"",EDATE(StartDate,191),"")</f>
        <v/>
      </c>
      <c r="J194" s="14">
        <f>IF(H194&lt;&gt;"",MIN(MonthlyPmt,M193+K194),"")</f>
        <v/>
      </c>
      <c r="K194" s="14">
        <f>IF(H194&lt;&gt;"",ROUND(M193*AnnualRate/12,2),"")</f>
        <v/>
      </c>
      <c r="L194" s="14">
        <f>IF(H194&lt;&gt;"",MIN(M193,(J194-K194)+SUMPRODUCT(($B$21:$B$30&lt;&gt;"")*($B$21:$B$30&lt;=I194)*(($C$21:$C$30="")+($C$21:$C$30&lt;&gt;"")*($C$21:$C$30&gt;=I194))*($E$21:$E$30="Monthly")*$D$21:$D$30)+SUMPRODUCT(($B$21:$B$30&lt;&gt;"")*($B$21:$B$30&lt;=I194)*(($C$21:$C$30="")+($C$21:$C$30&lt;&gt;"")*($C$21:$C$30&gt;=I194))*($E$21:$E$30="Annual")*(MONTH($B$21:$B$30)=MONTH(I194))*$D$21:$D$30)+SUMPRODUCT(($B$34:$B$48&lt;&gt;"")*(YEAR($B$34:$B$48)=YEAR(I194))*(MONTH($B$34:$B$48)=MONTH(I194))*$C$34:$C$48)),"")</f>
        <v/>
      </c>
      <c r="M194" s="14">
        <f>IF(H194&lt;&gt;"",ROUND(M193-L194,2),"")</f>
        <v/>
      </c>
      <c r="N194" s="10">
        <f>IF(H194&lt;&gt;"",N193+L194,"")</f>
        <v/>
      </c>
      <c r="O194" s="10">
        <f>IF(H194&lt;&gt;"",O193+K194,"")</f>
        <v/>
      </c>
    </row>
    <row r="195">
      <c r="H195" s="7">
        <f>IF(AND(M194&gt;0.005,H194&lt;&gt;""),193,"")</f>
        <v/>
      </c>
      <c r="I195" s="8">
        <f>IF(H195&lt;&gt;"",EDATE(StartDate,192),"")</f>
        <v/>
      </c>
      <c r="J195" s="9">
        <f>IF(H195&lt;&gt;"",MIN(MonthlyPmt,M194+K195),"")</f>
        <v/>
      </c>
      <c r="K195" s="9">
        <f>IF(H195&lt;&gt;"",ROUND(M194*AnnualRate/12,2),"")</f>
        <v/>
      </c>
      <c r="L195" s="9">
        <f>IF(H195&lt;&gt;"",MIN(M194,(J195-K195)+SUMPRODUCT(($B$21:$B$30&lt;&gt;"")*($B$21:$B$30&lt;=I195)*(($C$21:$C$30="")+($C$21:$C$30&lt;&gt;"")*($C$21:$C$30&gt;=I195))*($E$21:$E$30="Monthly")*$D$21:$D$30)+SUMPRODUCT(($B$21:$B$30&lt;&gt;"")*($B$21:$B$30&lt;=I195)*(($C$21:$C$30="")+($C$21:$C$30&lt;&gt;"")*($C$21:$C$30&gt;=I195))*($E$21:$E$30="Annual")*(MONTH($B$21:$B$30)=MONTH(I195))*$D$21:$D$30)+SUMPRODUCT(($B$34:$B$48&lt;&gt;"")*(YEAR($B$34:$B$48)=YEAR(I195))*(MONTH($B$34:$B$48)=MONTH(I195))*$C$34:$C$48)),"")</f>
        <v/>
      </c>
      <c r="M195" s="9">
        <f>IF(H195&lt;&gt;"",ROUND(M194-L195,2),"")</f>
        <v/>
      </c>
      <c r="N195" s="10">
        <f>IF(H195&lt;&gt;"",N194+L195,"")</f>
        <v/>
      </c>
      <c r="O195" s="10">
        <f>IF(H195&lt;&gt;"",O194+K195,"")</f>
        <v/>
      </c>
    </row>
    <row r="196">
      <c r="H196" s="12">
        <f>IF(AND(M195&gt;0.005,H195&lt;&gt;""),194,"")</f>
        <v/>
      </c>
      <c r="I196" s="13">
        <f>IF(H196&lt;&gt;"",EDATE(StartDate,193),"")</f>
        <v/>
      </c>
      <c r="J196" s="14">
        <f>IF(H196&lt;&gt;"",MIN(MonthlyPmt,M195+K196),"")</f>
        <v/>
      </c>
      <c r="K196" s="14">
        <f>IF(H196&lt;&gt;"",ROUND(M195*AnnualRate/12,2),"")</f>
        <v/>
      </c>
      <c r="L196" s="14">
        <f>IF(H196&lt;&gt;"",MIN(M195,(J196-K196)+SUMPRODUCT(($B$21:$B$30&lt;&gt;"")*($B$21:$B$30&lt;=I196)*(($C$21:$C$30="")+($C$21:$C$30&lt;&gt;"")*($C$21:$C$30&gt;=I196))*($E$21:$E$30="Monthly")*$D$21:$D$30)+SUMPRODUCT(($B$21:$B$30&lt;&gt;"")*($B$21:$B$30&lt;=I196)*(($C$21:$C$30="")+($C$21:$C$30&lt;&gt;"")*($C$21:$C$30&gt;=I196))*($E$21:$E$30="Annual")*(MONTH($B$21:$B$30)=MONTH(I196))*$D$21:$D$30)+SUMPRODUCT(($B$34:$B$48&lt;&gt;"")*(YEAR($B$34:$B$48)=YEAR(I196))*(MONTH($B$34:$B$48)=MONTH(I196))*$C$34:$C$48)),"")</f>
        <v/>
      </c>
      <c r="M196" s="14">
        <f>IF(H196&lt;&gt;"",ROUND(M195-L196,2),"")</f>
        <v/>
      </c>
      <c r="N196" s="10">
        <f>IF(H196&lt;&gt;"",N195+L196,"")</f>
        <v/>
      </c>
      <c r="O196" s="10">
        <f>IF(H196&lt;&gt;"",O195+K196,"")</f>
        <v/>
      </c>
    </row>
    <row r="197">
      <c r="H197" s="7">
        <f>IF(AND(M196&gt;0.005,H196&lt;&gt;""),195,"")</f>
        <v/>
      </c>
      <c r="I197" s="8">
        <f>IF(H197&lt;&gt;"",EDATE(StartDate,194),"")</f>
        <v/>
      </c>
      <c r="J197" s="9">
        <f>IF(H197&lt;&gt;"",MIN(MonthlyPmt,M196+K197),"")</f>
        <v/>
      </c>
      <c r="K197" s="9">
        <f>IF(H197&lt;&gt;"",ROUND(M196*AnnualRate/12,2),"")</f>
        <v/>
      </c>
      <c r="L197" s="9">
        <f>IF(H197&lt;&gt;"",MIN(M196,(J197-K197)+SUMPRODUCT(($B$21:$B$30&lt;&gt;"")*($B$21:$B$30&lt;=I197)*(($C$21:$C$30="")+($C$21:$C$30&lt;&gt;"")*($C$21:$C$30&gt;=I197))*($E$21:$E$30="Monthly")*$D$21:$D$30)+SUMPRODUCT(($B$21:$B$30&lt;&gt;"")*($B$21:$B$30&lt;=I197)*(($C$21:$C$30="")+($C$21:$C$30&lt;&gt;"")*($C$21:$C$30&gt;=I197))*($E$21:$E$30="Annual")*(MONTH($B$21:$B$30)=MONTH(I197))*$D$21:$D$30)+SUMPRODUCT(($B$34:$B$48&lt;&gt;"")*(YEAR($B$34:$B$48)=YEAR(I197))*(MONTH($B$34:$B$48)=MONTH(I197))*$C$34:$C$48)),"")</f>
        <v/>
      </c>
      <c r="M197" s="9">
        <f>IF(H197&lt;&gt;"",ROUND(M196-L197,2),"")</f>
        <v/>
      </c>
      <c r="N197" s="10">
        <f>IF(H197&lt;&gt;"",N196+L197,"")</f>
        <v/>
      </c>
      <c r="O197" s="10">
        <f>IF(H197&lt;&gt;"",O196+K197,"")</f>
        <v/>
      </c>
    </row>
    <row r="198">
      <c r="H198" s="12">
        <f>IF(AND(M197&gt;0.005,H197&lt;&gt;""),196,"")</f>
        <v/>
      </c>
      <c r="I198" s="13">
        <f>IF(H198&lt;&gt;"",EDATE(StartDate,195),"")</f>
        <v/>
      </c>
      <c r="J198" s="14">
        <f>IF(H198&lt;&gt;"",MIN(MonthlyPmt,M197+K198),"")</f>
        <v/>
      </c>
      <c r="K198" s="14">
        <f>IF(H198&lt;&gt;"",ROUND(M197*AnnualRate/12,2),"")</f>
        <v/>
      </c>
      <c r="L198" s="14">
        <f>IF(H198&lt;&gt;"",MIN(M197,(J198-K198)+SUMPRODUCT(($B$21:$B$30&lt;&gt;"")*($B$21:$B$30&lt;=I198)*(($C$21:$C$30="")+($C$21:$C$30&lt;&gt;"")*($C$21:$C$30&gt;=I198))*($E$21:$E$30="Monthly")*$D$21:$D$30)+SUMPRODUCT(($B$21:$B$30&lt;&gt;"")*($B$21:$B$30&lt;=I198)*(($C$21:$C$30="")+($C$21:$C$30&lt;&gt;"")*($C$21:$C$30&gt;=I198))*($E$21:$E$30="Annual")*(MONTH($B$21:$B$30)=MONTH(I198))*$D$21:$D$30)+SUMPRODUCT(($B$34:$B$48&lt;&gt;"")*(YEAR($B$34:$B$48)=YEAR(I198))*(MONTH($B$34:$B$48)=MONTH(I198))*$C$34:$C$48)),"")</f>
        <v/>
      </c>
      <c r="M198" s="14">
        <f>IF(H198&lt;&gt;"",ROUND(M197-L198,2),"")</f>
        <v/>
      </c>
      <c r="N198" s="10">
        <f>IF(H198&lt;&gt;"",N197+L198,"")</f>
        <v/>
      </c>
      <c r="O198" s="10">
        <f>IF(H198&lt;&gt;"",O197+K198,"")</f>
        <v/>
      </c>
    </row>
    <row r="199">
      <c r="H199" s="7">
        <f>IF(AND(M198&gt;0.005,H198&lt;&gt;""),197,"")</f>
        <v/>
      </c>
      <c r="I199" s="8">
        <f>IF(H199&lt;&gt;"",EDATE(StartDate,196),"")</f>
        <v/>
      </c>
      <c r="J199" s="9">
        <f>IF(H199&lt;&gt;"",MIN(MonthlyPmt,M198+K199),"")</f>
        <v/>
      </c>
      <c r="K199" s="9">
        <f>IF(H199&lt;&gt;"",ROUND(M198*AnnualRate/12,2),"")</f>
        <v/>
      </c>
      <c r="L199" s="9">
        <f>IF(H199&lt;&gt;"",MIN(M198,(J199-K199)+SUMPRODUCT(($B$21:$B$30&lt;&gt;"")*($B$21:$B$30&lt;=I199)*(($C$21:$C$30="")+($C$21:$C$30&lt;&gt;"")*($C$21:$C$30&gt;=I199))*($E$21:$E$30="Monthly")*$D$21:$D$30)+SUMPRODUCT(($B$21:$B$30&lt;&gt;"")*($B$21:$B$30&lt;=I199)*(($C$21:$C$30="")+($C$21:$C$30&lt;&gt;"")*($C$21:$C$30&gt;=I199))*($E$21:$E$30="Annual")*(MONTH($B$21:$B$30)=MONTH(I199))*$D$21:$D$30)+SUMPRODUCT(($B$34:$B$48&lt;&gt;"")*(YEAR($B$34:$B$48)=YEAR(I199))*(MONTH($B$34:$B$48)=MONTH(I199))*$C$34:$C$48)),"")</f>
        <v/>
      </c>
      <c r="M199" s="9">
        <f>IF(H199&lt;&gt;"",ROUND(M198-L199,2),"")</f>
        <v/>
      </c>
      <c r="N199" s="10">
        <f>IF(H199&lt;&gt;"",N198+L199,"")</f>
        <v/>
      </c>
      <c r="O199" s="10">
        <f>IF(H199&lt;&gt;"",O198+K199,"")</f>
        <v/>
      </c>
    </row>
    <row r="200">
      <c r="H200" s="12">
        <f>IF(AND(M199&gt;0.005,H199&lt;&gt;""),198,"")</f>
        <v/>
      </c>
      <c r="I200" s="13">
        <f>IF(H200&lt;&gt;"",EDATE(StartDate,197),"")</f>
        <v/>
      </c>
      <c r="J200" s="14">
        <f>IF(H200&lt;&gt;"",MIN(MonthlyPmt,M199+K200),"")</f>
        <v/>
      </c>
      <c r="K200" s="14">
        <f>IF(H200&lt;&gt;"",ROUND(M199*AnnualRate/12,2),"")</f>
        <v/>
      </c>
      <c r="L200" s="14">
        <f>IF(H200&lt;&gt;"",MIN(M199,(J200-K200)+SUMPRODUCT(($B$21:$B$30&lt;&gt;"")*($B$21:$B$30&lt;=I200)*(($C$21:$C$30="")+($C$21:$C$30&lt;&gt;"")*($C$21:$C$30&gt;=I200))*($E$21:$E$30="Monthly")*$D$21:$D$30)+SUMPRODUCT(($B$21:$B$30&lt;&gt;"")*($B$21:$B$30&lt;=I200)*(($C$21:$C$30="")+($C$21:$C$30&lt;&gt;"")*($C$21:$C$30&gt;=I200))*($E$21:$E$30="Annual")*(MONTH($B$21:$B$30)=MONTH(I200))*$D$21:$D$30)+SUMPRODUCT(($B$34:$B$48&lt;&gt;"")*(YEAR($B$34:$B$48)=YEAR(I200))*(MONTH($B$34:$B$48)=MONTH(I200))*$C$34:$C$48)),"")</f>
        <v/>
      </c>
      <c r="M200" s="14">
        <f>IF(H200&lt;&gt;"",ROUND(M199-L200,2),"")</f>
        <v/>
      </c>
      <c r="N200" s="10">
        <f>IF(H200&lt;&gt;"",N199+L200,"")</f>
        <v/>
      </c>
      <c r="O200" s="10">
        <f>IF(H200&lt;&gt;"",O199+K200,"")</f>
        <v/>
      </c>
    </row>
    <row r="201">
      <c r="H201" s="7">
        <f>IF(AND(M200&gt;0.005,H200&lt;&gt;""),199,"")</f>
        <v/>
      </c>
      <c r="I201" s="8">
        <f>IF(H201&lt;&gt;"",EDATE(StartDate,198),"")</f>
        <v/>
      </c>
      <c r="J201" s="9">
        <f>IF(H201&lt;&gt;"",MIN(MonthlyPmt,M200+K201),"")</f>
        <v/>
      </c>
      <c r="K201" s="9">
        <f>IF(H201&lt;&gt;"",ROUND(M200*AnnualRate/12,2),"")</f>
        <v/>
      </c>
      <c r="L201" s="9">
        <f>IF(H201&lt;&gt;"",MIN(M200,(J201-K201)+SUMPRODUCT(($B$21:$B$30&lt;&gt;"")*($B$21:$B$30&lt;=I201)*(($C$21:$C$30="")+($C$21:$C$30&lt;&gt;"")*($C$21:$C$30&gt;=I201))*($E$21:$E$30="Monthly")*$D$21:$D$30)+SUMPRODUCT(($B$21:$B$30&lt;&gt;"")*($B$21:$B$30&lt;=I201)*(($C$21:$C$30="")+($C$21:$C$30&lt;&gt;"")*($C$21:$C$30&gt;=I201))*($E$21:$E$30="Annual")*(MONTH($B$21:$B$30)=MONTH(I201))*$D$21:$D$30)+SUMPRODUCT(($B$34:$B$48&lt;&gt;"")*(YEAR($B$34:$B$48)=YEAR(I201))*(MONTH($B$34:$B$48)=MONTH(I201))*$C$34:$C$48)),"")</f>
        <v/>
      </c>
      <c r="M201" s="9">
        <f>IF(H201&lt;&gt;"",ROUND(M200-L201,2),"")</f>
        <v/>
      </c>
      <c r="N201" s="10">
        <f>IF(H201&lt;&gt;"",N200+L201,"")</f>
        <v/>
      </c>
      <c r="O201" s="10">
        <f>IF(H201&lt;&gt;"",O200+K201,"")</f>
        <v/>
      </c>
    </row>
    <row r="202">
      <c r="H202" s="12">
        <f>IF(AND(M201&gt;0.005,H201&lt;&gt;""),200,"")</f>
        <v/>
      </c>
      <c r="I202" s="13">
        <f>IF(H202&lt;&gt;"",EDATE(StartDate,199),"")</f>
        <v/>
      </c>
      <c r="J202" s="14">
        <f>IF(H202&lt;&gt;"",MIN(MonthlyPmt,M201+K202),"")</f>
        <v/>
      </c>
      <c r="K202" s="14">
        <f>IF(H202&lt;&gt;"",ROUND(M201*AnnualRate/12,2),"")</f>
        <v/>
      </c>
      <c r="L202" s="14">
        <f>IF(H202&lt;&gt;"",MIN(M201,(J202-K202)+SUMPRODUCT(($B$21:$B$30&lt;&gt;"")*($B$21:$B$30&lt;=I202)*(($C$21:$C$30="")+($C$21:$C$30&lt;&gt;"")*($C$21:$C$30&gt;=I202))*($E$21:$E$30="Monthly")*$D$21:$D$30)+SUMPRODUCT(($B$21:$B$30&lt;&gt;"")*($B$21:$B$30&lt;=I202)*(($C$21:$C$30="")+($C$21:$C$30&lt;&gt;"")*($C$21:$C$30&gt;=I202))*($E$21:$E$30="Annual")*(MONTH($B$21:$B$30)=MONTH(I202))*$D$21:$D$30)+SUMPRODUCT(($B$34:$B$48&lt;&gt;"")*(YEAR($B$34:$B$48)=YEAR(I202))*(MONTH($B$34:$B$48)=MONTH(I202))*$C$34:$C$48)),"")</f>
        <v/>
      </c>
      <c r="M202" s="14">
        <f>IF(H202&lt;&gt;"",ROUND(M201-L202,2),"")</f>
        <v/>
      </c>
      <c r="N202" s="10">
        <f>IF(H202&lt;&gt;"",N201+L202,"")</f>
        <v/>
      </c>
      <c r="O202" s="10">
        <f>IF(H202&lt;&gt;"",O201+K202,"")</f>
        <v/>
      </c>
    </row>
    <row r="203">
      <c r="H203" s="7">
        <f>IF(AND(M202&gt;0.005,H202&lt;&gt;""),201,"")</f>
        <v/>
      </c>
      <c r="I203" s="8">
        <f>IF(H203&lt;&gt;"",EDATE(StartDate,200),"")</f>
        <v/>
      </c>
      <c r="J203" s="9">
        <f>IF(H203&lt;&gt;"",MIN(MonthlyPmt,M202+K203),"")</f>
        <v/>
      </c>
      <c r="K203" s="9">
        <f>IF(H203&lt;&gt;"",ROUND(M202*AnnualRate/12,2),"")</f>
        <v/>
      </c>
      <c r="L203" s="9">
        <f>IF(H203&lt;&gt;"",MIN(M202,(J203-K203)+SUMPRODUCT(($B$21:$B$30&lt;&gt;"")*($B$21:$B$30&lt;=I203)*(($C$21:$C$30="")+($C$21:$C$30&lt;&gt;"")*($C$21:$C$30&gt;=I203))*($E$21:$E$30="Monthly")*$D$21:$D$30)+SUMPRODUCT(($B$21:$B$30&lt;&gt;"")*($B$21:$B$30&lt;=I203)*(($C$21:$C$30="")+($C$21:$C$30&lt;&gt;"")*($C$21:$C$30&gt;=I203))*($E$21:$E$30="Annual")*(MONTH($B$21:$B$30)=MONTH(I203))*$D$21:$D$30)+SUMPRODUCT(($B$34:$B$48&lt;&gt;"")*(YEAR($B$34:$B$48)=YEAR(I203))*(MONTH($B$34:$B$48)=MONTH(I203))*$C$34:$C$48)),"")</f>
        <v/>
      </c>
      <c r="M203" s="9">
        <f>IF(H203&lt;&gt;"",ROUND(M202-L203,2),"")</f>
        <v/>
      </c>
      <c r="N203" s="10">
        <f>IF(H203&lt;&gt;"",N202+L203,"")</f>
        <v/>
      </c>
      <c r="O203" s="10">
        <f>IF(H203&lt;&gt;"",O202+K203,"")</f>
        <v/>
      </c>
    </row>
    <row r="204">
      <c r="H204" s="12">
        <f>IF(AND(M203&gt;0.005,H203&lt;&gt;""),202,"")</f>
        <v/>
      </c>
      <c r="I204" s="13">
        <f>IF(H204&lt;&gt;"",EDATE(StartDate,201),"")</f>
        <v/>
      </c>
      <c r="J204" s="14">
        <f>IF(H204&lt;&gt;"",MIN(MonthlyPmt,M203+K204),"")</f>
        <v/>
      </c>
      <c r="K204" s="14">
        <f>IF(H204&lt;&gt;"",ROUND(M203*AnnualRate/12,2),"")</f>
        <v/>
      </c>
      <c r="L204" s="14">
        <f>IF(H204&lt;&gt;"",MIN(M203,(J204-K204)+SUMPRODUCT(($B$21:$B$30&lt;&gt;"")*($B$21:$B$30&lt;=I204)*(($C$21:$C$30="")+($C$21:$C$30&lt;&gt;"")*($C$21:$C$30&gt;=I204))*($E$21:$E$30="Monthly")*$D$21:$D$30)+SUMPRODUCT(($B$21:$B$30&lt;&gt;"")*($B$21:$B$30&lt;=I204)*(($C$21:$C$30="")+($C$21:$C$30&lt;&gt;"")*($C$21:$C$30&gt;=I204))*($E$21:$E$30="Annual")*(MONTH($B$21:$B$30)=MONTH(I204))*$D$21:$D$30)+SUMPRODUCT(($B$34:$B$48&lt;&gt;"")*(YEAR($B$34:$B$48)=YEAR(I204))*(MONTH($B$34:$B$48)=MONTH(I204))*$C$34:$C$48)),"")</f>
        <v/>
      </c>
      <c r="M204" s="14">
        <f>IF(H204&lt;&gt;"",ROUND(M203-L204,2),"")</f>
        <v/>
      </c>
      <c r="N204" s="10">
        <f>IF(H204&lt;&gt;"",N203+L204,"")</f>
        <v/>
      </c>
      <c r="O204" s="10">
        <f>IF(H204&lt;&gt;"",O203+K204,"")</f>
        <v/>
      </c>
    </row>
    <row r="205">
      <c r="H205" s="7">
        <f>IF(AND(M204&gt;0.005,H204&lt;&gt;""),203,"")</f>
        <v/>
      </c>
      <c r="I205" s="8">
        <f>IF(H205&lt;&gt;"",EDATE(StartDate,202),"")</f>
        <v/>
      </c>
      <c r="J205" s="9">
        <f>IF(H205&lt;&gt;"",MIN(MonthlyPmt,M204+K205),"")</f>
        <v/>
      </c>
      <c r="K205" s="9">
        <f>IF(H205&lt;&gt;"",ROUND(M204*AnnualRate/12,2),"")</f>
        <v/>
      </c>
      <c r="L205" s="9">
        <f>IF(H205&lt;&gt;"",MIN(M204,(J205-K205)+SUMPRODUCT(($B$21:$B$30&lt;&gt;"")*($B$21:$B$30&lt;=I205)*(($C$21:$C$30="")+($C$21:$C$30&lt;&gt;"")*($C$21:$C$30&gt;=I205))*($E$21:$E$30="Monthly")*$D$21:$D$30)+SUMPRODUCT(($B$21:$B$30&lt;&gt;"")*($B$21:$B$30&lt;=I205)*(($C$21:$C$30="")+($C$21:$C$30&lt;&gt;"")*($C$21:$C$30&gt;=I205))*($E$21:$E$30="Annual")*(MONTH($B$21:$B$30)=MONTH(I205))*$D$21:$D$30)+SUMPRODUCT(($B$34:$B$48&lt;&gt;"")*(YEAR($B$34:$B$48)=YEAR(I205))*(MONTH($B$34:$B$48)=MONTH(I205))*$C$34:$C$48)),"")</f>
        <v/>
      </c>
      <c r="M205" s="9">
        <f>IF(H205&lt;&gt;"",ROUND(M204-L205,2),"")</f>
        <v/>
      </c>
      <c r="N205" s="10">
        <f>IF(H205&lt;&gt;"",N204+L205,"")</f>
        <v/>
      </c>
      <c r="O205" s="10">
        <f>IF(H205&lt;&gt;"",O204+K205,"")</f>
        <v/>
      </c>
    </row>
    <row r="206">
      <c r="H206" s="12">
        <f>IF(AND(M205&gt;0.005,H205&lt;&gt;""),204,"")</f>
        <v/>
      </c>
      <c r="I206" s="13">
        <f>IF(H206&lt;&gt;"",EDATE(StartDate,203),"")</f>
        <v/>
      </c>
      <c r="J206" s="14">
        <f>IF(H206&lt;&gt;"",MIN(MonthlyPmt,M205+K206),"")</f>
        <v/>
      </c>
      <c r="K206" s="14">
        <f>IF(H206&lt;&gt;"",ROUND(M205*AnnualRate/12,2),"")</f>
        <v/>
      </c>
      <c r="L206" s="14">
        <f>IF(H206&lt;&gt;"",MIN(M205,(J206-K206)+SUMPRODUCT(($B$21:$B$30&lt;&gt;"")*($B$21:$B$30&lt;=I206)*(($C$21:$C$30="")+($C$21:$C$30&lt;&gt;"")*($C$21:$C$30&gt;=I206))*($E$21:$E$30="Monthly")*$D$21:$D$30)+SUMPRODUCT(($B$21:$B$30&lt;&gt;"")*($B$21:$B$30&lt;=I206)*(($C$21:$C$30="")+($C$21:$C$30&lt;&gt;"")*($C$21:$C$30&gt;=I206))*($E$21:$E$30="Annual")*(MONTH($B$21:$B$30)=MONTH(I206))*$D$21:$D$30)+SUMPRODUCT(($B$34:$B$48&lt;&gt;"")*(YEAR($B$34:$B$48)=YEAR(I206))*(MONTH($B$34:$B$48)=MONTH(I206))*$C$34:$C$48)),"")</f>
        <v/>
      </c>
      <c r="M206" s="14">
        <f>IF(H206&lt;&gt;"",ROUND(M205-L206,2),"")</f>
        <v/>
      </c>
      <c r="N206" s="10">
        <f>IF(H206&lt;&gt;"",N205+L206,"")</f>
        <v/>
      </c>
      <c r="O206" s="10">
        <f>IF(H206&lt;&gt;"",O205+K206,"")</f>
        <v/>
      </c>
    </row>
    <row r="207">
      <c r="H207" s="7">
        <f>IF(AND(M206&gt;0.005,H206&lt;&gt;""),205,"")</f>
        <v/>
      </c>
      <c r="I207" s="8">
        <f>IF(H207&lt;&gt;"",EDATE(StartDate,204),"")</f>
        <v/>
      </c>
      <c r="J207" s="9">
        <f>IF(H207&lt;&gt;"",MIN(MonthlyPmt,M206+K207),"")</f>
        <v/>
      </c>
      <c r="K207" s="9">
        <f>IF(H207&lt;&gt;"",ROUND(M206*AnnualRate/12,2),"")</f>
        <v/>
      </c>
      <c r="L207" s="9">
        <f>IF(H207&lt;&gt;"",MIN(M206,(J207-K207)+SUMPRODUCT(($B$21:$B$30&lt;&gt;"")*($B$21:$B$30&lt;=I207)*(($C$21:$C$30="")+($C$21:$C$30&lt;&gt;"")*($C$21:$C$30&gt;=I207))*($E$21:$E$30="Monthly")*$D$21:$D$30)+SUMPRODUCT(($B$21:$B$30&lt;&gt;"")*($B$21:$B$30&lt;=I207)*(($C$21:$C$30="")+($C$21:$C$30&lt;&gt;"")*($C$21:$C$30&gt;=I207))*($E$21:$E$30="Annual")*(MONTH($B$21:$B$30)=MONTH(I207))*$D$21:$D$30)+SUMPRODUCT(($B$34:$B$48&lt;&gt;"")*(YEAR($B$34:$B$48)=YEAR(I207))*(MONTH($B$34:$B$48)=MONTH(I207))*$C$34:$C$48)),"")</f>
        <v/>
      </c>
      <c r="M207" s="9">
        <f>IF(H207&lt;&gt;"",ROUND(M206-L207,2),"")</f>
        <v/>
      </c>
      <c r="N207" s="10">
        <f>IF(H207&lt;&gt;"",N206+L207,"")</f>
        <v/>
      </c>
      <c r="O207" s="10">
        <f>IF(H207&lt;&gt;"",O206+K207,"")</f>
        <v/>
      </c>
    </row>
    <row r="208">
      <c r="H208" s="12">
        <f>IF(AND(M207&gt;0.005,H207&lt;&gt;""),206,"")</f>
        <v/>
      </c>
      <c r="I208" s="13">
        <f>IF(H208&lt;&gt;"",EDATE(StartDate,205),"")</f>
        <v/>
      </c>
      <c r="J208" s="14">
        <f>IF(H208&lt;&gt;"",MIN(MonthlyPmt,M207+K208),"")</f>
        <v/>
      </c>
      <c r="K208" s="14">
        <f>IF(H208&lt;&gt;"",ROUND(M207*AnnualRate/12,2),"")</f>
        <v/>
      </c>
      <c r="L208" s="14">
        <f>IF(H208&lt;&gt;"",MIN(M207,(J208-K208)+SUMPRODUCT(($B$21:$B$30&lt;&gt;"")*($B$21:$B$30&lt;=I208)*(($C$21:$C$30="")+($C$21:$C$30&lt;&gt;"")*($C$21:$C$30&gt;=I208))*($E$21:$E$30="Monthly")*$D$21:$D$30)+SUMPRODUCT(($B$21:$B$30&lt;&gt;"")*($B$21:$B$30&lt;=I208)*(($C$21:$C$30="")+($C$21:$C$30&lt;&gt;"")*($C$21:$C$30&gt;=I208))*($E$21:$E$30="Annual")*(MONTH($B$21:$B$30)=MONTH(I208))*$D$21:$D$30)+SUMPRODUCT(($B$34:$B$48&lt;&gt;"")*(YEAR($B$34:$B$48)=YEAR(I208))*(MONTH($B$34:$B$48)=MONTH(I208))*$C$34:$C$48)),"")</f>
        <v/>
      </c>
      <c r="M208" s="14">
        <f>IF(H208&lt;&gt;"",ROUND(M207-L208,2),"")</f>
        <v/>
      </c>
      <c r="N208" s="10">
        <f>IF(H208&lt;&gt;"",N207+L208,"")</f>
        <v/>
      </c>
      <c r="O208" s="10">
        <f>IF(H208&lt;&gt;"",O207+K208,"")</f>
        <v/>
      </c>
    </row>
    <row r="209">
      <c r="H209" s="7">
        <f>IF(AND(M208&gt;0.005,H208&lt;&gt;""),207,"")</f>
        <v/>
      </c>
      <c r="I209" s="8">
        <f>IF(H209&lt;&gt;"",EDATE(StartDate,206),"")</f>
        <v/>
      </c>
      <c r="J209" s="9">
        <f>IF(H209&lt;&gt;"",MIN(MonthlyPmt,M208+K209),"")</f>
        <v/>
      </c>
      <c r="K209" s="9">
        <f>IF(H209&lt;&gt;"",ROUND(M208*AnnualRate/12,2),"")</f>
        <v/>
      </c>
      <c r="L209" s="9">
        <f>IF(H209&lt;&gt;"",MIN(M208,(J209-K209)+SUMPRODUCT(($B$21:$B$30&lt;&gt;"")*($B$21:$B$30&lt;=I209)*(($C$21:$C$30="")+($C$21:$C$30&lt;&gt;"")*($C$21:$C$30&gt;=I209))*($E$21:$E$30="Monthly")*$D$21:$D$30)+SUMPRODUCT(($B$21:$B$30&lt;&gt;"")*($B$21:$B$30&lt;=I209)*(($C$21:$C$30="")+($C$21:$C$30&lt;&gt;"")*($C$21:$C$30&gt;=I209))*($E$21:$E$30="Annual")*(MONTH($B$21:$B$30)=MONTH(I209))*$D$21:$D$30)+SUMPRODUCT(($B$34:$B$48&lt;&gt;"")*(YEAR($B$34:$B$48)=YEAR(I209))*(MONTH($B$34:$B$48)=MONTH(I209))*$C$34:$C$48)),"")</f>
        <v/>
      </c>
      <c r="M209" s="9">
        <f>IF(H209&lt;&gt;"",ROUND(M208-L209,2),"")</f>
        <v/>
      </c>
      <c r="N209" s="10">
        <f>IF(H209&lt;&gt;"",N208+L209,"")</f>
        <v/>
      </c>
      <c r="O209" s="10">
        <f>IF(H209&lt;&gt;"",O208+K209,"")</f>
        <v/>
      </c>
    </row>
    <row r="210">
      <c r="H210" s="12">
        <f>IF(AND(M209&gt;0.005,H209&lt;&gt;""),208,"")</f>
        <v/>
      </c>
      <c r="I210" s="13">
        <f>IF(H210&lt;&gt;"",EDATE(StartDate,207),"")</f>
        <v/>
      </c>
      <c r="J210" s="14">
        <f>IF(H210&lt;&gt;"",MIN(MonthlyPmt,M209+K210),"")</f>
        <v/>
      </c>
      <c r="K210" s="14">
        <f>IF(H210&lt;&gt;"",ROUND(M209*AnnualRate/12,2),"")</f>
        <v/>
      </c>
      <c r="L210" s="14">
        <f>IF(H210&lt;&gt;"",MIN(M209,(J210-K210)+SUMPRODUCT(($B$21:$B$30&lt;&gt;"")*($B$21:$B$30&lt;=I210)*(($C$21:$C$30="")+($C$21:$C$30&lt;&gt;"")*($C$21:$C$30&gt;=I210))*($E$21:$E$30="Monthly")*$D$21:$D$30)+SUMPRODUCT(($B$21:$B$30&lt;&gt;"")*($B$21:$B$30&lt;=I210)*(($C$21:$C$30="")+($C$21:$C$30&lt;&gt;"")*($C$21:$C$30&gt;=I210))*($E$21:$E$30="Annual")*(MONTH($B$21:$B$30)=MONTH(I210))*$D$21:$D$30)+SUMPRODUCT(($B$34:$B$48&lt;&gt;"")*(YEAR($B$34:$B$48)=YEAR(I210))*(MONTH($B$34:$B$48)=MONTH(I210))*$C$34:$C$48)),"")</f>
        <v/>
      </c>
      <c r="M210" s="14">
        <f>IF(H210&lt;&gt;"",ROUND(M209-L210,2),"")</f>
        <v/>
      </c>
      <c r="N210" s="10">
        <f>IF(H210&lt;&gt;"",N209+L210,"")</f>
        <v/>
      </c>
      <c r="O210" s="10">
        <f>IF(H210&lt;&gt;"",O209+K210,"")</f>
        <v/>
      </c>
    </row>
    <row r="211">
      <c r="H211" s="7">
        <f>IF(AND(M210&gt;0.005,H210&lt;&gt;""),209,"")</f>
        <v/>
      </c>
      <c r="I211" s="8">
        <f>IF(H211&lt;&gt;"",EDATE(StartDate,208),"")</f>
        <v/>
      </c>
      <c r="J211" s="9">
        <f>IF(H211&lt;&gt;"",MIN(MonthlyPmt,M210+K211),"")</f>
        <v/>
      </c>
      <c r="K211" s="9">
        <f>IF(H211&lt;&gt;"",ROUND(M210*AnnualRate/12,2),"")</f>
        <v/>
      </c>
      <c r="L211" s="9">
        <f>IF(H211&lt;&gt;"",MIN(M210,(J211-K211)+SUMPRODUCT(($B$21:$B$30&lt;&gt;"")*($B$21:$B$30&lt;=I211)*(($C$21:$C$30="")+($C$21:$C$30&lt;&gt;"")*($C$21:$C$30&gt;=I211))*($E$21:$E$30="Monthly")*$D$21:$D$30)+SUMPRODUCT(($B$21:$B$30&lt;&gt;"")*($B$21:$B$30&lt;=I211)*(($C$21:$C$30="")+($C$21:$C$30&lt;&gt;"")*($C$21:$C$30&gt;=I211))*($E$21:$E$30="Annual")*(MONTH($B$21:$B$30)=MONTH(I211))*$D$21:$D$30)+SUMPRODUCT(($B$34:$B$48&lt;&gt;"")*(YEAR($B$34:$B$48)=YEAR(I211))*(MONTH($B$34:$B$48)=MONTH(I211))*$C$34:$C$48)),"")</f>
        <v/>
      </c>
      <c r="M211" s="9">
        <f>IF(H211&lt;&gt;"",ROUND(M210-L211,2),"")</f>
        <v/>
      </c>
      <c r="N211" s="10">
        <f>IF(H211&lt;&gt;"",N210+L211,"")</f>
        <v/>
      </c>
      <c r="O211" s="10">
        <f>IF(H211&lt;&gt;"",O210+K211,"")</f>
        <v/>
      </c>
    </row>
    <row r="212">
      <c r="H212" s="12">
        <f>IF(AND(M211&gt;0.005,H211&lt;&gt;""),210,"")</f>
        <v/>
      </c>
      <c r="I212" s="13">
        <f>IF(H212&lt;&gt;"",EDATE(StartDate,209),"")</f>
        <v/>
      </c>
      <c r="J212" s="14">
        <f>IF(H212&lt;&gt;"",MIN(MonthlyPmt,M211+K212),"")</f>
        <v/>
      </c>
      <c r="K212" s="14">
        <f>IF(H212&lt;&gt;"",ROUND(M211*AnnualRate/12,2),"")</f>
        <v/>
      </c>
      <c r="L212" s="14">
        <f>IF(H212&lt;&gt;"",MIN(M211,(J212-K212)+SUMPRODUCT(($B$21:$B$30&lt;&gt;"")*($B$21:$B$30&lt;=I212)*(($C$21:$C$30="")+($C$21:$C$30&lt;&gt;"")*($C$21:$C$30&gt;=I212))*($E$21:$E$30="Monthly")*$D$21:$D$30)+SUMPRODUCT(($B$21:$B$30&lt;&gt;"")*($B$21:$B$30&lt;=I212)*(($C$21:$C$30="")+($C$21:$C$30&lt;&gt;"")*($C$21:$C$30&gt;=I212))*($E$21:$E$30="Annual")*(MONTH($B$21:$B$30)=MONTH(I212))*$D$21:$D$30)+SUMPRODUCT(($B$34:$B$48&lt;&gt;"")*(YEAR($B$34:$B$48)=YEAR(I212))*(MONTH($B$34:$B$48)=MONTH(I212))*$C$34:$C$48)),"")</f>
        <v/>
      </c>
      <c r="M212" s="14">
        <f>IF(H212&lt;&gt;"",ROUND(M211-L212,2),"")</f>
        <v/>
      </c>
      <c r="N212" s="10">
        <f>IF(H212&lt;&gt;"",N211+L212,"")</f>
        <v/>
      </c>
      <c r="O212" s="10">
        <f>IF(H212&lt;&gt;"",O211+K212,"")</f>
        <v/>
      </c>
    </row>
    <row r="213">
      <c r="H213" s="7">
        <f>IF(AND(M212&gt;0.005,H212&lt;&gt;""),211,"")</f>
        <v/>
      </c>
      <c r="I213" s="8">
        <f>IF(H213&lt;&gt;"",EDATE(StartDate,210),"")</f>
        <v/>
      </c>
      <c r="J213" s="9">
        <f>IF(H213&lt;&gt;"",MIN(MonthlyPmt,M212+K213),"")</f>
        <v/>
      </c>
      <c r="K213" s="9">
        <f>IF(H213&lt;&gt;"",ROUND(M212*AnnualRate/12,2),"")</f>
        <v/>
      </c>
      <c r="L213" s="9">
        <f>IF(H213&lt;&gt;"",MIN(M212,(J213-K213)+SUMPRODUCT(($B$21:$B$30&lt;&gt;"")*($B$21:$B$30&lt;=I213)*(($C$21:$C$30="")+($C$21:$C$30&lt;&gt;"")*($C$21:$C$30&gt;=I213))*($E$21:$E$30="Monthly")*$D$21:$D$30)+SUMPRODUCT(($B$21:$B$30&lt;&gt;"")*($B$21:$B$30&lt;=I213)*(($C$21:$C$30="")+($C$21:$C$30&lt;&gt;"")*($C$21:$C$30&gt;=I213))*($E$21:$E$30="Annual")*(MONTH($B$21:$B$30)=MONTH(I213))*$D$21:$D$30)+SUMPRODUCT(($B$34:$B$48&lt;&gt;"")*(YEAR($B$34:$B$48)=YEAR(I213))*(MONTH($B$34:$B$48)=MONTH(I213))*$C$34:$C$48)),"")</f>
        <v/>
      </c>
      <c r="M213" s="9">
        <f>IF(H213&lt;&gt;"",ROUND(M212-L213,2),"")</f>
        <v/>
      </c>
      <c r="N213" s="10">
        <f>IF(H213&lt;&gt;"",N212+L213,"")</f>
        <v/>
      </c>
      <c r="O213" s="10">
        <f>IF(H213&lt;&gt;"",O212+K213,"")</f>
        <v/>
      </c>
    </row>
    <row r="214">
      <c r="H214" s="12">
        <f>IF(AND(M213&gt;0.005,H213&lt;&gt;""),212,"")</f>
        <v/>
      </c>
      <c r="I214" s="13">
        <f>IF(H214&lt;&gt;"",EDATE(StartDate,211),"")</f>
        <v/>
      </c>
      <c r="J214" s="14">
        <f>IF(H214&lt;&gt;"",MIN(MonthlyPmt,M213+K214),"")</f>
        <v/>
      </c>
      <c r="K214" s="14">
        <f>IF(H214&lt;&gt;"",ROUND(M213*AnnualRate/12,2),"")</f>
        <v/>
      </c>
      <c r="L214" s="14">
        <f>IF(H214&lt;&gt;"",MIN(M213,(J214-K214)+SUMPRODUCT(($B$21:$B$30&lt;&gt;"")*($B$21:$B$30&lt;=I214)*(($C$21:$C$30="")+($C$21:$C$30&lt;&gt;"")*($C$21:$C$30&gt;=I214))*($E$21:$E$30="Monthly")*$D$21:$D$30)+SUMPRODUCT(($B$21:$B$30&lt;&gt;"")*($B$21:$B$30&lt;=I214)*(($C$21:$C$30="")+($C$21:$C$30&lt;&gt;"")*($C$21:$C$30&gt;=I214))*($E$21:$E$30="Annual")*(MONTH($B$21:$B$30)=MONTH(I214))*$D$21:$D$30)+SUMPRODUCT(($B$34:$B$48&lt;&gt;"")*(YEAR($B$34:$B$48)=YEAR(I214))*(MONTH($B$34:$B$48)=MONTH(I214))*$C$34:$C$48)),"")</f>
        <v/>
      </c>
      <c r="M214" s="14">
        <f>IF(H214&lt;&gt;"",ROUND(M213-L214,2),"")</f>
        <v/>
      </c>
      <c r="N214" s="10">
        <f>IF(H214&lt;&gt;"",N213+L214,"")</f>
        <v/>
      </c>
      <c r="O214" s="10">
        <f>IF(H214&lt;&gt;"",O213+K214,"")</f>
        <v/>
      </c>
    </row>
    <row r="215">
      <c r="H215" s="7">
        <f>IF(AND(M214&gt;0.005,H214&lt;&gt;""),213,"")</f>
        <v/>
      </c>
      <c r="I215" s="8">
        <f>IF(H215&lt;&gt;"",EDATE(StartDate,212),"")</f>
        <v/>
      </c>
      <c r="J215" s="9">
        <f>IF(H215&lt;&gt;"",MIN(MonthlyPmt,M214+K215),"")</f>
        <v/>
      </c>
      <c r="K215" s="9">
        <f>IF(H215&lt;&gt;"",ROUND(M214*AnnualRate/12,2),"")</f>
        <v/>
      </c>
      <c r="L215" s="9">
        <f>IF(H215&lt;&gt;"",MIN(M214,(J215-K215)+SUMPRODUCT(($B$21:$B$30&lt;&gt;"")*($B$21:$B$30&lt;=I215)*(($C$21:$C$30="")+($C$21:$C$30&lt;&gt;"")*($C$21:$C$30&gt;=I215))*($E$21:$E$30="Monthly")*$D$21:$D$30)+SUMPRODUCT(($B$21:$B$30&lt;&gt;"")*($B$21:$B$30&lt;=I215)*(($C$21:$C$30="")+($C$21:$C$30&lt;&gt;"")*($C$21:$C$30&gt;=I215))*($E$21:$E$30="Annual")*(MONTH($B$21:$B$30)=MONTH(I215))*$D$21:$D$30)+SUMPRODUCT(($B$34:$B$48&lt;&gt;"")*(YEAR($B$34:$B$48)=YEAR(I215))*(MONTH($B$34:$B$48)=MONTH(I215))*$C$34:$C$48)),"")</f>
        <v/>
      </c>
      <c r="M215" s="9">
        <f>IF(H215&lt;&gt;"",ROUND(M214-L215,2),"")</f>
        <v/>
      </c>
      <c r="N215" s="10">
        <f>IF(H215&lt;&gt;"",N214+L215,"")</f>
        <v/>
      </c>
      <c r="O215" s="10">
        <f>IF(H215&lt;&gt;"",O214+K215,"")</f>
        <v/>
      </c>
    </row>
    <row r="216">
      <c r="H216" s="12">
        <f>IF(AND(M215&gt;0.005,H215&lt;&gt;""),214,"")</f>
        <v/>
      </c>
      <c r="I216" s="13">
        <f>IF(H216&lt;&gt;"",EDATE(StartDate,213),"")</f>
        <v/>
      </c>
      <c r="J216" s="14">
        <f>IF(H216&lt;&gt;"",MIN(MonthlyPmt,M215+K216),"")</f>
        <v/>
      </c>
      <c r="K216" s="14">
        <f>IF(H216&lt;&gt;"",ROUND(M215*AnnualRate/12,2),"")</f>
        <v/>
      </c>
      <c r="L216" s="14">
        <f>IF(H216&lt;&gt;"",MIN(M215,(J216-K216)+SUMPRODUCT(($B$21:$B$30&lt;&gt;"")*($B$21:$B$30&lt;=I216)*(($C$21:$C$30="")+($C$21:$C$30&lt;&gt;"")*($C$21:$C$30&gt;=I216))*($E$21:$E$30="Monthly")*$D$21:$D$30)+SUMPRODUCT(($B$21:$B$30&lt;&gt;"")*($B$21:$B$30&lt;=I216)*(($C$21:$C$30="")+($C$21:$C$30&lt;&gt;"")*($C$21:$C$30&gt;=I216))*($E$21:$E$30="Annual")*(MONTH($B$21:$B$30)=MONTH(I216))*$D$21:$D$30)+SUMPRODUCT(($B$34:$B$48&lt;&gt;"")*(YEAR($B$34:$B$48)=YEAR(I216))*(MONTH($B$34:$B$48)=MONTH(I216))*$C$34:$C$48)),"")</f>
        <v/>
      </c>
      <c r="M216" s="14">
        <f>IF(H216&lt;&gt;"",ROUND(M215-L216,2),"")</f>
        <v/>
      </c>
      <c r="N216" s="10">
        <f>IF(H216&lt;&gt;"",N215+L216,"")</f>
        <v/>
      </c>
      <c r="O216" s="10">
        <f>IF(H216&lt;&gt;"",O215+K216,"")</f>
        <v/>
      </c>
    </row>
    <row r="217">
      <c r="H217" s="7">
        <f>IF(AND(M216&gt;0.005,H216&lt;&gt;""),215,"")</f>
        <v/>
      </c>
      <c r="I217" s="8">
        <f>IF(H217&lt;&gt;"",EDATE(StartDate,214),"")</f>
        <v/>
      </c>
      <c r="J217" s="9">
        <f>IF(H217&lt;&gt;"",MIN(MonthlyPmt,M216+K217),"")</f>
        <v/>
      </c>
      <c r="K217" s="9">
        <f>IF(H217&lt;&gt;"",ROUND(M216*AnnualRate/12,2),"")</f>
        <v/>
      </c>
      <c r="L217" s="9">
        <f>IF(H217&lt;&gt;"",MIN(M216,(J217-K217)+SUMPRODUCT(($B$21:$B$30&lt;&gt;"")*($B$21:$B$30&lt;=I217)*(($C$21:$C$30="")+($C$21:$C$30&lt;&gt;"")*($C$21:$C$30&gt;=I217))*($E$21:$E$30="Monthly")*$D$21:$D$30)+SUMPRODUCT(($B$21:$B$30&lt;&gt;"")*($B$21:$B$30&lt;=I217)*(($C$21:$C$30="")+($C$21:$C$30&lt;&gt;"")*($C$21:$C$30&gt;=I217))*($E$21:$E$30="Annual")*(MONTH($B$21:$B$30)=MONTH(I217))*$D$21:$D$30)+SUMPRODUCT(($B$34:$B$48&lt;&gt;"")*(YEAR($B$34:$B$48)=YEAR(I217))*(MONTH($B$34:$B$48)=MONTH(I217))*$C$34:$C$48)),"")</f>
        <v/>
      </c>
      <c r="M217" s="9">
        <f>IF(H217&lt;&gt;"",ROUND(M216-L217,2),"")</f>
        <v/>
      </c>
      <c r="N217" s="10">
        <f>IF(H217&lt;&gt;"",N216+L217,"")</f>
        <v/>
      </c>
      <c r="O217" s="10">
        <f>IF(H217&lt;&gt;"",O216+K217,"")</f>
        <v/>
      </c>
    </row>
    <row r="218">
      <c r="H218" s="12">
        <f>IF(AND(M217&gt;0.005,H217&lt;&gt;""),216,"")</f>
        <v/>
      </c>
      <c r="I218" s="13">
        <f>IF(H218&lt;&gt;"",EDATE(StartDate,215),"")</f>
        <v/>
      </c>
      <c r="J218" s="14">
        <f>IF(H218&lt;&gt;"",MIN(MonthlyPmt,M217+K218),"")</f>
        <v/>
      </c>
      <c r="K218" s="14">
        <f>IF(H218&lt;&gt;"",ROUND(M217*AnnualRate/12,2),"")</f>
        <v/>
      </c>
      <c r="L218" s="14">
        <f>IF(H218&lt;&gt;"",MIN(M217,(J218-K218)+SUMPRODUCT(($B$21:$B$30&lt;&gt;"")*($B$21:$B$30&lt;=I218)*(($C$21:$C$30="")+($C$21:$C$30&lt;&gt;"")*($C$21:$C$30&gt;=I218))*($E$21:$E$30="Monthly")*$D$21:$D$30)+SUMPRODUCT(($B$21:$B$30&lt;&gt;"")*($B$21:$B$30&lt;=I218)*(($C$21:$C$30="")+($C$21:$C$30&lt;&gt;"")*($C$21:$C$30&gt;=I218))*($E$21:$E$30="Annual")*(MONTH($B$21:$B$30)=MONTH(I218))*$D$21:$D$30)+SUMPRODUCT(($B$34:$B$48&lt;&gt;"")*(YEAR($B$34:$B$48)=YEAR(I218))*(MONTH($B$34:$B$48)=MONTH(I218))*$C$34:$C$48)),"")</f>
        <v/>
      </c>
      <c r="M218" s="14">
        <f>IF(H218&lt;&gt;"",ROUND(M217-L218,2),"")</f>
        <v/>
      </c>
      <c r="N218" s="10">
        <f>IF(H218&lt;&gt;"",N217+L218,"")</f>
        <v/>
      </c>
      <c r="O218" s="10">
        <f>IF(H218&lt;&gt;"",O217+K218,"")</f>
        <v/>
      </c>
    </row>
    <row r="219">
      <c r="H219" s="7">
        <f>IF(AND(M218&gt;0.005,H218&lt;&gt;""),217,"")</f>
        <v/>
      </c>
      <c r="I219" s="8">
        <f>IF(H219&lt;&gt;"",EDATE(StartDate,216),"")</f>
        <v/>
      </c>
      <c r="J219" s="9">
        <f>IF(H219&lt;&gt;"",MIN(MonthlyPmt,M218+K219),"")</f>
        <v/>
      </c>
      <c r="K219" s="9">
        <f>IF(H219&lt;&gt;"",ROUND(M218*AnnualRate/12,2),"")</f>
        <v/>
      </c>
      <c r="L219" s="9">
        <f>IF(H219&lt;&gt;"",MIN(M218,(J219-K219)+SUMPRODUCT(($B$21:$B$30&lt;&gt;"")*($B$21:$B$30&lt;=I219)*(($C$21:$C$30="")+($C$21:$C$30&lt;&gt;"")*($C$21:$C$30&gt;=I219))*($E$21:$E$30="Monthly")*$D$21:$D$30)+SUMPRODUCT(($B$21:$B$30&lt;&gt;"")*($B$21:$B$30&lt;=I219)*(($C$21:$C$30="")+($C$21:$C$30&lt;&gt;"")*($C$21:$C$30&gt;=I219))*($E$21:$E$30="Annual")*(MONTH($B$21:$B$30)=MONTH(I219))*$D$21:$D$30)+SUMPRODUCT(($B$34:$B$48&lt;&gt;"")*(YEAR($B$34:$B$48)=YEAR(I219))*(MONTH($B$34:$B$48)=MONTH(I219))*$C$34:$C$48)),"")</f>
        <v/>
      </c>
      <c r="M219" s="9">
        <f>IF(H219&lt;&gt;"",ROUND(M218-L219,2),"")</f>
        <v/>
      </c>
      <c r="N219" s="10">
        <f>IF(H219&lt;&gt;"",N218+L219,"")</f>
        <v/>
      </c>
      <c r="O219" s="10">
        <f>IF(H219&lt;&gt;"",O218+K219,"")</f>
        <v/>
      </c>
    </row>
    <row r="220">
      <c r="H220" s="12">
        <f>IF(AND(M219&gt;0.005,H219&lt;&gt;""),218,"")</f>
        <v/>
      </c>
      <c r="I220" s="13">
        <f>IF(H220&lt;&gt;"",EDATE(StartDate,217),"")</f>
        <v/>
      </c>
      <c r="J220" s="14">
        <f>IF(H220&lt;&gt;"",MIN(MonthlyPmt,M219+K220),"")</f>
        <v/>
      </c>
      <c r="K220" s="14">
        <f>IF(H220&lt;&gt;"",ROUND(M219*AnnualRate/12,2),"")</f>
        <v/>
      </c>
      <c r="L220" s="14">
        <f>IF(H220&lt;&gt;"",MIN(M219,(J220-K220)+SUMPRODUCT(($B$21:$B$30&lt;&gt;"")*($B$21:$B$30&lt;=I220)*(($C$21:$C$30="")+($C$21:$C$30&lt;&gt;"")*($C$21:$C$30&gt;=I220))*($E$21:$E$30="Monthly")*$D$21:$D$30)+SUMPRODUCT(($B$21:$B$30&lt;&gt;"")*($B$21:$B$30&lt;=I220)*(($C$21:$C$30="")+($C$21:$C$30&lt;&gt;"")*($C$21:$C$30&gt;=I220))*($E$21:$E$30="Annual")*(MONTH($B$21:$B$30)=MONTH(I220))*$D$21:$D$30)+SUMPRODUCT(($B$34:$B$48&lt;&gt;"")*(YEAR($B$34:$B$48)=YEAR(I220))*(MONTH($B$34:$B$48)=MONTH(I220))*$C$34:$C$48)),"")</f>
        <v/>
      </c>
      <c r="M220" s="14">
        <f>IF(H220&lt;&gt;"",ROUND(M219-L220,2),"")</f>
        <v/>
      </c>
      <c r="N220" s="10">
        <f>IF(H220&lt;&gt;"",N219+L220,"")</f>
        <v/>
      </c>
      <c r="O220" s="10">
        <f>IF(H220&lt;&gt;"",O219+K220,"")</f>
        <v/>
      </c>
    </row>
    <row r="221">
      <c r="H221" s="7">
        <f>IF(AND(M220&gt;0.005,H220&lt;&gt;""),219,"")</f>
        <v/>
      </c>
      <c r="I221" s="8">
        <f>IF(H221&lt;&gt;"",EDATE(StartDate,218),"")</f>
        <v/>
      </c>
      <c r="J221" s="9">
        <f>IF(H221&lt;&gt;"",MIN(MonthlyPmt,M220+K221),"")</f>
        <v/>
      </c>
      <c r="K221" s="9">
        <f>IF(H221&lt;&gt;"",ROUND(M220*AnnualRate/12,2),"")</f>
        <v/>
      </c>
      <c r="L221" s="9">
        <f>IF(H221&lt;&gt;"",MIN(M220,(J221-K221)+SUMPRODUCT(($B$21:$B$30&lt;&gt;"")*($B$21:$B$30&lt;=I221)*(($C$21:$C$30="")+($C$21:$C$30&lt;&gt;"")*($C$21:$C$30&gt;=I221))*($E$21:$E$30="Monthly")*$D$21:$D$30)+SUMPRODUCT(($B$21:$B$30&lt;&gt;"")*($B$21:$B$30&lt;=I221)*(($C$21:$C$30="")+($C$21:$C$30&lt;&gt;"")*($C$21:$C$30&gt;=I221))*($E$21:$E$30="Annual")*(MONTH($B$21:$B$30)=MONTH(I221))*$D$21:$D$30)+SUMPRODUCT(($B$34:$B$48&lt;&gt;"")*(YEAR($B$34:$B$48)=YEAR(I221))*(MONTH($B$34:$B$48)=MONTH(I221))*$C$34:$C$48)),"")</f>
        <v/>
      </c>
      <c r="M221" s="9">
        <f>IF(H221&lt;&gt;"",ROUND(M220-L221,2),"")</f>
        <v/>
      </c>
      <c r="N221" s="10">
        <f>IF(H221&lt;&gt;"",N220+L221,"")</f>
        <v/>
      </c>
      <c r="O221" s="10">
        <f>IF(H221&lt;&gt;"",O220+K221,"")</f>
        <v/>
      </c>
    </row>
    <row r="222">
      <c r="H222" s="12">
        <f>IF(AND(M221&gt;0.005,H221&lt;&gt;""),220,"")</f>
        <v/>
      </c>
      <c r="I222" s="13">
        <f>IF(H222&lt;&gt;"",EDATE(StartDate,219),"")</f>
        <v/>
      </c>
      <c r="J222" s="14">
        <f>IF(H222&lt;&gt;"",MIN(MonthlyPmt,M221+K222),"")</f>
        <v/>
      </c>
      <c r="K222" s="14">
        <f>IF(H222&lt;&gt;"",ROUND(M221*AnnualRate/12,2),"")</f>
        <v/>
      </c>
      <c r="L222" s="14">
        <f>IF(H222&lt;&gt;"",MIN(M221,(J222-K222)+SUMPRODUCT(($B$21:$B$30&lt;&gt;"")*($B$21:$B$30&lt;=I222)*(($C$21:$C$30="")+($C$21:$C$30&lt;&gt;"")*($C$21:$C$30&gt;=I222))*($E$21:$E$30="Monthly")*$D$21:$D$30)+SUMPRODUCT(($B$21:$B$30&lt;&gt;"")*($B$21:$B$30&lt;=I222)*(($C$21:$C$30="")+($C$21:$C$30&lt;&gt;"")*($C$21:$C$30&gt;=I222))*($E$21:$E$30="Annual")*(MONTH($B$21:$B$30)=MONTH(I222))*$D$21:$D$30)+SUMPRODUCT(($B$34:$B$48&lt;&gt;"")*(YEAR($B$34:$B$48)=YEAR(I222))*(MONTH($B$34:$B$48)=MONTH(I222))*$C$34:$C$48)),"")</f>
        <v/>
      </c>
      <c r="M222" s="14">
        <f>IF(H222&lt;&gt;"",ROUND(M221-L222,2),"")</f>
        <v/>
      </c>
      <c r="N222" s="10">
        <f>IF(H222&lt;&gt;"",N221+L222,"")</f>
        <v/>
      </c>
      <c r="O222" s="10">
        <f>IF(H222&lt;&gt;"",O221+K222,"")</f>
        <v/>
      </c>
    </row>
    <row r="223">
      <c r="H223" s="7">
        <f>IF(AND(M222&gt;0.005,H222&lt;&gt;""),221,"")</f>
        <v/>
      </c>
      <c r="I223" s="8">
        <f>IF(H223&lt;&gt;"",EDATE(StartDate,220),"")</f>
        <v/>
      </c>
      <c r="J223" s="9">
        <f>IF(H223&lt;&gt;"",MIN(MonthlyPmt,M222+K223),"")</f>
        <v/>
      </c>
      <c r="K223" s="9">
        <f>IF(H223&lt;&gt;"",ROUND(M222*AnnualRate/12,2),"")</f>
        <v/>
      </c>
      <c r="L223" s="9">
        <f>IF(H223&lt;&gt;"",MIN(M222,(J223-K223)+SUMPRODUCT(($B$21:$B$30&lt;&gt;"")*($B$21:$B$30&lt;=I223)*(($C$21:$C$30="")+($C$21:$C$30&lt;&gt;"")*($C$21:$C$30&gt;=I223))*($E$21:$E$30="Monthly")*$D$21:$D$30)+SUMPRODUCT(($B$21:$B$30&lt;&gt;"")*($B$21:$B$30&lt;=I223)*(($C$21:$C$30="")+($C$21:$C$30&lt;&gt;"")*($C$21:$C$30&gt;=I223))*($E$21:$E$30="Annual")*(MONTH($B$21:$B$30)=MONTH(I223))*$D$21:$D$30)+SUMPRODUCT(($B$34:$B$48&lt;&gt;"")*(YEAR($B$34:$B$48)=YEAR(I223))*(MONTH($B$34:$B$48)=MONTH(I223))*$C$34:$C$48)),"")</f>
        <v/>
      </c>
      <c r="M223" s="9">
        <f>IF(H223&lt;&gt;"",ROUND(M222-L223,2),"")</f>
        <v/>
      </c>
      <c r="N223" s="10">
        <f>IF(H223&lt;&gt;"",N222+L223,"")</f>
        <v/>
      </c>
      <c r="O223" s="10">
        <f>IF(H223&lt;&gt;"",O222+K223,"")</f>
        <v/>
      </c>
    </row>
    <row r="224">
      <c r="H224" s="12">
        <f>IF(AND(M223&gt;0.005,H223&lt;&gt;""),222,"")</f>
        <v/>
      </c>
      <c r="I224" s="13">
        <f>IF(H224&lt;&gt;"",EDATE(StartDate,221),"")</f>
        <v/>
      </c>
      <c r="J224" s="14">
        <f>IF(H224&lt;&gt;"",MIN(MonthlyPmt,M223+K224),"")</f>
        <v/>
      </c>
      <c r="K224" s="14">
        <f>IF(H224&lt;&gt;"",ROUND(M223*AnnualRate/12,2),"")</f>
        <v/>
      </c>
      <c r="L224" s="14">
        <f>IF(H224&lt;&gt;"",MIN(M223,(J224-K224)+SUMPRODUCT(($B$21:$B$30&lt;&gt;"")*($B$21:$B$30&lt;=I224)*(($C$21:$C$30="")+($C$21:$C$30&lt;&gt;"")*($C$21:$C$30&gt;=I224))*($E$21:$E$30="Monthly")*$D$21:$D$30)+SUMPRODUCT(($B$21:$B$30&lt;&gt;"")*($B$21:$B$30&lt;=I224)*(($C$21:$C$30="")+($C$21:$C$30&lt;&gt;"")*($C$21:$C$30&gt;=I224))*($E$21:$E$30="Annual")*(MONTH($B$21:$B$30)=MONTH(I224))*$D$21:$D$30)+SUMPRODUCT(($B$34:$B$48&lt;&gt;"")*(YEAR($B$34:$B$48)=YEAR(I224))*(MONTH($B$34:$B$48)=MONTH(I224))*$C$34:$C$48)),"")</f>
        <v/>
      </c>
      <c r="M224" s="14">
        <f>IF(H224&lt;&gt;"",ROUND(M223-L224,2),"")</f>
        <v/>
      </c>
      <c r="N224" s="10">
        <f>IF(H224&lt;&gt;"",N223+L224,"")</f>
        <v/>
      </c>
      <c r="O224" s="10">
        <f>IF(H224&lt;&gt;"",O223+K224,"")</f>
        <v/>
      </c>
    </row>
    <row r="225">
      <c r="H225" s="7">
        <f>IF(AND(M224&gt;0.005,H224&lt;&gt;""),223,"")</f>
        <v/>
      </c>
      <c r="I225" s="8">
        <f>IF(H225&lt;&gt;"",EDATE(StartDate,222),"")</f>
        <v/>
      </c>
      <c r="J225" s="9">
        <f>IF(H225&lt;&gt;"",MIN(MonthlyPmt,M224+K225),"")</f>
        <v/>
      </c>
      <c r="K225" s="9">
        <f>IF(H225&lt;&gt;"",ROUND(M224*AnnualRate/12,2),"")</f>
        <v/>
      </c>
      <c r="L225" s="9">
        <f>IF(H225&lt;&gt;"",MIN(M224,(J225-K225)+SUMPRODUCT(($B$21:$B$30&lt;&gt;"")*($B$21:$B$30&lt;=I225)*(($C$21:$C$30="")+($C$21:$C$30&lt;&gt;"")*($C$21:$C$30&gt;=I225))*($E$21:$E$30="Monthly")*$D$21:$D$30)+SUMPRODUCT(($B$21:$B$30&lt;&gt;"")*($B$21:$B$30&lt;=I225)*(($C$21:$C$30="")+($C$21:$C$30&lt;&gt;"")*($C$21:$C$30&gt;=I225))*($E$21:$E$30="Annual")*(MONTH($B$21:$B$30)=MONTH(I225))*$D$21:$D$30)+SUMPRODUCT(($B$34:$B$48&lt;&gt;"")*(YEAR($B$34:$B$48)=YEAR(I225))*(MONTH($B$34:$B$48)=MONTH(I225))*$C$34:$C$48)),"")</f>
        <v/>
      </c>
      <c r="M225" s="9">
        <f>IF(H225&lt;&gt;"",ROUND(M224-L225,2),"")</f>
        <v/>
      </c>
      <c r="N225" s="10">
        <f>IF(H225&lt;&gt;"",N224+L225,"")</f>
        <v/>
      </c>
      <c r="O225" s="10">
        <f>IF(H225&lt;&gt;"",O224+K225,"")</f>
        <v/>
      </c>
    </row>
    <row r="226">
      <c r="H226" s="12">
        <f>IF(AND(M225&gt;0.005,H225&lt;&gt;""),224,"")</f>
        <v/>
      </c>
      <c r="I226" s="13">
        <f>IF(H226&lt;&gt;"",EDATE(StartDate,223),"")</f>
        <v/>
      </c>
      <c r="J226" s="14">
        <f>IF(H226&lt;&gt;"",MIN(MonthlyPmt,M225+K226),"")</f>
        <v/>
      </c>
      <c r="K226" s="14">
        <f>IF(H226&lt;&gt;"",ROUND(M225*AnnualRate/12,2),"")</f>
        <v/>
      </c>
      <c r="L226" s="14">
        <f>IF(H226&lt;&gt;"",MIN(M225,(J226-K226)+SUMPRODUCT(($B$21:$B$30&lt;&gt;"")*($B$21:$B$30&lt;=I226)*(($C$21:$C$30="")+($C$21:$C$30&lt;&gt;"")*($C$21:$C$30&gt;=I226))*($E$21:$E$30="Monthly")*$D$21:$D$30)+SUMPRODUCT(($B$21:$B$30&lt;&gt;"")*($B$21:$B$30&lt;=I226)*(($C$21:$C$30="")+($C$21:$C$30&lt;&gt;"")*($C$21:$C$30&gt;=I226))*($E$21:$E$30="Annual")*(MONTH($B$21:$B$30)=MONTH(I226))*$D$21:$D$30)+SUMPRODUCT(($B$34:$B$48&lt;&gt;"")*(YEAR($B$34:$B$48)=YEAR(I226))*(MONTH($B$34:$B$48)=MONTH(I226))*$C$34:$C$48)),"")</f>
        <v/>
      </c>
      <c r="M226" s="14">
        <f>IF(H226&lt;&gt;"",ROUND(M225-L226,2),"")</f>
        <v/>
      </c>
      <c r="N226" s="10">
        <f>IF(H226&lt;&gt;"",N225+L226,"")</f>
        <v/>
      </c>
      <c r="O226" s="10">
        <f>IF(H226&lt;&gt;"",O225+K226,"")</f>
        <v/>
      </c>
    </row>
    <row r="227">
      <c r="H227" s="7">
        <f>IF(AND(M226&gt;0.005,H226&lt;&gt;""),225,"")</f>
        <v/>
      </c>
      <c r="I227" s="8">
        <f>IF(H227&lt;&gt;"",EDATE(StartDate,224),"")</f>
        <v/>
      </c>
      <c r="J227" s="9">
        <f>IF(H227&lt;&gt;"",MIN(MonthlyPmt,M226+K227),"")</f>
        <v/>
      </c>
      <c r="K227" s="9">
        <f>IF(H227&lt;&gt;"",ROUND(M226*AnnualRate/12,2),"")</f>
        <v/>
      </c>
      <c r="L227" s="9">
        <f>IF(H227&lt;&gt;"",MIN(M226,(J227-K227)+SUMPRODUCT(($B$21:$B$30&lt;&gt;"")*($B$21:$B$30&lt;=I227)*(($C$21:$C$30="")+($C$21:$C$30&lt;&gt;"")*($C$21:$C$30&gt;=I227))*($E$21:$E$30="Monthly")*$D$21:$D$30)+SUMPRODUCT(($B$21:$B$30&lt;&gt;"")*($B$21:$B$30&lt;=I227)*(($C$21:$C$30="")+($C$21:$C$30&lt;&gt;"")*($C$21:$C$30&gt;=I227))*($E$21:$E$30="Annual")*(MONTH($B$21:$B$30)=MONTH(I227))*$D$21:$D$30)+SUMPRODUCT(($B$34:$B$48&lt;&gt;"")*(YEAR($B$34:$B$48)=YEAR(I227))*(MONTH($B$34:$B$48)=MONTH(I227))*$C$34:$C$48)),"")</f>
        <v/>
      </c>
      <c r="M227" s="9">
        <f>IF(H227&lt;&gt;"",ROUND(M226-L227,2),"")</f>
        <v/>
      </c>
      <c r="N227" s="10">
        <f>IF(H227&lt;&gt;"",N226+L227,"")</f>
        <v/>
      </c>
      <c r="O227" s="10">
        <f>IF(H227&lt;&gt;"",O226+K227,"")</f>
        <v/>
      </c>
    </row>
    <row r="228">
      <c r="H228" s="12">
        <f>IF(AND(M227&gt;0.005,H227&lt;&gt;""),226,"")</f>
        <v/>
      </c>
      <c r="I228" s="13">
        <f>IF(H228&lt;&gt;"",EDATE(StartDate,225),"")</f>
        <v/>
      </c>
      <c r="J228" s="14">
        <f>IF(H228&lt;&gt;"",MIN(MonthlyPmt,M227+K228),"")</f>
        <v/>
      </c>
      <c r="K228" s="14">
        <f>IF(H228&lt;&gt;"",ROUND(M227*AnnualRate/12,2),"")</f>
        <v/>
      </c>
      <c r="L228" s="14">
        <f>IF(H228&lt;&gt;"",MIN(M227,(J228-K228)+SUMPRODUCT(($B$21:$B$30&lt;&gt;"")*($B$21:$B$30&lt;=I228)*(($C$21:$C$30="")+($C$21:$C$30&lt;&gt;"")*($C$21:$C$30&gt;=I228))*($E$21:$E$30="Monthly")*$D$21:$D$30)+SUMPRODUCT(($B$21:$B$30&lt;&gt;"")*($B$21:$B$30&lt;=I228)*(($C$21:$C$30="")+($C$21:$C$30&lt;&gt;"")*($C$21:$C$30&gt;=I228))*($E$21:$E$30="Annual")*(MONTH($B$21:$B$30)=MONTH(I228))*$D$21:$D$30)+SUMPRODUCT(($B$34:$B$48&lt;&gt;"")*(YEAR($B$34:$B$48)=YEAR(I228))*(MONTH($B$34:$B$48)=MONTH(I228))*$C$34:$C$48)),"")</f>
        <v/>
      </c>
      <c r="M228" s="14">
        <f>IF(H228&lt;&gt;"",ROUND(M227-L228,2),"")</f>
        <v/>
      </c>
      <c r="N228" s="10">
        <f>IF(H228&lt;&gt;"",N227+L228,"")</f>
        <v/>
      </c>
      <c r="O228" s="10">
        <f>IF(H228&lt;&gt;"",O227+K228,"")</f>
        <v/>
      </c>
    </row>
    <row r="229">
      <c r="H229" s="7">
        <f>IF(AND(M228&gt;0.005,H228&lt;&gt;""),227,"")</f>
        <v/>
      </c>
      <c r="I229" s="8">
        <f>IF(H229&lt;&gt;"",EDATE(StartDate,226),"")</f>
        <v/>
      </c>
      <c r="J229" s="9">
        <f>IF(H229&lt;&gt;"",MIN(MonthlyPmt,M228+K229),"")</f>
        <v/>
      </c>
      <c r="K229" s="9">
        <f>IF(H229&lt;&gt;"",ROUND(M228*AnnualRate/12,2),"")</f>
        <v/>
      </c>
      <c r="L229" s="9">
        <f>IF(H229&lt;&gt;"",MIN(M228,(J229-K229)+SUMPRODUCT(($B$21:$B$30&lt;&gt;"")*($B$21:$B$30&lt;=I229)*(($C$21:$C$30="")+($C$21:$C$30&lt;&gt;"")*($C$21:$C$30&gt;=I229))*($E$21:$E$30="Monthly")*$D$21:$D$30)+SUMPRODUCT(($B$21:$B$30&lt;&gt;"")*($B$21:$B$30&lt;=I229)*(($C$21:$C$30="")+($C$21:$C$30&lt;&gt;"")*($C$21:$C$30&gt;=I229))*($E$21:$E$30="Annual")*(MONTH($B$21:$B$30)=MONTH(I229))*$D$21:$D$30)+SUMPRODUCT(($B$34:$B$48&lt;&gt;"")*(YEAR($B$34:$B$48)=YEAR(I229))*(MONTH($B$34:$B$48)=MONTH(I229))*$C$34:$C$48)),"")</f>
        <v/>
      </c>
      <c r="M229" s="9">
        <f>IF(H229&lt;&gt;"",ROUND(M228-L229,2),"")</f>
        <v/>
      </c>
      <c r="N229" s="10">
        <f>IF(H229&lt;&gt;"",N228+L229,"")</f>
        <v/>
      </c>
      <c r="O229" s="10">
        <f>IF(H229&lt;&gt;"",O228+K229,"")</f>
        <v/>
      </c>
    </row>
    <row r="230">
      <c r="H230" s="12">
        <f>IF(AND(M229&gt;0.005,H229&lt;&gt;""),228,"")</f>
        <v/>
      </c>
      <c r="I230" s="13">
        <f>IF(H230&lt;&gt;"",EDATE(StartDate,227),"")</f>
        <v/>
      </c>
      <c r="J230" s="14">
        <f>IF(H230&lt;&gt;"",MIN(MonthlyPmt,M229+K230),"")</f>
        <v/>
      </c>
      <c r="K230" s="14">
        <f>IF(H230&lt;&gt;"",ROUND(M229*AnnualRate/12,2),"")</f>
        <v/>
      </c>
      <c r="L230" s="14">
        <f>IF(H230&lt;&gt;"",MIN(M229,(J230-K230)+SUMPRODUCT(($B$21:$B$30&lt;&gt;"")*($B$21:$B$30&lt;=I230)*(($C$21:$C$30="")+($C$21:$C$30&lt;&gt;"")*($C$21:$C$30&gt;=I230))*($E$21:$E$30="Monthly")*$D$21:$D$30)+SUMPRODUCT(($B$21:$B$30&lt;&gt;"")*($B$21:$B$30&lt;=I230)*(($C$21:$C$30="")+($C$21:$C$30&lt;&gt;"")*($C$21:$C$30&gt;=I230))*($E$21:$E$30="Annual")*(MONTH($B$21:$B$30)=MONTH(I230))*$D$21:$D$30)+SUMPRODUCT(($B$34:$B$48&lt;&gt;"")*(YEAR($B$34:$B$48)=YEAR(I230))*(MONTH($B$34:$B$48)=MONTH(I230))*$C$34:$C$48)),"")</f>
        <v/>
      </c>
      <c r="M230" s="14">
        <f>IF(H230&lt;&gt;"",ROUND(M229-L230,2),"")</f>
        <v/>
      </c>
      <c r="N230" s="10">
        <f>IF(H230&lt;&gt;"",N229+L230,"")</f>
        <v/>
      </c>
      <c r="O230" s="10">
        <f>IF(H230&lt;&gt;"",O229+K230,"")</f>
        <v/>
      </c>
    </row>
    <row r="231">
      <c r="H231" s="7">
        <f>IF(AND(M230&gt;0.005,H230&lt;&gt;""),229,"")</f>
        <v/>
      </c>
      <c r="I231" s="8">
        <f>IF(H231&lt;&gt;"",EDATE(StartDate,228),"")</f>
        <v/>
      </c>
      <c r="J231" s="9">
        <f>IF(H231&lt;&gt;"",MIN(MonthlyPmt,M230+K231),"")</f>
        <v/>
      </c>
      <c r="K231" s="9">
        <f>IF(H231&lt;&gt;"",ROUND(M230*AnnualRate/12,2),"")</f>
        <v/>
      </c>
      <c r="L231" s="9">
        <f>IF(H231&lt;&gt;"",MIN(M230,(J231-K231)+SUMPRODUCT(($B$21:$B$30&lt;&gt;"")*($B$21:$B$30&lt;=I231)*(($C$21:$C$30="")+($C$21:$C$30&lt;&gt;"")*($C$21:$C$30&gt;=I231))*($E$21:$E$30="Monthly")*$D$21:$D$30)+SUMPRODUCT(($B$21:$B$30&lt;&gt;"")*($B$21:$B$30&lt;=I231)*(($C$21:$C$30="")+($C$21:$C$30&lt;&gt;"")*($C$21:$C$30&gt;=I231))*($E$21:$E$30="Annual")*(MONTH($B$21:$B$30)=MONTH(I231))*$D$21:$D$30)+SUMPRODUCT(($B$34:$B$48&lt;&gt;"")*(YEAR($B$34:$B$48)=YEAR(I231))*(MONTH($B$34:$B$48)=MONTH(I231))*$C$34:$C$48)),"")</f>
        <v/>
      </c>
      <c r="M231" s="9">
        <f>IF(H231&lt;&gt;"",ROUND(M230-L231,2),"")</f>
        <v/>
      </c>
      <c r="N231" s="10">
        <f>IF(H231&lt;&gt;"",N230+L231,"")</f>
        <v/>
      </c>
      <c r="O231" s="10">
        <f>IF(H231&lt;&gt;"",O230+K231,"")</f>
        <v/>
      </c>
    </row>
    <row r="232">
      <c r="H232" s="12">
        <f>IF(AND(M231&gt;0.005,H231&lt;&gt;""),230,"")</f>
        <v/>
      </c>
      <c r="I232" s="13">
        <f>IF(H232&lt;&gt;"",EDATE(StartDate,229),"")</f>
        <v/>
      </c>
      <c r="J232" s="14">
        <f>IF(H232&lt;&gt;"",MIN(MonthlyPmt,M231+K232),"")</f>
        <v/>
      </c>
      <c r="K232" s="14">
        <f>IF(H232&lt;&gt;"",ROUND(M231*AnnualRate/12,2),"")</f>
        <v/>
      </c>
      <c r="L232" s="14">
        <f>IF(H232&lt;&gt;"",MIN(M231,(J232-K232)+SUMPRODUCT(($B$21:$B$30&lt;&gt;"")*($B$21:$B$30&lt;=I232)*(($C$21:$C$30="")+($C$21:$C$30&lt;&gt;"")*($C$21:$C$30&gt;=I232))*($E$21:$E$30="Monthly")*$D$21:$D$30)+SUMPRODUCT(($B$21:$B$30&lt;&gt;"")*($B$21:$B$30&lt;=I232)*(($C$21:$C$30="")+($C$21:$C$30&lt;&gt;"")*($C$21:$C$30&gt;=I232))*($E$21:$E$30="Annual")*(MONTH($B$21:$B$30)=MONTH(I232))*$D$21:$D$30)+SUMPRODUCT(($B$34:$B$48&lt;&gt;"")*(YEAR($B$34:$B$48)=YEAR(I232))*(MONTH($B$34:$B$48)=MONTH(I232))*$C$34:$C$48)),"")</f>
        <v/>
      </c>
      <c r="M232" s="14">
        <f>IF(H232&lt;&gt;"",ROUND(M231-L232,2),"")</f>
        <v/>
      </c>
      <c r="N232" s="10">
        <f>IF(H232&lt;&gt;"",N231+L232,"")</f>
        <v/>
      </c>
      <c r="O232" s="10">
        <f>IF(H232&lt;&gt;"",O231+K232,"")</f>
        <v/>
      </c>
    </row>
    <row r="233">
      <c r="H233" s="7">
        <f>IF(AND(M232&gt;0.005,H232&lt;&gt;""),231,"")</f>
        <v/>
      </c>
      <c r="I233" s="8">
        <f>IF(H233&lt;&gt;"",EDATE(StartDate,230),"")</f>
        <v/>
      </c>
      <c r="J233" s="9">
        <f>IF(H233&lt;&gt;"",MIN(MonthlyPmt,M232+K233),"")</f>
        <v/>
      </c>
      <c r="K233" s="9">
        <f>IF(H233&lt;&gt;"",ROUND(M232*AnnualRate/12,2),"")</f>
        <v/>
      </c>
      <c r="L233" s="9">
        <f>IF(H233&lt;&gt;"",MIN(M232,(J233-K233)+SUMPRODUCT(($B$21:$B$30&lt;&gt;"")*($B$21:$B$30&lt;=I233)*(($C$21:$C$30="")+($C$21:$C$30&lt;&gt;"")*($C$21:$C$30&gt;=I233))*($E$21:$E$30="Monthly")*$D$21:$D$30)+SUMPRODUCT(($B$21:$B$30&lt;&gt;"")*($B$21:$B$30&lt;=I233)*(($C$21:$C$30="")+($C$21:$C$30&lt;&gt;"")*($C$21:$C$30&gt;=I233))*($E$21:$E$30="Annual")*(MONTH($B$21:$B$30)=MONTH(I233))*$D$21:$D$30)+SUMPRODUCT(($B$34:$B$48&lt;&gt;"")*(YEAR($B$34:$B$48)=YEAR(I233))*(MONTH($B$34:$B$48)=MONTH(I233))*$C$34:$C$48)),"")</f>
        <v/>
      </c>
      <c r="M233" s="9">
        <f>IF(H233&lt;&gt;"",ROUND(M232-L233,2),"")</f>
        <v/>
      </c>
      <c r="N233" s="10">
        <f>IF(H233&lt;&gt;"",N232+L233,"")</f>
        <v/>
      </c>
      <c r="O233" s="10">
        <f>IF(H233&lt;&gt;"",O232+K233,"")</f>
        <v/>
      </c>
    </row>
    <row r="234">
      <c r="H234" s="12">
        <f>IF(AND(M233&gt;0.005,H233&lt;&gt;""),232,"")</f>
        <v/>
      </c>
      <c r="I234" s="13">
        <f>IF(H234&lt;&gt;"",EDATE(StartDate,231),"")</f>
        <v/>
      </c>
      <c r="J234" s="14">
        <f>IF(H234&lt;&gt;"",MIN(MonthlyPmt,M233+K234),"")</f>
        <v/>
      </c>
      <c r="K234" s="14">
        <f>IF(H234&lt;&gt;"",ROUND(M233*AnnualRate/12,2),"")</f>
        <v/>
      </c>
      <c r="L234" s="14">
        <f>IF(H234&lt;&gt;"",MIN(M233,(J234-K234)+SUMPRODUCT(($B$21:$B$30&lt;&gt;"")*($B$21:$B$30&lt;=I234)*(($C$21:$C$30="")+($C$21:$C$30&lt;&gt;"")*($C$21:$C$30&gt;=I234))*($E$21:$E$30="Monthly")*$D$21:$D$30)+SUMPRODUCT(($B$21:$B$30&lt;&gt;"")*($B$21:$B$30&lt;=I234)*(($C$21:$C$30="")+($C$21:$C$30&lt;&gt;"")*($C$21:$C$30&gt;=I234))*($E$21:$E$30="Annual")*(MONTH($B$21:$B$30)=MONTH(I234))*$D$21:$D$30)+SUMPRODUCT(($B$34:$B$48&lt;&gt;"")*(YEAR($B$34:$B$48)=YEAR(I234))*(MONTH($B$34:$B$48)=MONTH(I234))*$C$34:$C$48)),"")</f>
        <v/>
      </c>
      <c r="M234" s="14">
        <f>IF(H234&lt;&gt;"",ROUND(M233-L234,2),"")</f>
        <v/>
      </c>
      <c r="N234" s="10">
        <f>IF(H234&lt;&gt;"",N233+L234,"")</f>
        <v/>
      </c>
      <c r="O234" s="10">
        <f>IF(H234&lt;&gt;"",O233+K234,"")</f>
        <v/>
      </c>
    </row>
    <row r="235">
      <c r="H235" s="7">
        <f>IF(AND(M234&gt;0.005,H234&lt;&gt;""),233,"")</f>
        <v/>
      </c>
      <c r="I235" s="8">
        <f>IF(H235&lt;&gt;"",EDATE(StartDate,232),"")</f>
        <v/>
      </c>
      <c r="J235" s="9">
        <f>IF(H235&lt;&gt;"",MIN(MonthlyPmt,M234+K235),"")</f>
        <v/>
      </c>
      <c r="K235" s="9">
        <f>IF(H235&lt;&gt;"",ROUND(M234*AnnualRate/12,2),"")</f>
        <v/>
      </c>
      <c r="L235" s="9">
        <f>IF(H235&lt;&gt;"",MIN(M234,(J235-K235)+SUMPRODUCT(($B$21:$B$30&lt;&gt;"")*($B$21:$B$30&lt;=I235)*(($C$21:$C$30="")+($C$21:$C$30&lt;&gt;"")*($C$21:$C$30&gt;=I235))*($E$21:$E$30="Monthly")*$D$21:$D$30)+SUMPRODUCT(($B$21:$B$30&lt;&gt;"")*($B$21:$B$30&lt;=I235)*(($C$21:$C$30="")+($C$21:$C$30&lt;&gt;"")*($C$21:$C$30&gt;=I235))*($E$21:$E$30="Annual")*(MONTH($B$21:$B$30)=MONTH(I235))*$D$21:$D$30)+SUMPRODUCT(($B$34:$B$48&lt;&gt;"")*(YEAR($B$34:$B$48)=YEAR(I235))*(MONTH($B$34:$B$48)=MONTH(I235))*$C$34:$C$48)),"")</f>
        <v/>
      </c>
      <c r="M235" s="9">
        <f>IF(H235&lt;&gt;"",ROUND(M234-L235,2),"")</f>
        <v/>
      </c>
      <c r="N235" s="10">
        <f>IF(H235&lt;&gt;"",N234+L235,"")</f>
        <v/>
      </c>
      <c r="O235" s="10">
        <f>IF(H235&lt;&gt;"",O234+K235,"")</f>
        <v/>
      </c>
    </row>
    <row r="236">
      <c r="H236" s="12">
        <f>IF(AND(M235&gt;0.005,H235&lt;&gt;""),234,"")</f>
        <v/>
      </c>
      <c r="I236" s="13">
        <f>IF(H236&lt;&gt;"",EDATE(StartDate,233),"")</f>
        <v/>
      </c>
      <c r="J236" s="14">
        <f>IF(H236&lt;&gt;"",MIN(MonthlyPmt,M235+K236),"")</f>
        <v/>
      </c>
      <c r="K236" s="14">
        <f>IF(H236&lt;&gt;"",ROUND(M235*AnnualRate/12,2),"")</f>
        <v/>
      </c>
      <c r="L236" s="14">
        <f>IF(H236&lt;&gt;"",MIN(M235,(J236-K236)+SUMPRODUCT(($B$21:$B$30&lt;&gt;"")*($B$21:$B$30&lt;=I236)*(($C$21:$C$30="")+($C$21:$C$30&lt;&gt;"")*($C$21:$C$30&gt;=I236))*($E$21:$E$30="Monthly")*$D$21:$D$30)+SUMPRODUCT(($B$21:$B$30&lt;&gt;"")*($B$21:$B$30&lt;=I236)*(($C$21:$C$30="")+($C$21:$C$30&lt;&gt;"")*($C$21:$C$30&gt;=I236))*($E$21:$E$30="Annual")*(MONTH($B$21:$B$30)=MONTH(I236))*$D$21:$D$30)+SUMPRODUCT(($B$34:$B$48&lt;&gt;"")*(YEAR($B$34:$B$48)=YEAR(I236))*(MONTH($B$34:$B$48)=MONTH(I236))*$C$34:$C$48)),"")</f>
        <v/>
      </c>
      <c r="M236" s="14">
        <f>IF(H236&lt;&gt;"",ROUND(M235-L236,2),"")</f>
        <v/>
      </c>
      <c r="N236" s="10">
        <f>IF(H236&lt;&gt;"",N235+L236,"")</f>
        <v/>
      </c>
      <c r="O236" s="10">
        <f>IF(H236&lt;&gt;"",O235+K236,"")</f>
        <v/>
      </c>
    </row>
    <row r="237">
      <c r="H237" s="7">
        <f>IF(AND(M236&gt;0.005,H236&lt;&gt;""),235,"")</f>
        <v/>
      </c>
      <c r="I237" s="8">
        <f>IF(H237&lt;&gt;"",EDATE(StartDate,234),"")</f>
        <v/>
      </c>
      <c r="J237" s="9">
        <f>IF(H237&lt;&gt;"",MIN(MonthlyPmt,M236+K237),"")</f>
        <v/>
      </c>
      <c r="K237" s="9">
        <f>IF(H237&lt;&gt;"",ROUND(M236*AnnualRate/12,2),"")</f>
        <v/>
      </c>
      <c r="L237" s="9">
        <f>IF(H237&lt;&gt;"",MIN(M236,(J237-K237)+SUMPRODUCT(($B$21:$B$30&lt;&gt;"")*($B$21:$B$30&lt;=I237)*(($C$21:$C$30="")+($C$21:$C$30&lt;&gt;"")*($C$21:$C$30&gt;=I237))*($E$21:$E$30="Monthly")*$D$21:$D$30)+SUMPRODUCT(($B$21:$B$30&lt;&gt;"")*($B$21:$B$30&lt;=I237)*(($C$21:$C$30="")+($C$21:$C$30&lt;&gt;"")*($C$21:$C$30&gt;=I237))*($E$21:$E$30="Annual")*(MONTH($B$21:$B$30)=MONTH(I237))*$D$21:$D$30)+SUMPRODUCT(($B$34:$B$48&lt;&gt;"")*(YEAR($B$34:$B$48)=YEAR(I237))*(MONTH($B$34:$B$48)=MONTH(I237))*$C$34:$C$48)),"")</f>
        <v/>
      </c>
      <c r="M237" s="9">
        <f>IF(H237&lt;&gt;"",ROUND(M236-L237,2),"")</f>
        <v/>
      </c>
      <c r="N237" s="10">
        <f>IF(H237&lt;&gt;"",N236+L237,"")</f>
        <v/>
      </c>
      <c r="O237" s="10">
        <f>IF(H237&lt;&gt;"",O236+K237,"")</f>
        <v/>
      </c>
    </row>
    <row r="238">
      <c r="H238" s="12">
        <f>IF(AND(M237&gt;0.005,H237&lt;&gt;""),236,"")</f>
        <v/>
      </c>
      <c r="I238" s="13">
        <f>IF(H238&lt;&gt;"",EDATE(StartDate,235),"")</f>
        <v/>
      </c>
      <c r="J238" s="14">
        <f>IF(H238&lt;&gt;"",MIN(MonthlyPmt,M237+K238),"")</f>
        <v/>
      </c>
      <c r="K238" s="14">
        <f>IF(H238&lt;&gt;"",ROUND(M237*AnnualRate/12,2),"")</f>
        <v/>
      </c>
      <c r="L238" s="14">
        <f>IF(H238&lt;&gt;"",MIN(M237,(J238-K238)+SUMPRODUCT(($B$21:$B$30&lt;&gt;"")*($B$21:$B$30&lt;=I238)*(($C$21:$C$30="")+($C$21:$C$30&lt;&gt;"")*($C$21:$C$30&gt;=I238))*($E$21:$E$30="Monthly")*$D$21:$D$30)+SUMPRODUCT(($B$21:$B$30&lt;&gt;"")*($B$21:$B$30&lt;=I238)*(($C$21:$C$30="")+($C$21:$C$30&lt;&gt;"")*($C$21:$C$30&gt;=I238))*($E$21:$E$30="Annual")*(MONTH($B$21:$B$30)=MONTH(I238))*$D$21:$D$30)+SUMPRODUCT(($B$34:$B$48&lt;&gt;"")*(YEAR($B$34:$B$48)=YEAR(I238))*(MONTH($B$34:$B$48)=MONTH(I238))*$C$34:$C$48)),"")</f>
        <v/>
      </c>
      <c r="M238" s="14">
        <f>IF(H238&lt;&gt;"",ROUND(M237-L238,2),"")</f>
        <v/>
      </c>
      <c r="N238" s="10">
        <f>IF(H238&lt;&gt;"",N237+L238,"")</f>
        <v/>
      </c>
      <c r="O238" s="10">
        <f>IF(H238&lt;&gt;"",O237+K238,"")</f>
        <v/>
      </c>
    </row>
    <row r="239">
      <c r="H239" s="7">
        <f>IF(AND(M238&gt;0.005,H238&lt;&gt;""),237,"")</f>
        <v/>
      </c>
      <c r="I239" s="8">
        <f>IF(H239&lt;&gt;"",EDATE(StartDate,236),"")</f>
        <v/>
      </c>
      <c r="J239" s="9">
        <f>IF(H239&lt;&gt;"",MIN(MonthlyPmt,M238+K239),"")</f>
        <v/>
      </c>
      <c r="K239" s="9">
        <f>IF(H239&lt;&gt;"",ROUND(M238*AnnualRate/12,2),"")</f>
        <v/>
      </c>
      <c r="L239" s="9">
        <f>IF(H239&lt;&gt;"",MIN(M238,(J239-K239)+SUMPRODUCT(($B$21:$B$30&lt;&gt;"")*($B$21:$B$30&lt;=I239)*(($C$21:$C$30="")+($C$21:$C$30&lt;&gt;"")*($C$21:$C$30&gt;=I239))*($E$21:$E$30="Monthly")*$D$21:$D$30)+SUMPRODUCT(($B$21:$B$30&lt;&gt;"")*($B$21:$B$30&lt;=I239)*(($C$21:$C$30="")+($C$21:$C$30&lt;&gt;"")*($C$21:$C$30&gt;=I239))*($E$21:$E$30="Annual")*(MONTH($B$21:$B$30)=MONTH(I239))*$D$21:$D$30)+SUMPRODUCT(($B$34:$B$48&lt;&gt;"")*(YEAR($B$34:$B$48)=YEAR(I239))*(MONTH($B$34:$B$48)=MONTH(I239))*$C$34:$C$48)),"")</f>
        <v/>
      </c>
      <c r="M239" s="9">
        <f>IF(H239&lt;&gt;"",ROUND(M238-L239,2),"")</f>
        <v/>
      </c>
      <c r="N239" s="10">
        <f>IF(H239&lt;&gt;"",N238+L239,"")</f>
        <v/>
      </c>
      <c r="O239" s="10">
        <f>IF(H239&lt;&gt;"",O238+K239,"")</f>
        <v/>
      </c>
    </row>
    <row r="240">
      <c r="H240" s="12">
        <f>IF(AND(M239&gt;0.005,H239&lt;&gt;""),238,"")</f>
        <v/>
      </c>
      <c r="I240" s="13">
        <f>IF(H240&lt;&gt;"",EDATE(StartDate,237),"")</f>
        <v/>
      </c>
      <c r="J240" s="14">
        <f>IF(H240&lt;&gt;"",MIN(MonthlyPmt,M239+K240),"")</f>
        <v/>
      </c>
      <c r="K240" s="14">
        <f>IF(H240&lt;&gt;"",ROUND(M239*AnnualRate/12,2),"")</f>
        <v/>
      </c>
      <c r="L240" s="14">
        <f>IF(H240&lt;&gt;"",MIN(M239,(J240-K240)+SUMPRODUCT(($B$21:$B$30&lt;&gt;"")*($B$21:$B$30&lt;=I240)*(($C$21:$C$30="")+($C$21:$C$30&lt;&gt;"")*($C$21:$C$30&gt;=I240))*($E$21:$E$30="Monthly")*$D$21:$D$30)+SUMPRODUCT(($B$21:$B$30&lt;&gt;"")*($B$21:$B$30&lt;=I240)*(($C$21:$C$30="")+($C$21:$C$30&lt;&gt;"")*($C$21:$C$30&gt;=I240))*($E$21:$E$30="Annual")*(MONTH($B$21:$B$30)=MONTH(I240))*$D$21:$D$30)+SUMPRODUCT(($B$34:$B$48&lt;&gt;"")*(YEAR($B$34:$B$48)=YEAR(I240))*(MONTH($B$34:$B$48)=MONTH(I240))*$C$34:$C$48)),"")</f>
        <v/>
      </c>
      <c r="M240" s="14">
        <f>IF(H240&lt;&gt;"",ROUND(M239-L240,2),"")</f>
        <v/>
      </c>
      <c r="N240" s="10">
        <f>IF(H240&lt;&gt;"",N239+L240,"")</f>
        <v/>
      </c>
      <c r="O240" s="10">
        <f>IF(H240&lt;&gt;"",O239+K240,"")</f>
        <v/>
      </c>
    </row>
    <row r="241">
      <c r="H241" s="7">
        <f>IF(AND(M240&gt;0.005,H240&lt;&gt;""),239,"")</f>
        <v/>
      </c>
      <c r="I241" s="8">
        <f>IF(H241&lt;&gt;"",EDATE(StartDate,238),"")</f>
        <v/>
      </c>
      <c r="J241" s="9">
        <f>IF(H241&lt;&gt;"",MIN(MonthlyPmt,M240+K241),"")</f>
        <v/>
      </c>
      <c r="K241" s="9">
        <f>IF(H241&lt;&gt;"",ROUND(M240*AnnualRate/12,2),"")</f>
        <v/>
      </c>
      <c r="L241" s="9">
        <f>IF(H241&lt;&gt;"",MIN(M240,(J241-K241)+SUMPRODUCT(($B$21:$B$30&lt;&gt;"")*($B$21:$B$30&lt;=I241)*(($C$21:$C$30="")+($C$21:$C$30&lt;&gt;"")*($C$21:$C$30&gt;=I241))*($E$21:$E$30="Monthly")*$D$21:$D$30)+SUMPRODUCT(($B$21:$B$30&lt;&gt;"")*($B$21:$B$30&lt;=I241)*(($C$21:$C$30="")+($C$21:$C$30&lt;&gt;"")*($C$21:$C$30&gt;=I241))*($E$21:$E$30="Annual")*(MONTH($B$21:$B$30)=MONTH(I241))*$D$21:$D$30)+SUMPRODUCT(($B$34:$B$48&lt;&gt;"")*(YEAR($B$34:$B$48)=YEAR(I241))*(MONTH($B$34:$B$48)=MONTH(I241))*$C$34:$C$48)),"")</f>
        <v/>
      </c>
      <c r="M241" s="9">
        <f>IF(H241&lt;&gt;"",ROUND(M240-L241,2),"")</f>
        <v/>
      </c>
      <c r="N241" s="10">
        <f>IF(H241&lt;&gt;"",N240+L241,"")</f>
        <v/>
      </c>
      <c r="O241" s="10">
        <f>IF(H241&lt;&gt;"",O240+K241,"")</f>
        <v/>
      </c>
    </row>
    <row r="242">
      <c r="H242" s="12">
        <f>IF(AND(M241&gt;0.005,H241&lt;&gt;""),240,"")</f>
        <v/>
      </c>
      <c r="I242" s="13">
        <f>IF(H242&lt;&gt;"",EDATE(StartDate,239),"")</f>
        <v/>
      </c>
      <c r="J242" s="14">
        <f>IF(H242&lt;&gt;"",MIN(MonthlyPmt,M241+K242),"")</f>
        <v/>
      </c>
      <c r="K242" s="14">
        <f>IF(H242&lt;&gt;"",ROUND(M241*AnnualRate/12,2),"")</f>
        <v/>
      </c>
      <c r="L242" s="14">
        <f>IF(H242&lt;&gt;"",MIN(M241,(J242-K242)+SUMPRODUCT(($B$21:$B$30&lt;&gt;"")*($B$21:$B$30&lt;=I242)*(($C$21:$C$30="")+($C$21:$C$30&lt;&gt;"")*($C$21:$C$30&gt;=I242))*($E$21:$E$30="Monthly")*$D$21:$D$30)+SUMPRODUCT(($B$21:$B$30&lt;&gt;"")*($B$21:$B$30&lt;=I242)*(($C$21:$C$30="")+($C$21:$C$30&lt;&gt;"")*($C$21:$C$30&gt;=I242))*($E$21:$E$30="Annual")*(MONTH($B$21:$B$30)=MONTH(I242))*$D$21:$D$30)+SUMPRODUCT(($B$34:$B$48&lt;&gt;"")*(YEAR($B$34:$B$48)=YEAR(I242))*(MONTH($B$34:$B$48)=MONTH(I242))*$C$34:$C$48)),"")</f>
        <v/>
      </c>
      <c r="M242" s="14">
        <f>IF(H242&lt;&gt;"",ROUND(M241-L242,2),"")</f>
        <v/>
      </c>
      <c r="N242" s="10">
        <f>IF(H242&lt;&gt;"",N241+L242,"")</f>
        <v/>
      </c>
      <c r="O242" s="10">
        <f>IF(H242&lt;&gt;"",O241+K242,"")</f>
        <v/>
      </c>
    </row>
    <row r="243">
      <c r="H243" s="7">
        <f>IF(AND(M242&gt;0.005,H242&lt;&gt;""),241,"")</f>
        <v/>
      </c>
      <c r="I243" s="8">
        <f>IF(H243&lt;&gt;"",EDATE(StartDate,240),"")</f>
        <v/>
      </c>
      <c r="J243" s="9">
        <f>IF(H243&lt;&gt;"",MIN(MonthlyPmt,M242+K243),"")</f>
        <v/>
      </c>
      <c r="K243" s="9">
        <f>IF(H243&lt;&gt;"",ROUND(M242*AnnualRate/12,2),"")</f>
        <v/>
      </c>
      <c r="L243" s="9">
        <f>IF(H243&lt;&gt;"",MIN(M242,(J243-K243)+SUMPRODUCT(($B$21:$B$30&lt;&gt;"")*($B$21:$B$30&lt;=I243)*(($C$21:$C$30="")+($C$21:$C$30&lt;&gt;"")*($C$21:$C$30&gt;=I243))*($E$21:$E$30="Monthly")*$D$21:$D$30)+SUMPRODUCT(($B$21:$B$30&lt;&gt;"")*($B$21:$B$30&lt;=I243)*(($C$21:$C$30="")+($C$21:$C$30&lt;&gt;"")*($C$21:$C$30&gt;=I243))*($E$21:$E$30="Annual")*(MONTH($B$21:$B$30)=MONTH(I243))*$D$21:$D$30)+SUMPRODUCT(($B$34:$B$48&lt;&gt;"")*(YEAR($B$34:$B$48)=YEAR(I243))*(MONTH($B$34:$B$48)=MONTH(I243))*$C$34:$C$48)),"")</f>
        <v/>
      </c>
      <c r="M243" s="9">
        <f>IF(H243&lt;&gt;"",ROUND(M242-L243,2),"")</f>
        <v/>
      </c>
      <c r="N243" s="10">
        <f>IF(H243&lt;&gt;"",N242+L243,"")</f>
        <v/>
      </c>
      <c r="O243" s="10">
        <f>IF(H243&lt;&gt;"",O242+K243,"")</f>
        <v/>
      </c>
    </row>
    <row r="244">
      <c r="H244" s="12">
        <f>IF(AND(M243&gt;0.005,H243&lt;&gt;""),242,"")</f>
        <v/>
      </c>
      <c r="I244" s="13">
        <f>IF(H244&lt;&gt;"",EDATE(StartDate,241),"")</f>
        <v/>
      </c>
      <c r="J244" s="14">
        <f>IF(H244&lt;&gt;"",MIN(MonthlyPmt,M243+K244),"")</f>
        <v/>
      </c>
      <c r="K244" s="14">
        <f>IF(H244&lt;&gt;"",ROUND(M243*AnnualRate/12,2),"")</f>
        <v/>
      </c>
      <c r="L244" s="14">
        <f>IF(H244&lt;&gt;"",MIN(M243,(J244-K244)+SUMPRODUCT(($B$21:$B$30&lt;&gt;"")*($B$21:$B$30&lt;=I244)*(($C$21:$C$30="")+($C$21:$C$30&lt;&gt;"")*($C$21:$C$30&gt;=I244))*($E$21:$E$30="Monthly")*$D$21:$D$30)+SUMPRODUCT(($B$21:$B$30&lt;&gt;"")*($B$21:$B$30&lt;=I244)*(($C$21:$C$30="")+($C$21:$C$30&lt;&gt;"")*($C$21:$C$30&gt;=I244))*($E$21:$E$30="Annual")*(MONTH($B$21:$B$30)=MONTH(I244))*$D$21:$D$30)+SUMPRODUCT(($B$34:$B$48&lt;&gt;"")*(YEAR($B$34:$B$48)=YEAR(I244))*(MONTH($B$34:$B$48)=MONTH(I244))*$C$34:$C$48)),"")</f>
        <v/>
      </c>
      <c r="M244" s="14">
        <f>IF(H244&lt;&gt;"",ROUND(M243-L244,2),"")</f>
        <v/>
      </c>
      <c r="N244" s="10">
        <f>IF(H244&lt;&gt;"",N243+L244,"")</f>
        <v/>
      </c>
      <c r="O244" s="10">
        <f>IF(H244&lt;&gt;"",O243+K244,"")</f>
        <v/>
      </c>
    </row>
    <row r="245">
      <c r="H245" s="7">
        <f>IF(AND(M244&gt;0.005,H244&lt;&gt;""),243,"")</f>
        <v/>
      </c>
      <c r="I245" s="8">
        <f>IF(H245&lt;&gt;"",EDATE(StartDate,242),"")</f>
        <v/>
      </c>
      <c r="J245" s="9">
        <f>IF(H245&lt;&gt;"",MIN(MonthlyPmt,M244+K245),"")</f>
        <v/>
      </c>
      <c r="K245" s="9">
        <f>IF(H245&lt;&gt;"",ROUND(M244*AnnualRate/12,2),"")</f>
        <v/>
      </c>
      <c r="L245" s="9">
        <f>IF(H245&lt;&gt;"",MIN(M244,(J245-K245)+SUMPRODUCT(($B$21:$B$30&lt;&gt;"")*($B$21:$B$30&lt;=I245)*(($C$21:$C$30="")+($C$21:$C$30&lt;&gt;"")*($C$21:$C$30&gt;=I245))*($E$21:$E$30="Monthly")*$D$21:$D$30)+SUMPRODUCT(($B$21:$B$30&lt;&gt;"")*($B$21:$B$30&lt;=I245)*(($C$21:$C$30="")+($C$21:$C$30&lt;&gt;"")*($C$21:$C$30&gt;=I245))*($E$21:$E$30="Annual")*(MONTH($B$21:$B$30)=MONTH(I245))*$D$21:$D$30)+SUMPRODUCT(($B$34:$B$48&lt;&gt;"")*(YEAR($B$34:$B$48)=YEAR(I245))*(MONTH($B$34:$B$48)=MONTH(I245))*$C$34:$C$48)),"")</f>
        <v/>
      </c>
      <c r="M245" s="9">
        <f>IF(H245&lt;&gt;"",ROUND(M244-L245,2),"")</f>
        <v/>
      </c>
      <c r="N245" s="10">
        <f>IF(H245&lt;&gt;"",N244+L245,"")</f>
        <v/>
      </c>
      <c r="O245" s="10">
        <f>IF(H245&lt;&gt;"",O244+K245,"")</f>
        <v/>
      </c>
    </row>
    <row r="246">
      <c r="H246" s="12">
        <f>IF(AND(M245&gt;0.005,H245&lt;&gt;""),244,"")</f>
        <v/>
      </c>
      <c r="I246" s="13">
        <f>IF(H246&lt;&gt;"",EDATE(StartDate,243),"")</f>
        <v/>
      </c>
      <c r="J246" s="14">
        <f>IF(H246&lt;&gt;"",MIN(MonthlyPmt,M245+K246),"")</f>
        <v/>
      </c>
      <c r="K246" s="14">
        <f>IF(H246&lt;&gt;"",ROUND(M245*AnnualRate/12,2),"")</f>
        <v/>
      </c>
      <c r="L246" s="14">
        <f>IF(H246&lt;&gt;"",MIN(M245,(J246-K246)+SUMPRODUCT(($B$21:$B$30&lt;&gt;"")*($B$21:$B$30&lt;=I246)*(($C$21:$C$30="")+($C$21:$C$30&lt;&gt;"")*($C$21:$C$30&gt;=I246))*($E$21:$E$30="Monthly")*$D$21:$D$30)+SUMPRODUCT(($B$21:$B$30&lt;&gt;"")*($B$21:$B$30&lt;=I246)*(($C$21:$C$30="")+($C$21:$C$30&lt;&gt;"")*($C$21:$C$30&gt;=I246))*($E$21:$E$30="Annual")*(MONTH($B$21:$B$30)=MONTH(I246))*$D$21:$D$30)+SUMPRODUCT(($B$34:$B$48&lt;&gt;"")*(YEAR($B$34:$B$48)=YEAR(I246))*(MONTH($B$34:$B$48)=MONTH(I246))*$C$34:$C$48)),"")</f>
        <v/>
      </c>
      <c r="M246" s="14">
        <f>IF(H246&lt;&gt;"",ROUND(M245-L246,2),"")</f>
        <v/>
      </c>
      <c r="N246" s="10">
        <f>IF(H246&lt;&gt;"",N245+L246,"")</f>
        <v/>
      </c>
      <c r="O246" s="10">
        <f>IF(H246&lt;&gt;"",O245+K246,"")</f>
        <v/>
      </c>
    </row>
    <row r="247">
      <c r="H247" s="7">
        <f>IF(AND(M246&gt;0.005,H246&lt;&gt;""),245,"")</f>
        <v/>
      </c>
      <c r="I247" s="8">
        <f>IF(H247&lt;&gt;"",EDATE(StartDate,244),"")</f>
        <v/>
      </c>
      <c r="J247" s="9">
        <f>IF(H247&lt;&gt;"",MIN(MonthlyPmt,M246+K247),"")</f>
        <v/>
      </c>
      <c r="K247" s="9">
        <f>IF(H247&lt;&gt;"",ROUND(M246*AnnualRate/12,2),"")</f>
        <v/>
      </c>
      <c r="L247" s="9">
        <f>IF(H247&lt;&gt;"",MIN(M246,(J247-K247)+SUMPRODUCT(($B$21:$B$30&lt;&gt;"")*($B$21:$B$30&lt;=I247)*(($C$21:$C$30="")+($C$21:$C$30&lt;&gt;"")*($C$21:$C$30&gt;=I247))*($E$21:$E$30="Monthly")*$D$21:$D$30)+SUMPRODUCT(($B$21:$B$30&lt;&gt;"")*($B$21:$B$30&lt;=I247)*(($C$21:$C$30="")+($C$21:$C$30&lt;&gt;"")*($C$21:$C$30&gt;=I247))*($E$21:$E$30="Annual")*(MONTH($B$21:$B$30)=MONTH(I247))*$D$21:$D$30)+SUMPRODUCT(($B$34:$B$48&lt;&gt;"")*(YEAR($B$34:$B$48)=YEAR(I247))*(MONTH($B$34:$B$48)=MONTH(I247))*$C$34:$C$48)),"")</f>
        <v/>
      </c>
      <c r="M247" s="9">
        <f>IF(H247&lt;&gt;"",ROUND(M246-L247,2),"")</f>
        <v/>
      </c>
      <c r="N247" s="10">
        <f>IF(H247&lt;&gt;"",N246+L247,"")</f>
        <v/>
      </c>
      <c r="O247" s="10">
        <f>IF(H247&lt;&gt;"",O246+K247,"")</f>
        <v/>
      </c>
    </row>
    <row r="248">
      <c r="H248" s="12">
        <f>IF(AND(M247&gt;0.005,H247&lt;&gt;""),246,"")</f>
        <v/>
      </c>
      <c r="I248" s="13">
        <f>IF(H248&lt;&gt;"",EDATE(StartDate,245),"")</f>
        <v/>
      </c>
      <c r="J248" s="14">
        <f>IF(H248&lt;&gt;"",MIN(MonthlyPmt,M247+K248),"")</f>
        <v/>
      </c>
      <c r="K248" s="14">
        <f>IF(H248&lt;&gt;"",ROUND(M247*AnnualRate/12,2),"")</f>
        <v/>
      </c>
      <c r="L248" s="14">
        <f>IF(H248&lt;&gt;"",MIN(M247,(J248-K248)+SUMPRODUCT(($B$21:$B$30&lt;&gt;"")*($B$21:$B$30&lt;=I248)*(($C$21:$C$30="")+($C$21:$C$30&lt;&gt;"")*($C$21:$C$30&gt;=I248))*($E$21:$E$30="Monthly")*$D$21:$D$30)+SUMPRODUCT(($B$21:$B$30&lt;&gt;"")*($B$21:$B$30&lt;=I248)*(($C$21:$C$30="")+($C$21:$C$30&lt;&gt;"")*($C$21:$C$30&gt;=I248))*($E$21:$E$30="Annual")*(MONTH($B$21:$B$30)=MONTH(I248))*$D$21:$D$30)+SUMPRODUCT(($B$34:$B$48&lt;&gt;"")*(YEAR($B$34:$B$48)=YEAR(I248))*(MONTH($B$34:$B$48)=MONTH(I248))*$C$34:$C$48)),"")</f>
        <v/>
      </c>
      <c r="M248" s="14">
        <f>IF(H248&lt;&gt;"",ROUND(M247-L248,2),"")</f>
        <v/>
      </c>
      <c r="N248" s="10">
        <f>IF(H248&lt;&gt;"",N247+L248,"")</f>
        <v/>
      </c>
      <c r="O248" s="10">
        <f>IF(H248&lt;&gt;"",O247+K248,"")</f>
        <v/>
      </c>
    </row>
    <row r="249">
      <c r="H249" s="7">
        <f>IF(AND(M248&gt;0.005,H248&lt;&gt;""),247,"")</f>
        <v/>
      </c>
      <c r="I249" s="8">
        <f>IF(H249&lt;&gt;"",EDATE(StartDate,246),"")</f>
        <v/>
      </c>
      <c r="J249" s="9">
        <f>IF(H249&lt;&gt;"",MIN(MonthlyPmt,M248+K249),"")</f>
        <v/>
      </c>
      <c r="K249" s="9">
        <f>IF(H249&lt;&gt;"",ROUND(M248*AnnualRate/12,2),"")</f>
        <v/>
      </c>
      <c r="L249" s="9">
        <f>IF(H249&lt;&gt;"",MIN(M248,(J249-K249)+SUMPRODUCT(($B$21:$B$30&lt;&gt;"")*($B$21:$B$30&lt;=I249)*(($C$21:$C$30="")+($C$21:$C$30&lt;&gt;"")*($C$21:$C$30&gt;=I249))*($E$21:$E$30="Monthly")*$D$21:$D$30)+SUMPRODUCT(($B$21:$B$30&lt;&gt;"")*($B$21:$B$30&lt;=I249)*(($C$21:$C$30="")+($C$21:$C$30&lt;&gt;"")*($C$21:$C$30&gt;=I249))*($E$21:$E$30="Annual")*(MONTH($B$21:$B$30)=MONTH(I249))*$D$21:$D$30)+SUMPRODUCT(($B$34:$B$48&lt;&gt;"")*(YEAR($B$34:$B$48)=YEAR(I249))*(MONTH($B$34:$B$48)=MONTH(I249))*$C$34:$C$48)),"")</f>
        <v/>
      </c>
      <c r="M249" s="9">
        <f>IF(H249&lt;&gt;"",ROUND(M248-L249,2),"")</f>
        <v/>
      </c>
      <c r="N249" s="10">
        <f>IF(H249&lt;&gt;"",N248+L249,"")</f>
        <v/>
      </c>
      <c r="O249" s="10">
        <f>IF(H249&lt;&gt;"",O248+K249,"")</f>
        <v/>
      </c>
    </row>
    <row r="250">
      <c r="H250" s="12">
        <f>IF(AND(M249&gt;0.005,H249&lt;&gt;""),248,"")</f>
        <v/>
      </c>
      <c r="I250" s="13">
        <f>IF(H250&lt;&gt;"",EDATE(StartDate,247),"")</f>
        <v/>
      </c>
      <c r="J250" s="14">
        <f>IF(H250&lt;&gt;"",MIN(MonthlyPmt,M249+K250),"")</f>
        <v/>
      </c>
      <c r="K250" s="14">
        <f>IF(H250&lt;&gt;"",ROUND(M249*AnnualRate/12,2),"")</f>
        <v/>
      </c>
      <c r="L250" s="14">
        <f>IF(H250&lt;&gt;"",MIN(M249,(J250-K250)+SUMPRODUCT(($B$21:$B$30&lt;&gt;"")*($B$21:$B$30&lt;=I250)*(($C$21:$C$30="")+($C$21:$C$30&lt;&gt;"")*($C$21:$C$30&gt;=I250))*($E$21:$E$30="Monthly")*$D$21:$D$30)+SUMPRODUCT(($B$21:$B$30&lt;&gt;"")*($B$21:$B$30&lt;=I250)*(($C$21:$C$30="")+($C$21:$C$30&lt;&gt;"")*($C$21:$C$30&gt;=I250))*($E$21:$E$30="Annual")*(MONTH($B$21:$B$30)=MONTH(I250))*$D$21:$D$30)+SUMPRODUCT(($B$34:$B$48&lt;&gt;"")*(YEAR($B$34:$B$48)=YEAR(I250))*(MONTH($B$34:$B$48)=MONTH(I250))*$C$34:$C$48)),"")</f>
        <v/>
      </c>
      <c r="M250" s="14">
        <f>IF(H250&lt;&gt;"",ROUND(M249-L250,2),"")</f>
        <v/>
      </c>
      <c r="N250" s="10">
        <f>IF(H250&lt;&gt;"",N249+L250,"")</f>
        <v/>
      </c>
      <c r="O250" s="10">
        <f>IF(H250&lt;&gt;"",O249+K250,"")</f>
        <v/>
      </c>
    </row>
    <row r="251">
      <c r="H251" s="7">
        <f>IF(AND(M250&gt;0.005,H250&lt;&gt;""),249,"")</f>
        <v/>
      </c>
      <c r="I251" s="8">
        <f>IF(H251&lt;&gt;"",EDATE(StartDate,248),"")</f>
        <v/>
      </c>
      <c r="J251" s="9">
        <f>IF(H251&lt;&gt;"",MIN(MonthlyPmt,M250+K251),"")</f>
        <v/>
      </c>
      <c r="K251" s="9">
        <f>IF(H251&lt;&gt;"",ROUND(M250*AnnualRate/12,2),"")</f>
        <v/>
      </c>
      <c r="L251" s="9">
        <f>IF(H251&lt;&gt;"",MIN(M250,(J251-K251)+SUMPRODUCT(($B$21:$B$30&lt;&gt;"")*($B$21:$B$30&lt;=I251)*(($C$21:$C$30="")+($C$21:$C$30&lt;&gt;"")*($C$21:$C$30&gt;=I251))*($E$21:$E$30="Monthly")*$D$21:$D$30)+SUMPRODUCT(($B$21:$B$30&lt;&gt;"")*($B$21:$B$30&lt;=I251)*(($C$21:$C$30="")+($C$21:$C$30&lt;&gt;"")*($C$21:$C$30&gt;=I251))*($E$21:$E$30="Annual")*(MONTH($B$21:$B$30)=MONTH(I251))*$D$21:$D$30)+SUMPRODUCT(($B$34:$B$48&lt;&gt;"")*(YEAR($B$34:$B$48)=YEAR(I251))*(MONTH($B$34:$B$48)=MONTH(I251))*$C$34:$C$48)),"")</f>
        <v/>
      </c>
      <c r="M251" s="9">
        <f>IF(H251&lt;&gt;"",ROUND(M250-L251,2),"")</f>
        <v/>
      </c>
      <c r="N251" s="10">
        <f>IF(H251&lt;&gt;"",N250+L251,"")</f>
        <v/>
      </c>
      <c r="O251" s="10">
        <f>IF(H251&lt;&gt;"",O250+K251,"")</f>
        <v/>
      </c>
    </row>
    <row r="252">
      <c r="H252" s="12">
        <f>IF(AND(M251&gt;0.005,H251&lt;&gt;""),250,"")</f>
        <v/>
      </c>
      <c r="I252" s="13">
        <f>IF(H252&lt;&gt;"",EDATE(StartDate,249),"")</f>
        <v/>
      </c>
      <c r="J252" s="14">
        <f>IF(H252&lt;&gt;"",MIN(MonthlyPmt,M251+K252),"")</f>
        <v/>
      </c>
      <c r="K252" s="14">
        <f>IF(H252&lt;&gt;"",ROUND(M251*AnnualRate/12,2),"")</f>
        <v/>
      </c>
      <c r="L252" s="14">
        <f>IF(H252&lt;&gt;"",MIN(M251,(J252-K252)+SUMPRODUCT(($B$21:$B$30&lt;&gt;"")*($B$21:$B$30&lt;=I252)*(($C$21:$C$30="")+($C$21:$C$30&lt;&gt;"")*($C$21:$C$30&gt;=I252))*($E$21:$E$30="Monthly")*$D$21:$D$30)+SUMPRODUCT(($B$21:$B$30&lt;&gt;"")*($B$21:$B$30&lt;=I252)*(($C$21:$C$30="")+($C$21:$C$30&lt;&gt;"")*($C$21:$C$30&gt;=I252))*($E$21:$E$30="Annual")*(MONTH($B$21:$B$30)=MONTH(I252))*$D$21:$D$30)+SUMPRODUCT(($B$34:$B$48&lt;&gt;"")*(YEAR($B$34:$B$48)=YEAR(I252))*(MONTH($B$34:$B$48)=MONTH(I252))*$C$34:$C$48)),"")</f>
        <v/>
      </c>
      <c r="M252" s="14">
        <f>IF(H252&lt;&gt;"",ROUND(M251-L252,2),"")</f>
        <v/>
      </c>
      <c r="N252" s="10">
        <f>IF(H252&lt;&gt;"",N251+L252,"")</f>
        <v/>
      </c>
      <c r="O252" s="10">
        <f>IF(H252&lt;&gt;"",O251+K252,"")</f>
        <v/>
      </c>
    </row>
    <row r="253">
      <c r="H253" s="7">
        <f>IF(AND(M252&gt;0.005,H252&lt;&gt;""),251,"")</f>
        <v/>
      </c>
      <c r="I253" s="8">
        <f>IF(H253&lt;&gt;"",EDATE(StartDate,250),"")</f>
        <v/>
      </c>
      <c r="J253" s="9">
        <f>IF(H253&lt;&gt;"",MIN(MonthlyPmt,M252+K253),"")</f>
        <v/>
      </c>
      <c r="K253" s="9">
        <f>IF(H253&lt;&gt;"",ROUND(M252*AnnualRate/12,2),"")</f>
        <v/>
      </c>
      <c r="L253" s="9">
        <f>IF(H253&lt;&gt;"",MIN(M252,(J253-K253)+SUMPRODUCT(($B$21:$B$30&lt;&gt;"")*($B$21:$B$30&lt;=I253)*(($C$21:$C$30="")+($C$21:$C$30&lt;&gt;"")*($C$21:$C$30&gt;=I253))*($E$21:$E$30="Monthly")*$D$21:$D$30)+SUMPRODUCT(($B$21:$B$30&lt;&gt;"")*($B$21:$B$30&lt;=I253)*(($C$21:$C$30="")+($C$21:$C$30&lt;&gt;"")*($C$21:$C$30&gt;=I253))*($E$21:$E$30="Annual")*(MONTH($B$21:$B$30)=MONTH(I253))*$D$21:$D$30)+SUMPRODUCT(($B$34:$B$48&lt;&gt;"")*(YEAR($B$34:$B$48)=YEAR(I253))*(MONTH($B$34:$B$48)=MONTH(I253))*$C$34:$C$48)),"")</f>
        <v/>
      </c>
      <c r="M253" s="9">
        <f>IF(H253&lt;&gt;"",ROUND(M252-L253,2),"")</f>
        <v/>
      </c>
      <c r="N253" s="10">
        <f>IF(H253&lt;&gt;"",N252+L253,"")</f>
        <v/>
      </c>
      <c r="O253" s="10">
        <f>IF(H253&lt;&gt;"",O252+K253,"")</f>
        <v/>
      </c>
    </row>
    <row r="254">
      <c r="H254" s="12">
        <f>IF(AND(M253&gt;0.005,H253&lt;&gt;""),252,"")</f>
        <v/>
      </c>
      <c r="I254" s="13">
        <f>IF(H254&lt;&gt;"",EDATE(StartDate,251),"")</f>
        <v/>
      </c>
      <c r="J254" s="14">
        <f>IF(H254&lt;&gt;"",MIN(MonthlyPmt,M253+K254),"")</f>
        <v/>
      </c>
      <c r="K254" s="14">
        <f>IF(H254&lt;&gt;"",ROUND(M253*AnnualRate/12,2),"")</f>
        <v/>
      </c>
      <c r="L254" s="14">
        <f>IF(H254&lt;&gt;"",MIN(M253,(J254-K254)+SUMPRODUCT(($B$21:$B$30&lt;&gt;"")*($B$21:$B$30&lt;=I254)*(($C$21:$C$30="")+($C$21:$C$30&lt;&gt;"")*($C$21:$C$30&gt;=I254))*($E$21:$E$30="Monthly")*$D$21:$D$30)+SUMPRODUCT(($B$21:$B$30&lt;&gt;"")*($B$21:$B$30&lt;=I254)*(($C$21:$C$30="")+($C$21:$C$30&lt;&gt;"")*($C$21:$C$30&gt;=I254))*($E$21:$E$30="Annual")*(MONTH($B$21:$B$30)=MONTH(I254))*$D$21:$D$30)+SUMPRODUCT(($B$34:$B$48&lt;&gt;"")*(YEAR($B$34:$B$48)=YEAR(I254))*(MONTH($B$34:$B$48)=MONTH(I254))*$C$34:$C$48)),"")</f>
        <v/>
      </c>
      <c r="M254" s="14">
        <f>IF(H254&lt;&gt;"",ROUND(M253-L254,2),"")</f>
        <v/>
      </c>
      <c r="N254" s="10">
        <f>IF(H254&lt;&gt;"",N253+L254,"")</f>
        <v/>
      </c>
      <c r="O254" s="10">
        <f>IF(H254&lt;&gt;"",O253+K254,"")</f>
        <v/>
      </c>
    </row>
    <row r="255">
      <c r="H255" s="7">
        <f>IF(AND(M254&gt;0.005,H254&lt;&gt;""),253,"")</f>
        <v/>
      </c>
      <c r="I255" s="8">
        <f>IF(H255&lt;&gt;"",EDATE(StartDate,252),"")</f>
        <v/>
      </c>
      <c r="J255" s="9">
        <f>IF(H255&lt;&gt;"",MIN(MonthlyPmt,M254+K255),"")</f>
        <v/>
      </c>
      <c r="K255" s="9">
        <f>IF(H255&lt;&gt;"",ROUND(M254*AnnualRate/12,2),"")</f>
        <v/>
      </c>
      <c r="L255" s="9">
        <f>IF(H255&lt;&gt;"",MIN(M254,(J255-K255)+SUMPRODUCT(($B$21:$B$30&lt;&gt;"")*($B$21:$B$30&lt;=I255)*(($C$21:$C$30="")+($C$21:$C$30&lt;&gt;"")*($C$21:$C$30&gt;=I255))*($E$21:$E$30="Monthly")*$D$21:$D$30)+SUMPRODUCT(($B$21:$B$30&lt;&gt;"")*($B$21:$B$30&lt;=I255)*(($C$21:$C$30="")+($C$21:$C$30&lt;&gt;"")*($C$21:$C$30&gt;=I255))*($E$21:$E$30="Annual")*(MONTH($B$21:$B$30)=MONTH(I255))*$D$21:$D$30)+SUMPRODUCT(($B$34:$B$48&lt;&gt;"")*(YEAR($B$34:$B$48)=YEAR(I255))*(MONTH($B$34:$B$48)=MONTH(I255))*$C$34:$C$48)),"")</f>
        <v/>
      </c>
      <c r="M255" s="9">
        <f>IF(H255&lt;&gt;"",ROUND(M254-L255,2),"")</f>
        <v/>
      </c>
      <c r="N255" s="10">
        <f>IF(H255&lt;&gt;"",N254+L255,"")</f>
        <v/>
      </c>
      <c r="O255" s="10">
        <f>IF(H255&lt;&gt;"",O254+K255,"")</f>
        <v/>
      </c>
    </row>
    <row r="256">
      <c r="H256" s="12">
        <f>IF(AND(M255&gt;0.005,H255&lt;&gt;""),254,"")</f>
        <v/>
      </c>
      <c r="I256" s="13">
        <f>IF(H256&lt;&gt;"",EDATE(StartDate,253),"")</f>
        <v/>
      </c>
      <c r="J256" s="14">
        <f>IF(H256&lt;&gt;"",MIN(MonthlyPmt,M255+K256),"")</f>
        <v/>
      </c>
      <c r="K256" s="14">
        <f>IF(H256&lt;&gt;"",ROUND(M255*AnnualRate/12,2),"")</f>
        <v/>
      </c>
      <c r="L256" s="14">
        <f>IF(H256&lt;&gt;"",MIN(M255,(J256-K256)+SUMPRODUCT(($B$21:$B$30&lt;&gt;"")*($B$21:$B$30&lt;=I256)*(($C$21:$C$30="")+($C$21:$C$30&lt;&gt;"")*($C$21:$C$30&gt;=I256))*($E$21:$E$30="Monthly")*$D$21:$D$30)+SUMPRODUCT(($B$21:$B$30&lt;&gt;"")*($B$21:$B$30&lt;=I256)*(($C$21:$C$30="")+($C$21:$C$30&lt;&gt;"")*($C$21:$C$30&gt;=I256))*($E$21:$E$30="Annual")*(MONTH($B$21:$B$30)=MONTH(I256))*$D$21:$D$30)+SUMPRODUCT(($B$34:$B$48&lt;&gt;"")*(YEAR($B$34:$B$48)=YEAR(I256))*(MONTH($B$34:$B$48)=MONTH(I256))*$C$34:$C$48)),"")</f>
        <v/>
      </c>
      <c r="M256" s="14">
        <f>IF(H256&lt;&gt;"",ROUND(M255-L256,2),"")</f>
        <v/>
      </c>
      <c r="N256" s="10">
        <f>IF(H256&lt;&gt;"",N255+L256,"")</f>
        <v/>
      </c>
      <c r="O256" s="10">
        <f>IF(H256&lt;&gt;"",O255+K256,"")</f>
        <v/>
      </c>
    </row>
    <row r="257">
      <c r="H257" s="7">
        <f>IF(AND(M256&gt;0.005,H256&lt;&gt;""),255,"")</f>
        <v/>
      </c>
      <c r="I257" s="8">
        <f>IF(H257&lt;&gt;"",EDATE(StartDate,254),"")</f>
        <v/>
      </c>
      <c r="J257" s="9">
        <f>IF(H257&lt;&gt;"",MIN(MonthlyPmt,M256+K257),"")</f>
        <v/>
      </c>
      <c r="K257" s="9">
        <f>IF(H257&lt;&gt;"",ROUND(M256*AnnualRate/12,2),"")</f>
        <v/>
      </c>
      <c r="L257" s="9">
        <f>IF(H257&lt;&gt;"",MIN(M256,(J257-K257)+SUMPRODUCT(($B$21:$B$30&lt;&gt;"")*($B$21:$B$30&lt;=I257)*(($C$21:$C$30="")+($C$21:$C$30&lt;&gt;"")*($C$21:$C$30&gt;=I257))*($E$21:$E$30="Monthly")*$D$21:$D$30)+SUMPRODUCT(($B$21:$B$30&lt;&gt;"")*($B$21:$B$30&lt;=I257)*(($C$21:$C$30="")+($C$21:$C$30&lt;&gt;"")*($C$21:$C$30&gt;=I257))*($E$21:$E$30="Annual")*(MONTH($B$21:$B$30)=MONTH(I257))*$D$21:$D$30)+SUMPRODUCT(($B$34:$B$48&lt;&gt;"")*(YEAR($B$34:$B$48)=YEAR(I257))*(MONTH($B$34:$B$48)=MONTH(I257))*$C$34:$C$48)),"")</f>
        <v/>
      </c>
      <c r="M257" s="9">
        <f>IF(H257&lt;&gt;"",ROUND(M256-L257,2),"")</f>
        <v/>
      </c>
      <c r="N257" s="10">
        <f>IF(H257&lt;&gt;"",N256+L257,"")</f>
        <v/>
      </c>
      <c r="O257" s="10">
        <f>IF(H257&lt;&gt;"",O256+K257,"")</f>
        <v/>
      </c>
    </row>
    <row r="258">
      <c r="H258" s="12">
        <f>IF(AND(M257&gt;0.005,H257&lt;&gt;""),256,"")</f>
        <v/>
      </c>
      <c r="I258" s="13">
        <f>IF(H258&lt;&gt;"",EDATE(StartDate,255),"")</f>
        <v/>
      </c>
      <c r="J258" s="14">
        <f>IF(H258&lt;&gt;"",MIN(MonthlyPmt,M257+K258),"")</f>
        <v/>
      </c>
      <c r="K258" s="14">
        <f>IF(H258&lt;&gt;"",ROUND(M257*AnnualRate/12,2),"")</f>
        <v/>
      </c>
      <c r="L258" s="14">
        <f>IF(H258&lt;&gt;"",MIN(M257,(J258-K258)+SUMPRODUCT(($B$21:$B$30&lt;&gt;"")*($B$21:$B$30&lt;=I258)*(($C$21:$C$30="")+($C$21:$C$30&lt;&gt;"")*($C$21:$C$30&gt;=I258))*($E$21:$E$30="Monthly")*$D$21:$D$30)+SUMPRODUCT(($B$21:$B$30&lt;&gt;"")*($B$21:$B$30&lt;=I258)*(($C$21:$C$30="")+($C$21:$C$30&lt;&gt;"")*($C$21:$C$30&gt;=I258))*($E$21:$E$30="Annual")*(MONTH($B$21:$B$30)=MONTH(I258))*$D$21:$D$30)+SUMPRODUCT(($B$34:$B$48&lt;&gt;"")*(YEAR($B$34:$B$48)=YEAR(I258))*(MONTH($B$34:$B$48)=MONTH(I258))*$C$34:$C$48)),"")</f>
        <v/>
      </c>
      <c r="M258" s="14">
        <f>IF(H258&lt;&gt;"",ROUND(M257-L258,2),"")</f>
        <v/>
      </c>
      <c r="N258" s="10">
        <f>IF(H258&lt;&gt;"",N257+L258,"")</f>
        <v/>
      </c>
      <c r="O258" s="10">
        <f>IF(H258&lt;&gt;"",O257+K258,"")</f>
        <v/>
      </c>
    </row>
    <row r="259">
      <c r="H259" s="7">
        <f>IF(AND(M258&gt;0.005,H258&lt;&gt;""),257,"")</f>
        <v/>
      </c>
      <c r="I259" s="8">
        <f>IF(H259&lt;&gt;"",EDATE(StartDate,256),"")</f>
        <v/>
      </c>
      <c r="J259" s="9">
        <f>IF(H259&lt;&gt;"",MIN(MonthlyPmt,M258+K259),"")</f>
        <v/>
      </c>
      <c r="K259" s="9">
        <f>IF(H259&lt;&gt;"",ROUND(M258*AnnualRate/12,2),"")</f>
        <v/>
      </c>
      <c r="L259" s="9">
        <f>IF(H259&lt;&gt;"",MIN(M258,(J259-K259)+SUMPRODUCT(($B$21:$B$30&lt;&gt;"")*($B$21:$B$30&lt;=I259)*(($C$21:$C$30="")+($C$21:$C$30&lt;&gt;"")*($C$21:$C$30&gt;=I259))*($E$21:$E$30="Monthly")*$D$21:$D$30)+SUMPRODUCT(($B$21:$B$30&lt;&gt;"")*($B$21:$B$30&lt;=I259)*(($C$21:$C$30="")+($C$21:$C$30&lt;&gt;"")*($C$21:$C$30&gt;=I259))*($E$21:$E$30="Annual")*(MONTH($B$21:$B$30)=MONTH(I259))*$D$21:$D$30)+SUMPRODUCT(($B$34:$B$48&lt;&gt;"")*(YEAR($B$34:$B$48)=YEAR(I259))*(MONTH($B$34:$B$48)=MONTH(I259))*$C$34:$C$48)),"")</f>
        <v/>
      </c>
      <c r="M259" s="9">
        <f>IF(H259&lt;&gt;"",ROUND(M258-L259,2),"")</f>
        <v/>
      </c>
      <c r="N259" s="10">
        <f>IF(H259&lt;&gt;"",N258+L259,"")</f>
        <v/>
      </c>
      <c r="O259" s="10">
        <f>IF(H259&lt;&gt;"",O258+K259,"")</f>
        <v/>
      </c>
    </row>
    <row r="260">
      <c r="H260" s="12">
        <f>IF(AND(M259&gt;0.005,H259&lt;&gt;""),258,"")</f>
        <v/>
      </c>
      <c r="I260" s="13">
        <f>IF(H260&lt;&gt;"",EDATE(StartDate,257),"")</f>
        <v/>
      </c>
      <c r="J260" s="14">
        <f>IF(H260&lt;&gt;"",MIN(MonthlyPmt,M259+K260),"")</f>
        <v/>
      </c>
      <c r="K260" s="14">
        <f>IF(H260&lt;&gt;"",ROUND(M259*AnnualRate/12,2),"")</f>
        <v/>
      </c>
      <c r="L260" s="14">
        <f>IF(H260&lt;&gt;"",MIN(M259,(J260-K260)+SUMPRODUCT(($B$21:$B$30&lt;&gt;"")*($B$21:$B$30&lt;=I260)*(($C$21:$C$30="")+($C$21:$C$30&lt;&gt;"")*($C$21:$C$30&gt;=I260))*($E$21:$E$30="Monthly")*$D$21:$D$30)+SUMPRODUCT(($B$21:$B$30&lt;&gt;"")*($B$21:$B$30&lt;=I260)*(($C$21:$C$30="")+($C$21:$C$30&lt;&gt;"")*($C$21:$C$30&gt;=I260))*($E$21:$E$30="Annual")*(MONTH($B$21:$B$30)=MONTH(I260))*$D$21:$D$30)+SUMPRODUCT(($B$34:$B$48&lt;&gt;"")*(YEAR($B$34:$B$48)=YEAR(I260))*(MONTH($B$34:$B$48)=MONTH(I260))*$C$34:$C$48)),"")</f>
        <v/>
      </c>
      <c r="M260" s="14">
        <f>IF(H260&lt;&gt;"",ROUND(M259-L260,2),"")</f>
        <v/>
      </c>
      <c r="N260" s="10">
        <f>IF(H260&lt;&gt;"",N259+L260,"")</f>
        <v/>
      </c>
      <c r="O260" s="10">
        <f>IF(H260&lt;&gt;"",O259+K260,"")</f>
        <v/>
      </c>
    </row>
    <row r="261">
      <c r="H261" s="7">
        <f>IF(AND(M260&gt;0.005,H260&lt;&gt;""),259,"")</f>
        <v/>
      </c>
      <c r="I261" s="8">
        <f>IF(H261&lt;&gt;"",EDATE(StartDate,258),"")</f>
        <v/>
      </c>
      <c r="J261" s="9">
        <f>IF(H261&lt;&gt;"",MIN(MonthlyPmt,M260+K261),"")</f>
        <v/>
      </c>
      <c r="K261" s="9">
        <f>IF(H261&lt;&gt;"",ROUND(M260*AnnualRate/12,2),"")</f>
        <v/>
      </c>
      <c r="L261" s="9">
        <f>IF(H261&lt;&gt;"",MIN(M260,(J261-K261)+SUMPRODUCT(($B$21:$B$30&lt;&gt;"")*($B$21:$B$30&lt;=I261)*(($C$21:$C$30="")+($C$21:$C$30&lt;&gt;"")*($C$21:$C$30&gt;=I261))*($E$21:$E$30="Monthly")*$D$21:$D$30)+SUMPRODUCT(($B$21:$B$30&lt;&gt;"")*($B$21:$B$30&lt;=I261)*(($C$21:$C$30="")+($C$21:$C$30&lt;&gt;"")*($C$21:$C$30&gt;=I261))*($E$21:$E$30="Annual")*(MONTH($B$21:$B$30)=MONTH(I261))*$D$21:$D$30)+SUMPRODUCT(($B$34:$B$48&lt;&gt;"")*(YEAR($B$34:$B$48)=YEAR(I261))*(MONTH($B$34:$B$48)=MONTH(I261))*$C$34:$C$48)),"")</f>
        <v/>
      </c>
      <c r="M261" s="9">
        <f>IF(H261&lt;&gt;"",ROUND(M260-L261,2),"")</f>
        <v/>
      </c>
      <c r="N261" s="10">
        <f>IF(H261&lt;&gt;"",N260+L261,"")</f>
        <v/>
      </c>
      <c r="O261" s="10">
        <f>IF(H261&lt;&gt;"",O260+K261,"")</f>
        <v/>
      </c>
    </row>
    <row r="262">
      <c r="H262" s="12">
        <f>IF(AND(M261&gt;0.005,H261&lt;&gt;""),260,"")</f>
        <v/>
      </c>
      <c r="I262" s="13">
        <f>IF(H262&lt;&gt;"",EDATE(StartDate,259),"")</f>
        <v/>
      </c>
      <c r="J262" s="14">
        <f>IF(H262&lt;&gt;"",MIN(MonthlyPmt,M261+K262),"")</f>
        <v/>
      </c>
      <c r="K262" s="14">
        <f>IF(H262&lt;&gt;"",ROUND(M261*AnnualRate/12,2),"")</f>
        <v/>
      </c>
      <c r="L262" s="14">
        <f>IF(H262&lt;&gt;"",MIN(M261,(J262-K262)+SUMPRODUCT(($B$21:$B$30&lt;&gt;"")*($B$21:$B$30&lt;=I262)*(($C$21:$C$30="")+($C$21:$C$30&lt;&gt;"")*($C$21:$C$30&gt;=I262))*($E$21:$E$30="Monthly")*$D$21:$D$30)+SUMPRODUCT(($B$21:$B$30&lt;&gt;"")*($B$21:$B$30&lt;=I262)*(($C$21:$C$30="")+($C$21:$C$30&lt;&gt;"")*($C$21:$C$30&gt;=I262))*($E$21:$E$30="Annual")*(MONTH($B$21:$B$30)=MONTH(I262))*$D$21:$D$30)+SUMPRODUCT(($B$34:$B$48&lt;&gt;"")*(YEAR($B$34:$B$48)=YEAR(I262))*(MONTH($B$34:$B$48)=MONTH(I262))*$C$34:$C$48)),"")</f>
        <v/>
      </c>
      <c r="M262" s="14">
        <f>IF(H262&lt;&gt;"",ROUND(M261-L262,2),"")</f>
        <v/>
      </c>
      <c r="N262" s="10">
        <f>IF(H262&lt;&gt;"",N261+L262,"")</f>
        <v/>
      </c>
      <c r="O262" s="10">
        <f>IF(H262&lt;&gt;"",O261+K262,"")</f>
        <v/>
      </c>
    </row>
    <row r="263">
      <c r="H263" s="7">
        <f>IF(AND(M262&gt;0.005,H262&lt;&gt;""),261,"")</f>
        <v/>
      </c>
      <c r="I263" s="8">
        <f>IF(H263&lt;&gt;"",EDATE(StartDate,260),"")</f>
        <v/>
      </c>
      <c r="J263" s="9">
        <f>IF(H263&lt;&gt;"",MIN(MonthlyPmt,M262+K263),"")</f>
        <v/>
      </c>
      <c r="K263" s="9">
        <f>IF(H263&lt;&gt;"",ROUND(M262*AnnualRate/12,2),"")</f>
        <v/>
      </c>
      <c r="L263" s="9">
        <f>IF(H263&lt;&gt;"",MIN(M262,(J263-K263)+SUMPRODUCT(($B$21:$B$30&lt;&gt;"")*($B$21:$B$30&lt;=I263)*(($C$21:$C$30="")+($C$21:$C$30&lt;&gt;"")*($C$21:$C$30&gt;=I263))*($E$21:$E$30="Monthly")*$D$21:$D$30)+SUMPRODUCT(($B$21:$B$30&lt;&gt;"")*($B$21:$B$30&lt;=I263)*(($C$21:$C$30="")+($C$21:$C$30&lt;&gt;"")*($C$21:$C$30&gt;=I263))*($E$21:$E$30="Annual")*(MONTH($B$21:$B$30)=MONTH(I263))*$D$21:$D$30)+SUMPRODUCT(($B$34:$B$48&lt;&gt;"")*(YEAR($B$34:$B$48)=YEAR(I263))*(MONTH($B$34:$B$48)=MONTH(I263))*$C$34:$C$48)),"")</f>
        <v/>
      </c>
      <c r="M263" s="9">
        <f>IF(H263&lt;&gt;"",ROUND(M262-L263,2),"")</f>
        <v/>
      </c>
      <c r="N263" s="10">
        <f>IF(H263&lt;&gt;"",N262+L263,"")</f>
        <v/>
      </c>
      <c r="O263" s="10">
        <f>IF(H263&lt;&gt;"",O262+K263,"")</f>
        <v/>
      </c>
    </row>
    <row r="264">
      <c r="H264" s="12">
        <f>IF(AND(M263&gt;0.005,H263&lt;&gt;""),262,"")</f>
        <v/>
      </c>
      <c r="I264" s="13">
        <f>IF(H264&lt;&gt;"",EDATE(StartDate,261),"")</f>
        <v/>
      </c>
      <c r="J264" s="14">
        <f>IF(H264&lt;&gt;"",MIN(MonthlyPmt,M263+K264),"")</f>
        <v/>
      </c>
      <c r="K264" s="14">
        <f>IF(H264&lt;&gt;"",ROUND(M263*AnnualRate/12,2),"")</f>
        <v/>
      </c>
      <c r="L264" s="14">
        <f>IF(H264&lt;&gt;"",MIN(M263,(J264-K264)+SUMPRODUCT(($B$21:$B$30&lt;&gt;"")*($B$21:$B$30&lt;=I264)*(($C$21:$C$30="")+($C$21:$C$30&lt;&gt;"")*($C$21:$C$30&gt;=I264))*($E$21:$E$30="Monthly")*$D$21:$D$30)+SUMPRODUCT(($B$21:$B$30&lt;&gt;"")*($B$21:$B$30&lt;=I264)*(($C$21:$C$30="")+($C$21:$C$30&lt;&gt;"")*($C$21:$C$30&gt;=I264))*($E$21:$E$30="Annual")*(MONTH($B$21:$B$30)=MONTH(I264))*$D$21:$D$30)+SUMPRODUCT(($B$34:$B$48&lt;&gt;"")*(YEAR($B$34:$B$48)=YEAR(I264))*(MONTH($B$34:$B$48)=MONTH(I264))*$C$34:$C$48)),"")</f>
        <v/>
      </c>
      <c r="M264" s="14">
        <f>IF(H264&lt;&gt;"",ROUND(M263-L264,2),"")</f>
        <v/>
      </c>
      <c r="N264" s="10">
        <f>IF(H264&lt;&gt;"",N263+L264,"")</f>
        <v/>
      </c>
      <c r="O264" s="10">
        <f>IF(H264&lt;&gt;"",O263+K264,"")</f>
        <v/>
      </c>
    </row>
    <row r="265">
      <c r="H265" s="7">
        <f>IF(AND(M264&gt;0.005,H264&lt;&gt;""),263,"")</f>
        <v/>
      </c>
      <c r="I265" s="8">
        <f>IF(H265&lt;&gt;"",EDATE(StartDate,262),"")</f>
        <v/>
      </c>
      <c r="J265" s="9">
        <f>IF(H265&lt;&gt;"",MIN(MonthlyPmt,M264+K265),"")</f>
        <v/>
      </c>
      <c r="K265" s="9">
        <f>IF(H265&lt;&gt;"",ROUND(M264*AnnualRate/12,2),"")</f>
        <v/>
      </c>
      <c r="L265" s="9">
        <f>IF(H265&lt;&gt;"",MIN(M264,(J265-K265)+SUMPRODUCT(($B$21:$B$30&lt;&gt;"")*($B$21:$B$30&lt;=I265)*(($C$21:$C$30="")+($C$21:$C$30&lt;&gt;"")*($C$21:$C$30&gt;=I265))*($E$21:$E$30="Monthly")*$D$21:$D$30)+SUMPRODUCT(($B$21:$B$30&lt;&gt;"")*($B$21:$B$30&lt;=I265)*(($C$21:$C$30="")+($C$21:$C$30&lt;&gt;"")*($C$21:$C$30&gt;=I265))*($E$21:$E$30="Annual")*(MONTH($B$21:$B$30)=MONTH(I265))*$D$21:$D$30)+SUMPRODUCT(($B$34:$B$48&lt;&gt;"")*(YEAR($B$34:$B$48)=YEAR(I265))*(MONTH($B$34:$B$48)=MONTH(I265))*$C$34:$C$48)),"")</f>
        <v/>
      </c>
      <c r="M265" s="9">
        <f>IF(H265&lt;&gt;"",ROUND(M264-L265,2),"")</f>
        <v/>
      </c>
      <c r="N265" s="10">
        <f>IF(H265&lt;&gt;"",N264+L265,"")</f>
        <v/>
      </c>
      <c r="O265" s="10">
        <f>IF(H265&lt;&gt;"",O264+K265,"")</f>
        <v/>
      </c>
    </row>
    <row r="266">
      <c r="H266" s="12">
        <f>IF(AND(M265&gt;0.005,H265&lt;&gt;""),264,"")</f>
        <v/>
      </c>
      <c r="I266" s="13">
        <f>IF(H266&lt;&gt;"",EDATE(StartDate,263),"")</f>
        <v/>
      </c>
      <c r="J266" s="14">
        <f>IF(H266&lt;&gt;"",MIN(MonthlyPmt,M265+K266),"")</f>
        <v/>
      </c>
      <c r="K266" s="14">
        <f>IF(H266&lt;&gt;"",ROUND(M265*AnnualRate/12,2),"")</f>
        <v/>
      </c>
      <c r="L266" s="14">
        <f>IF(H266&lt;&gt;"",MIN(M265,(J266-K266)+SUMPRODUCT(($B$21:$B$30&lt;&gt;"")*($B$21:$B$30&lt;=I266)*(($C$21:$C$30="")+($C$21:$C$30&lt;&gt;"")*($C$21:$C$30&gt;=I266))*($E$21:$E$30="Monthly")*$D$21:$D$30)+SUMPRODUCT(($B$21:$B$30&lt;&gt;"")*($B$21:$B$30&lt;=I266)*(($C$21:$C$30="")+($C$21:$C$30&lt;&gt;"")*($C$21:$C$30&gt;=I266))*($E$21:$E$30="Annual")*(MONTH($B$21:$B$30)=MONTH(I266))*$D$21:$D$30)+SUMPRODUCT(($B$34:$B$48&lt;&gt;"")*(YEAR($B$34:$B$48)=YEAR(I266))*(MONTH($B$34:$B$48)=MONTH(I266))*$C$34:$C$48)),"")</f>
        <v/>
      </c>
      <c r="M266" s="14">
        <f>IF(H266&lt;&gt;"",ROUND(M265-L266,2),"")</f>
        <v/>
      </c>
      <c r="N266" s="10">
        <f>IF(H266&lt;&gt;"",N265+L266,"")</f>
        <v/>
      </c>
      <c r="O266" s="10">
        <f>IF(H266&lt;&gt;"",O265+K266,"")</f>
        <v/>
      </c>
    </row>
    <row r="267">
      <c r="H267" s="7">
        <f>IF(AND(M266&gt;0.005,H266&lt;&gt;""),265,"")</f>
        <v/>
      </c>
      <c r="I267" s="8">
        <f>IF(H267&lt;&gt;"",EDATE(StartDate,264),"")</f>
        <v/>
      </c>
      <c r="J267" s="9">
        <f>IF(H267&lt;&gt;"",MIN(MonthlyPmt,M266+K267),"")</f>
        <v/>
      </c>
      <c r="K267" s="9">
        <f>IF(H267&lt;&gt;"",ROUND(M266*AnnualRate/12,2),"")</f>
        <v/>
      </c>
      <c r="L267" s="9">
        <f>IF(H267&lt;&gt;"",MIN(M266,(J267-K267)+SUMPRODUCT(($B$21:$B$30&lt;&gt;"")*($B$21:$B$30&lt;=I267)*(($C$21:$C$30="")+($C$21:$C$30&lt;&gt;"")*($C$21:$C$30&gt;=I267))*($E$21:$E$30="Monthly")*$D$21:$D$30)+SUMPRODUCT(($B$21:$B$30&lt;&gt;"")*($B$21:$B$30&lt;=I267)*(($C$21:$C$30="")+($C$21:$C$30&lt;&gt;"")*($C$21:$C$30&gt;=I267))*($E$21:$E$30="Annual")*(MONTH($B$21:$B$30)=MONTH(I267))*$D$21:$D$30)+SUMPRODUCT(($B$34:$B$48&lt;&gt;"")*(YEAR($B$34:$B$48)=YEAR(I267))*(MONTH($B$34:$B$48)=MONTH(I267))*$C$34:$C$48)),"")</f>
        <v/>
      </c>
      <c r="M267" s="9">
        <f>IF(H267&lt;&gt;"",ROUND(M266-L267,2),"")</f>
        <v/>
      </c>
      <c r="N267" s="10">
        <f>IF(H267&lt;&gt;"",N266+L267,"")</f>
        <v/>
      </c>
      <c r="O267" s="10">
        <f>IF(H267&lt;&gt;"",O266+K267,"")</f>
        <v/>
      </c>
    </row>
    <row r="268">
      <c r="H268" s="12">
        <f>IF(AND(M267&gt;0.005,H267&lt;&gt;""),266,"")</f>
        <v/>
      </c>
      <c r="I268" s="13">
        <f>IF(H268&lt;&gt;"",EDATE(StartDate,265),"")</f>
        <v/>
      </c>
      <c r="J268" s="14">
        <f>IF(H268&lt;&gt;"",MIN(MonthlyPmt,M267+K268),"")</f>
        <v/>
      </c>
      <c r="K268" s="14">
        <f>IF(H268&lt;&gt;"",ROUND(M267*AnnualRate/12,2),"")</f>
        <v/>
      </c>
      <c r="L268" s="14">
        <f>IF(H268&lt;&gt;"",MIN(M267,(J268-K268)+SUMPRODUCT(($B$21:$B$30&lt;&gt;"")*($B$21:$B$30&lt;=I268)*(($C$21:$C$30="")+($C$21:$C$30&lt;&gt;"")*($C$21:$C$30&gt;=I268))*($E$21:$E$30="Monthly")*$D$21:$D$30)+SUMPRODUCT(($B$21:$B$30&lt;&gt;"")*($B$21:$B$30&lt;=I268)*(($C$21:$C$30="")+($C$21:$C$30&lt;&gt;"")*($C$21:$C$30&gt;=I268))*($E$21:$E$30="Annual")*(MONTH($B$21:$B$30)=MONTH(I268))*$D$21:$D$30)+SUMPRODUCT(($B$34:$B$48&lt;&gt;"")*(YEAR($B$34:$B$48)=YEAR(I268))*(MONTH($B$34:$B$48)=MONTH(I268))*$C$34:$C$48)),"")</f>
        <v/>
      </c>
      <c r="M268" s="14">
        <f>IF(H268&lt;&gt;"",ROUND(M267-L268,2),"")</f>
        <v/>
      </c>
      <c r="N268" s="10">
        <f>IF(H268&lt;&gt;"",N267+L268,"")</f>
        <v/>
      </c>
      <c r="O268" s="10">
        <f>IF(H268&lt;&gt;"",O267+K268,"")</f>
        <v/>
      </c>
    </row>
    <row r="269">
      <c r="H269" s="7">
        <f>IF(AND(M268&gt;0.005,H268&lt;&gt;""),267,"")</f>
        <v/>
      </c>
      <c r="I269" s="8">
        <f>IF(H269&lt;&gt;"",EDATE(StartDate,266),"")</f>
        <v/>
      </c>
      <c r="J269" s="9">
        <f>IF(H269&lt;&gt;"",MIN(MonthlyPmt,M268+K269),"")</f>
        <v/>
      </c>
      <c r="K269" s="9">
        <f>IF(H269&lt;&gt;"",ROUND(M268*AnnualRate/12,2),"")</f>
        <v/>
      </c>
      <c r="L269" s="9">
        <f>IF(H269&lt;&gt;"",MIN(M268,(J269-K269)+SUMPRODUCT(($B$21:$B$30&lt;&gt;"")*($B$21:$B$30&lt;=I269)*(($C$21:$C$30="")+($C$21:$C$30&lt;&gt;"")*($C$21:$C$30&gt;=I269))*($E$21:$E$30="Monthly")*$D$21:$D$30)+SUMPRODUCT(($B$21:$B$30&lt;&gt;"")*($B$21:$B$30&lt;=I269)*(($C$21:$C$30="")+($C$21:$C$30&lt;&gt;"")*($C$21:$C$30&gt;=I269))*($E$21:$E$30="Annual")*(MONTH($B$21:$B$30)=MONTH(I269))*$D$21:$D$30)+SUMPRODUCT(($B$34:$B$48&lt;&gt;"")*(YEAR($B$34:$B$48)=YEAR(I269))*(MONTH($B$34:$B$48)=MONTH(I269))*$C$34:$C$48)),"")</f>
        <v/>
      </c>
      <c r="M269" s="9">
        <f>IF(H269&lt;&gt;"",ROUND(M268-L269,2),"")</f>
        <v/>
      </c>
      <c r="N269" s="10">
        <f>IF(H269&lt;&gt;"",N268+L269,"")</f>
        <v/>
      </c>
      <c r="O269" s="10">
        <f>IF(H269&lt;&gt;"",O268+K269,"")</f>
        <v/>
      </c>
    </row>
    <row r="270">
      <c r="H270" s="12">
        <f>IF(AND(M269&gt;0.005,H269&lt;&gt;""),268,"")</f>
        <v/>
      </c>
      <c r="I270" s="13">
        <f>IF(H270&lt;&gt;"",EDATE(StartDate,267),"")</f>
        <v/>
      </c>
      <c r="J270" s="14">
        <f>IF(H270&lt;&gt;"",MIN(MonthlyPmt,M269+K270),"")</f>
        <v/>
      </c>
      <c r="K270" s="14">
        <f>IF(H270&lt;&gt;"",ROUND(M269*AnnualRate/12,2),"")</f>
        <v/>
      </c>
      <c r="L270" s="14">
        <f>IF(H270&lt;&gt;"",MIN(M269,(J270-K270)+SUMPRODUCT(($B$21:$B$30&lt;&gt;"")*($B$21:$B$30&lt;=I270)*(($C$21:$C$30="")+($C$21:$C$30&lt;&gt;"")*($C$21:$C$30&gt;=I270))*($E$21:$E$30="Monthly")*$D$21:$D$30)+SUMPRODUCT(($B$21:$B$30&lt;&gt;"")*($B$21:$B$30&lt;=I270)*(($C$21:$C$30="")+($C$21:$C$30&lt;&gt;"")*($C$21:$C$30&gt;=I270))*($E$21:$E$30="Annual")*(MONTH($B$21:$B$30)=MONTH(I270))*$D$21:$D$30)+SUMPRODUCT(($B$34:$B$48&lt;&gt;"")*(YEAR($B$34:$B$48)=YEAR(I270))*(MONTH($B$34:$B$48)=MONTH(I270))*$C$34:$C$48)),"")</f>
        <v/>
      </c>
      <c r="M270" s="14">
        <f>IF(H270&lt;&gt;"",ROUND(M269-L270,2),"")</f>
        <v/>
      </c>
      <c r="N270" s="10">
        <f>IF(H270&lt;&gt;"",N269+L270,"")</f>
        <v/>
      </c>
      <c r="O270" s="10">
        <f>IF(H270&lt;&gt;"",O269+K270,"")</f>
        <v/>
      </c>
    </row>
    <row r="271">
      <c r="H271" s="7">
        <f>IF(AND(M270&gt;0.005,H270&lt;&gt;""),269,"")</f>
        <v/>
      </c>
      <c r="I271" s="8">
        <f>IF(H271&lt;&gt;"",EDATE(StartDate,268),"")</f>
        <v/>
      </c>
      <c r="J271" s="9">
        <f>IF(H271&lt;&gt;"",MIN(MonthlyPmt,M270+K271),"")</f>
        <v/>
      </c>
      <c r="K271" s="9">
        <f>IF(H271&lt;&gt;"",ROUND(M270*AnnualRate/12,2),"")</f>
        <v/>
      </c>
      <c r="L271" s="9">
        <f>IF(H271&lt;&gt;"",MIN(M270,(J271-K271)+SUMPRODUCT(($B$21:$B$30&lt;&gt;"")*($B$21:$B$30&lt;=I271)*(($C$21:$C$30="")+($C$21:$C$30&lt;&gt;"")*($C$21:$C$30&gt;=I271))*($E$21:$E$30="Monthly")*$D$21:$D$30)+SUMPRODUCT(($B$21:$B$30&lt;&gt;"")*($B$21:$B$30&lt;=I271)*(($C$21:$C$30="")+($C$21:$C$30&lt;&gt;"")*($C$21:$C$30&gt;=I271))*($E$21:$E$30="Annual")*(MONTH($B$21:$B$30)=MONTH(I271))*$D$21:$D$30)+SUMPRODUCT(($B$34:$B$48&lt;&gt;"")*(YEAR($B$34:$B$48)=YEAR(I271))*(MONTH($B$34:$B$48)=MONTH(I271))*$C$34:$C$48)),"")</f>
        <v/>
      </c>
      <c r="M271" s="9">
        <f>IF(H271&lt;&gt;"",ROUND(M270-L271,2),"")</f>
        <v/>
      </c>
      <c r="N271" s="10">
        <f>IF(H271&lt;&gt;"",N270+L271,"")</f>
        <v/>
      </c>
      <c r="O271" s="10">
        <f>IF(H271&lt;&gt;"",O270+K271,"")</f>
        <v/>
      </c>
    </row>
    <row r="272">
      <c r="H272" s="12">
        <f>IF(AND(M271&gt;0.005,H271&lt;&gt;""),270,"")</f>
        <v/>
      </c>
      <c r="I272" s="13">
        <f>IF(H272&lt;&gt;"",EDATE(StartDate,269),"")</f>
        <v/>
      </c>
      <c r="J272" s="14">
        <f>IF(H272&lt;&gt;"",MIN(MonthlyPmt,M271+K272),"")</f>
        <v/>
      </c>
      <c r="K272" s="14">
        <f>IF(H272&lt;&gt;"",ROUND(M271*AnnualRate/12,2),"")</f>
        <v/>
      </c>
      <c r="L272" s="14">
        <f>IF(H272&lt;&gt;"",MIN(M271,(J272-K272)+SUMPRODUCT(($B$21:$B$30&lt;&gt;"")*($B$21:$B$30&lt;=I272)*(($C$21:$C$30="")+($C$21:$C$30&lt;&gt;"")*($C$21:$C$30&gt;=I272))*($E$21:$E$30="Monthly")*$D$21:$D$30)+SUMPRODUCT(($B$21:$B$30&lt;&gt;"")*($B$21:$B$30&lt;=I272)*(($C$21:$C$30="")+($C$21:$C$30&lt;&gt;"")*($C$21:$C$30&gt;=I272))*($E$21:$E$30="Annual")*(MONTH($B$21:$B$30)=MONTH(I272))*$D$21:$D$30)+SUMPRODUCT(($B$34:$B$48&lt;&gt;"")*(YEAR($B$34:$B$48)=YEAR(I272))*(MONTH($B$34:$B$48)=MONTH(I272))*$C$34:$C$48)),"")</f>
        <v/>
      </c>
      <c r="M272" s="14">
        <f>IF(H272&lt;&gt;"",ROUND(M271-L272,2),"")</f>
        <v/>
      </c>
      <c r="N272" s="10">
        <f>IF(H272&lt;&gt;"",N271+L272,"")</f>
        <v/>
      </c>
      <c r="O272" s="10">
        <f>IF(H272&lt;&gt;"",O271+K272,"")</f>
        <v/>
      </c>
    </row>
    <row r="273">
      <c r="H273" s="7">
        <f>IF(AND(M272&gt;0.005,H272&lt;&gt;""),271,"")</f>
        <v/>
      </c>
      <c r="I273" s="8">
        <f>IF(H273&lt;&gt;"",EDATE(StartDate,270),"")</f>
        <v/>
      </c>
      <c r="J273" s="9">
        <f>IF(H273&lt;&gt;"",MIN(MonthlyPmt,M272+K273),"")</f>
        <v/>
      </c>
      <c r="K273" s="9">
        <f>IF(H273&lt;&gt;"",ROUND(M272*AnnualRate/12,2),"")</f>
        <v/>
      </c>
      <c r="L273" s="9">
        <f>IF(H273&lt;&gt;"",MIN(M272,(J273-K273)+SUMPRODUCT(($B$21:$B$30&lt;&gt;"")*($B$21:$B$30&lt;=I273)*(($C$21:$C$30="")+($C$21:$C$30&lt;&gt;"")*($C$21:$C$30&gt;=I273))*($E$21:$E$30="Monthly")*$D$21:$D$30)+SUMPRODUCT(($B$21:$B$30&lt;&gt;"")*($B$21:$B$30&lt;=I273)*(($C$21:$C$30="")+($C$21:$C$30&lt;&gt;"")*($C$21:$C$30&gt;=I273))*($E$21:$E$30="Annual")*(MONTH($B$21:$B$30)=MONTH(I273))*$D$21:$D$30)+SUMPRODUCT(($B$34:$B$48&lt;&gt;"")*(YEAR($B$34:$B$48)=YEAR(I273))*(MONTH($B$34:$B$48)=MONTH(I273))*$C$34:$C$48)),"")</f>
        <v/>
      </c>
      <c r="M273" s="9">
        <f>IF(H273&lt;&gt;"",ROUND(M272-L273,2),"")</f>
        <v/>
      </c>
      <c r="N273" s="10">
        <f>IF(H273&lt;&gt;"",N272+L273,"")</f>
        <v/>
      </c>
      <c r="O273" s="10">
        <f>IF(H273&lt;&gt;"",O272+K273,"")</f>
        <v/>
      </c>
    </row>
    <row r="274">
      <c r="H274" s="12">
        <f>IF(AND(M273&gt;0.005,H273&lt;&gt;""),272,"")</f>
        <v/>
      </c>
      <c r="I274" s="13">
        <f>IF(H274&lt;&gt;"",EDATE(StartDate,271),"")</f>
        <v/>
      </c>
      <c r="J274" s="14">
        <f>IF(H274&lt;&gt;"",MIN(MonthlyPmt,M273+K274),"")</f>
        <v/>
      </c>
      <c r="K274" s="14">
        <f>IF(H274&lt;&gt;"",ROUND(M273*AnnualRate/12,2),"")</f>
        <v/>
      </c>
      <c r="L274" s="14">
        <f>IF(H274&lt;&gt;"",MIN(M273,(J274-K274)+SUMPRODUCT(($B$21:$B$30&lt;&gt;"")*($B$21:$B$30&lt;=I274)*(($C$21:$C$30="")+($C$21:$C$30&lt;&gt;"")*($C$21:$C$30&gt;=I274))*($E$21:$E$30="Monthly")*$D$21:$D$30)+SUMPRODUCT(($B$21:$B$30&lt;&gt;"")*($B$21:$B$30&lt;=I274)*(($C$21:$C$30="")+($C$21:$C$30&lt;&gt;"")*($C$21:$C$30&gt;=I274))*($E$21:$E$30="Annual")*(MONTH($B$21:$B$30)=MONTH(I274))*$D$21:$D$30)+SUMPRODUCT(($B$34:$B$48&lt;&gt;"")*(YEAR($B$34:$B$48)=YEAR(I274))*(MONTH($B$34:$B$48)=MONTH(I274))*$C$34:$C$48)),"")</f>
        <v/>
      </c>
      <c r="M274" s="14">
        <f>IF(H274&lt;&gt;"",ROUND(M273-L274,2),"")</f>
        <v/>
      </c>
      <c r="N274" s="10">
        <f>IF(H274&lt;&gt;"",N273+L274,"")</f>
        <v/>
      </c>
      <c r="O274" s="10">
        <f>IF(H274&lt;&gt;"",O273+K274,"")</f>
        <v/>
      </c>
    </row>
    <row r="275">
      <c r="H275" s="7">
        <f>IF(AND(M274&gt;0.005,H274&lt;&gt;""),273,"")</f>
        <v/>
      </c>
      <c r="I275" s="8">
        <f>IF(H275&lt;&gt;"",EDATE(StartDate,272),"")</f>
        <v/>
      </c>
      <c r="J275" s="9">
        <f>IF(H275&lt;&gt;"",MIN(MonthlyPmt,M274+K275),"")</f>
        <v/>
      </c>
      <c r="K275" s="9">
        <f>IF(H275&lt;&gt;"",ROUND(M274*AnnualRate/12,2),"")</f>
        <v/>
      </c>
      <c r="L275" s="9">
        <f>IF(H275&lt;&gt;"",MIN(M274,(J275-K275)+SUMPRODUCT(($B$21:$B$30&lt;&gt;"")*($B$21:$B$30&lt;=I275)*(($C$21:$C$30="")+($C$21:$C$30&lt;&gt;"")*($C$21:$C$30&gt;=I275))*($E$21:$E$30="Monthly")*$D$21:$D$30)+SUMPRODUCT(($B$21:$B$30&lt;&gt;"")*($B$21:$B$30&lt;=I275)*(($C$21:$C$30="")+($C$21:$C$30&lt;&gt;"")*($C$21:$C$30&gt;=I275))*($E$21:$E$30="Annual")*(MONTH($B$21:$B$30)=MONTH(I275))*$D$21:$D$30)+SUMPRODUCT(($B$34:$B$48&lt;&gt;"")*(YEAR($B$34:$B$48)=YEAR(I275))*(MONTH($B$34:$B$48)=MONTH(I275))*$C$34:$C$48)),"")</f>
        <v/>
      </c>
      <c r="M275" s="9">
        <f>IF(H275&lt;&gt;"",ROUND(M274-L275,2),"")</f>
        <v/>
      </c>
      <c r="N275" s="10">
        <f>IF(H275&lt;&gt;"",N274+L275,"")</f>
        <v/>
      </c>
      <c r="O275" s="10">
        <f>IF(H275&lt;&gt;"",O274+K275,"")</f>
        <v/>
      </c>
    </row>
    <row r="276">
      <c r="H276" s="12">
        <f>IF(AND(M275&gt;0.005,H275&lt;&gt;""),274,"")</f>
        <v/>
      </c>
      <c r="I276" s="13">
        <f>IF(H276&lt;&gt;"",EDATE(StartDate,273),"")</f>
        <v/>
      </c>
      <c r="J276" s="14">
        <f>IF(H276&lt;&gt;"",MIN(MonthlyPmt,M275+K276),"")</f>
        <v/>
      </c>
      <c r="K276" s="14">
        <f>IF(H276&lt;&gt;"",ROUND(M275*AnnualRate/12,2),"")</f>
        <v/>
      </c>
      <c r="L276" s="14">
        <f>IF(H276&lt;&gt;"",MIN(M275,(J276-K276)+SUMPRODUCT(($B$21:$B$30&lt;&gt;"")*($B$21:$B$30&lt;=I276)*(($C$21:$C$30="")+($C$21:$C$30&lt;&gt;"")*($C$21:$C$30&gt;=I276))*($E$21:$E$30="Monthly")*$D$21:$D$30)+SUMPRODUCT(($B$21:$B$30&lt;&gt;"")*($B$21:$B$30&lt;=I276)*(($C$21:$C$30="")+($C$21:$C$30&lt;&gt;"")*($C$21:$C$30&gt;=I276))*($E$21:$E$30="Annual")*(MONTH($B$21:$B$30)=MONTH(I276))*$D$21:$D$30)+SUMPRODUCT(($B$34:$B$48&lt;&gt;"")*(YEAR($B$34:$B$48)=YEAR(I276))*(MONTH($B$34:$B$48)=MONTH(I276))*$C$34:$C$48)),"")</f>
        <v/>
      </c>
      <c r="M276" s="14">
        <f>IF(H276&lt;&gt;"",ROUND(M275-L276,2),"")</f>
        <v/>
      </c>
      <c r="N276" s="10">
        <f>IF(H276&lt;&gt;"",N275+L276,"")</f>
        <v/>
      </c>
      <c r="O276" s="10">
        <f>IF(H276&lt;&gt;"",O275+K276,"")</f>
        <v/>
      </c>
    </row>
    <row r="277">
      <c r="H277" s="7">
        <f>IF(AND(M276&gt;0.005,H276&lt;&gt;""),275,"")</f>
        <v/>
      </c>
      <c r="I277" s="8">
        <f>IF(H277&lt;&gt;"",EDATE(StartDate,274),"")</f>
        <v/>
      </c>
      <c r="J277" s="9">
        <f>IF(H277&lt;&gt;"",MIN(MonthlyPmt,M276+K277),"")</f>
        <v/>
      </c>
      <c r="K277" s="9">
        <f>IF(H277&lt;&gt;"",ROUND(M276*AnnualRate/12,2),"")</f>
        <v/>
      </c>
      <c r="L277" s="9">
        <f>IF(H277&lt;&gt;"",MIN(M276,(J277-K277)+SUMPRODUCT(($B$21:$B$30&lt;&gt;"")*($B$21:$B$30&lt;=I277)*(($C$21:$C$30="")+($C$21:$C$30&lt;&gt;"")*($C$21:$C$30&gt;=I277))*($E$21:$E$30="Monthly")*$D$21:$D$30)+SUMPRODUCT(($B$21:$B$30&lt;&gt;"")*($B$21:$B$30&lt;=I277)*(($C$21:$C$30="")+($C$21:$C$30&lt;&gt;"")*($C$21:$C$30&gt;=I277))*($E$21:$E$30="Annual")*(MONTH($B$21:$B$30)=MONTH(I277))*$D$21:$D$30)+SUMPRODUCT(($B$34:$B$48&lt;&gt;"")*(YEAR($B$34:$B$48)=YEAR(I277))*(MONTH($B$34:$B$48)=MONTH(I277))*$C$34:$C$48)),"")</f>
        <v/>
      </c>
      <c r="M277" s="9">
        <f>IF(H277&lt;&gt;"",ROUND(M276-L277,2),"")</f>
        <v/>
      </c>
      <c r="N277" s="10">
        <f>IF(H277&lt;&gt;"",N276+L277,"")</f>
        <v/>
      </c>
      <c r="O277" s="10">
        <f>IF(H277&lt;&gt;"",O276+K277,"")</f>
        <v/>
      </c>
    </row>
    <row r="278">
      <c r="H278" s="12">
        <f>IF(AND(M277&gt;0.005,H277&lt;&gt;""),276,"")</f>
        <v/>
      </c>
      <c r="I278" s="13">
        <f>IF(H278&lt;&gt;"",EDATE(StartDate,275),"")</f>
        <v/>
      </c>
      <c r="J278" s="14">
        <f>IF(H278&lt;&gt;"",MIN(MonthlyPmt,M277+K278),"")</f>
        <v/>
      </c>
      <c r="K278" s="14">
        <f>IF(H278&lt;&gt;"",ROUND(M277*AnnualRate/12,2),"")</f>
        <v/>
      </c>
      <c r="L278" s="14">
        <f>IF(H278&lt;&gt;"",MIN(M277,(J278-K278)+SUMPRODUCT(($B$21:$B$30&lt;&gt;"")*($B$21:$B$30&lt;=I278)*(($C$21:$C$30="")+($C$21:$C$30&lt;&gt;"")*($C$21:$C$30&gt;=I278))*($E$21:$E$30="Monthly")*$D$21:$D$30)+SUMPRODUCT(($B$21:$B$30&lt;&gt;"")*($B$21:$B$30&lt;=I278)*(($C$21:$C$30="")+($C$21:$C$30&lt;&gt;"")*($C$21:$C$30&gt;=I278))*($E$21:$E$30="Annual")*(MONTH($B$21:$B$30)=MONTH(I278))*$D$21:$D$30)+SUMPRODUCT(($B$34:$B$48&lt;&gt;"")*(YEAR($B$34:$B$48)=YEAR(I278))*(MONTH($B$34:$B$48)=MONTH(I278))*$C$34:$C$48)),"")</f>
        <v/>
      </c>
      <c r="M278" s="14">
        <f>IF(H278&lt;&gt;"",ROUND(M277-L278,2),"")</f>
        <v/>
      </c>
      <c r="N278" s="10">
        <f>IF(H278&lt;&gt;"",N277+L278,"")</f>
        <v/>
      </c>
      <c r="O278" s="10">
        <f>IF(H278&lt;&gt;"",O277+K278,"")</f>
        <v/>
      </c>
    </row>
    <row r="279">
      <c r="H279" s="7">
        <f>IF(AND(M278&gt;0.005,H278&lt;&gt;""),277,"")</f>
        <v/>
      </c>
      <c r="I279" s="8">
        <f>IF(H279&lt;&gt;"",EDATE(StartDate,276),"")</f>
        <v/>
      </c>
      <c r="J279" s="9">
        <f>IF(H279&lt;&gt;"",MIN(MonthlyPmt,M278+K279),"")</f>
        <v/>
      </c>
      <c r="K279" s="9">
        <f>IF(H279&lt;&gt;"",ROUND(M278*AnnualRate/12,2),"")</f>
        <v/>
      </c>
      <c r="L279" s="9">
        <f>IF(H279&lt;&gt;"",MIN(M278,(J279-K279)+SUMPRODUCT(($B$21:$B$30&lt;&gt;"")*($B$21:$B$30&lt;=I279)*(($C$21:$C$30="")+($C$21:$C$30&lt;&gt;"")*($C$21:$C$30&gt;=I279))*($E$21:$E$30="Monthly")*$D$21:$D$30)+SUMPRODUCT(($B$21:$B$30&lt;&gt;"")*($B$21:$B$30&lt;=I279)*(($C$21:$C$30="")+($C$21:$C$30&lt;&gt;"")*($C$21:$C$30&gt;=I279))*($E$21:$E$30="Annual")*(MONTH($B$21:$B$30)=MONTH(I279))*$D$21:$D$30)+SUMPRODUCT(($B$34:$B$48&lt;&gt;"")*(YEAR($B$34:$B$48)=YEAR(I279))*(MONTH($B$34:$B$48)=MONTH(I279))*$C$34:$C$48)),"")</f>
        <v/>
      </c>
      <c r="M279" s="9">
        <f>IF(H279&lt;&gt;"",ROUND(M278-L279,2),"")</f>
        <v/>
      </c>
      <c r="N279" s="10">
        <f>IF(H279&lt;&gt;"",N278+L279,"")</f>
        <v/>
      </c>
      <c r="O279" s="10">
        <f>IF(H279&lt;&gt;"",O278+K279,"")</f>
        <v/>
      </c>
    </row>
    <row r="280">
      <c r="H280" s="12">
        <f>IF(AND(M279&gt;0.005,H279&lt;&gt;""),278,"")</f>
        <v/>
      </c>
      <c r="I280" s="13">
        <f>IF(H280&lt;&gt;"",EDATE(StartDate,277),"")</f>
        <v/>
      </c>
      <c r="J280" s="14">
        <f>IF(H280&lt;&gt;"",MIN(MonthlyPmt,M279+K280),"")</f>
        <v/>
      </c>
      <c r="K280" s="14">
        <f>IF(H280&lt;&gt;"",ROUND(M279*AnnualRate/12,2),"")</f>
        <v/>
      </c>
      <c r="L280" s="14">
        <f>IF(H280&lt;&gt;"",MIN(M279,(J280-K280)+SUMPRODUCT(($B$21:$B$30&lt;&gt;"")*($B$21:$B$30&lt;=I280)*(($C$21:$C$30="")+($C$21:$C$30&lt;&gt;"")*($C$21:$C$30&gt;=I280))*($E$21:$E$30="Monthly")*$D$21:$D$30)+SUMPRODUCT(($B$21:$B$30&lt;&gt;"")*($B$21:$B$30&lt;=I280)*(($C$21:$C$30="")+($C$21:$C$30&lt;&gt;"")*($C$21:$C$30&gt;=I280))*($E$21:$E$30="Annual")*(MONTH($B$21:$B$30)=MONTH(I280))*$D$21:$D$30)+SUMPRODUCT(($B$34:$B$48&lt;&gt;"")*(YEAR($B$34:$B$48)=YEAR(I280))*(MONTH($B$34:$B$48)=MONTH(I280))*$C$34:$C$48)),"")</f>
        <v/>
      </c>
      <c r="M280" s="14">
        <f>IF(H280&lt;&gt;"",ROUND(M279-L280,2),"")</f>
        <v/>
      </c>
      <c r="N280" s="10">
        <f>IF(H280&lt;&gt;"",N279+L280,"")</f>
        <v/>
      </c>
      <c r="O280" s="10">
        <f>IF(H280&lt;&gt;"",O279+K280,"")</f>
        <v/>
      </c>
    </row>
    <row r="281">
      <c r="H281" s="7">
        <f>IF(AND(M280&gt;0.005,H280&lt;&gt;""),279,"")</f>
        <v/>
      </c>
      <c r="I281" s="8">
        <f>IF(H281&lt;&gt;"",EDATE(StartDate,278),"")</f>
        <v/>
      </c>
      <c r="J281" s="9">
        <f>IF(H281&lt;&gt;"",MIN(MonthlyPmt,M280+K281),"")</f>
        <v/>
      </c>
      <c r="K281" s="9">
        <f>IF(H281&lt;&gt;"",ROUND(M280*AnnualRate/12,2),"")</f>
        <v/>
      </c>
      <c r="L281" s="9">
        <f>IF(H281&lt;&gt;"",MIN(M280,(J281-K281)+SUMPRODUCT(($B$21:$B$30&lt;&gt;"")*($B$21:$B$30&lt;=I281)*(($C$21:$C$30="")+($C$21:$C$30&lt;&gt;"")*($C$21:$C$30&gt;=I281))*($E$21:$E$30="Monthly")*$D$21:$D$30)+SUMPRODUCT(($B$21:$B$30&lt;&gt;"")*($B$21:$B$30&lt;=I281)*(($C$21:$C$30="")+($C$21:$C$30&lt;&gt;"")*($C$21:$C$30&gt;=I281))*($E$21:$E$30="Annual")*(MONTH($B$21:$B$30)=MONTH(I281))*$D$21:$D$30)+SUMPRODUCT(($B$34:$B$48&lt;&gt;"")*(YEAR($B$34:$B$48)=YEAR(I281))*(MONTH($B$34:$B$48)=MONTH(I281))*$C$34:$C$48)),"")</f>
        <v/>
      </c>
      <c r="M281" s="9">
        <f>IF(H281&lt;&gt;"",ROUND(M280-L281,2),"")</f>
        <v/>
      </c>
      <c r="N281" s="10">
        <f>IF(H281&lt;&gt;"",N280+L281,"")</f>
        <v/>
      </c>
      <c r="O281" s="10">
        <f>IF(H281&lt;&gt;"",O280+K281,"")</f>
        <v/>
      </c>
    </row>
    <row r="282">
      <c r="H282" s="12">
        <f>IF(AND(M281&gt;0.005,H281&lt;&gt;""),280,"")</f>
        <v/>
      </c>
      <c r="I282" s="13">
        <f>IF(H282&lt;&gt;"",EDATE(StartDate,279),"")</f>
        <v/>
      </c>
      <c r="J282" s="14">
        <f>IF(H282&lt;&gt;"",MIN(MonthlyPmt,M281+K282),"")</f>
        <v/>
      </c>
      <c r="K282" s="14">
        <f>IF(H282&lt;&gt;"",ROUND(M281*AnnualRate/12,2),"")</f>
        <v/>
      </c>
      <c r="L282" s="14">
        <f>IF(H282&lt;&gt;"",MIN(M281,(J282-K282)+SUMPRODUCT(($B$21:$B$30&lt;&gt;"")*($B$21:$B$30&lt;=I282)*(($C$21:$C$30="")+($C$21:$C$30&lt;&gt;"")*($C$21:$C$30&gt;=I282))*($E$21:$E$30="Monthly")*$D$21:$D$30)+SUMPRODUCT(($B$21:$B$30&lt;&gt;"")*($B$21:$B$30&lt;=I282)*(($C$21:$C$30="")+($C$21:$C$30&lt;&gt;"")*($C$21:$C$30&gt;=I282))*($E$21:$E$30="Annual")*(MONTH($B$21:$B$30)=MONTH(I282))*$D$21:$D$30)+SUMPRODUCT(($B$34:$B$48&lt;&gt;"")*(YEAR($B$34:$B$48)=YEAR(I282))*(MONTH($B$34:$B$48)=MONTH(I282))*$C$34:$C$48)),"")</f>
        <v/>
      </c>
      <c r="M282" s="14">
        <f>IF(H282&lt;&gt;"",ROUND(M281-L282,2),"")</f>
        <v/>
      </c>
      <c r="N282" s="10">
        <f>IF(H282&lt;&gt;"",N281+L282,"")</f>
        <v/>
      </c>
      <c r="O282" s="10">
        <f>IF(H282&lt;&gt;"",O281+K282,"")</f>
        <v/>
      </c>
    </row>
    <row r="283">
      <c r="H283" s="7">
        <f>IF(AND(M282&gt;0.005,H282&lt;&gt;""),281,"")</f>
        <v/>
      </c>
      <c r="I283" s="8">
        <f>IF(H283&lt;&gt;"",EDATE(StartDate,280),"")</f>
        <v/>
      </c>
      <c r="J283" s="9">
        <f>IF(H283&lt;&gt;"",MIN(MonthlyPmt,M282+K283),"")</f>
        <v/>
      </c>
      <c r="K283" s="9">
        <f>IF(H283&lt;&gt;"",ROUND(M282*AnnualRate/12,2),"")</f>
        <v/>
      </c>
      <c r="L283" s="9">
        <f>IF(H283&lt;&gt;"",MIN(M282,(J283-K283)+SUMPRODUCT(($B$21:$B$30&lt;&gt;"")*($B$21:$B$30&lt;=I283)*(($C$21:$C$30="")+($C$21:$C$30&lt;&gt;"")*($C$21:$C$30&gt;=I283))*($E$21:$E$30="Monthly")*$D$21:$D$30)+SUMPRODUCT(($B$21:$B$30&lt;&gt;"")*($B$21:$B$30&lt;=I283)*(($C$21:$C$30="")+($C$21:$C$30&lt;&gt;"")*($C$21:$C$30&gt;=I283))*($E$21:$E$30="Annual")*(MONTH($B$21:$B$30)=MONTH(I283))*$D$21:$D$30)+SUMPRODUCT(($B$34:$B$48&lt;&gt;"")*(YEAR($B$34:$B$48)=YEAR(I283))*(MONTH($B$34:$B$48)=MONTH(I283))*$C$34:$C$48)),"")</f>
        <v/>
      </c>
      <c r="M283" s="9">
        <f>IF(H283&lt;&gt;"",ROUND(M282-L283,2),"")</f>
        <v/>
      </c>
      <c r="N283" s="10">
        <f>IF(H283&lt;&gt;"",N282+L283,"")</f>
        <v/>
      </c>
      <c r="O283" s="10">
        <f>IF(H283&lt;&gt;"",O282+K283,"")</f>
        <v/>
      </c>
    </row>
    <row r="284">
      <c r="H284" s="12">
        <f>IF(AND(M283&gt;0.005,H283&lt;&gt;""),282,"")</f>
        <v/>
      </c>
      <c r="I284" s="13">
        <f>IF(H284&lt;&gt;"",EDATE(StartDate,281),"")</f>
        <v/>
      </c>
      <c r="J284" s="14">
        <f>IF(H284&lt;&gt;"",MIN(MonthlyPmt,M283+K284),"")</f>
        <v/>
      </c>
      <c r="K284" s="14">
        <f>IF(H284&lt;&gt;"",ROUND(M283*AnnualRate/12,2),"")</f>
        <v/>
      </c>
      <c r="L284" s="14">
        <f>IF(H284&lt;&gt;"",MIN(M283,(J284-K284)+SUMPRODUCT(($B$21:$B$30&lt;&gt;"")*($B$21:$B$30&lt;=I284)*(($C$21:$C$30="")+($C$21:$C$30&lt;&gt;"")*($C$21:$C$30&gt;=I284))*($E$21:$E$30="Monthly")*$D$21:$D$30)+SUMPRODUCT(($B$21:$B$30&lt;&gt;"")*($B$21:$B$30&lt;=I284)*(($C$21:$C$30="")+($C$21:$C$30&lt;&gt;"")*($C$21:$C$30&gt;=I284))*($E$21:$E$30="Annual")*(MONTH($B$21:$B$30)=MONTH(I284))*$D$21:$D$30)+SUMPRODUCT(($B$34:$B$48&lt;&gt;"")*(YEAR($B$34:$B$48)=YEAR(I284))*(MONTH($B$34:$B$48)=MONTH(I284))*$C$34:$C$48)),"")</f>
        <v/>
      </c>
      <c r="M284" s="14">
        <f>IF(H284&lt;&gt;"",ROUND(M283-L284,2),"")</f>
        <v/>
      </c>
      <c r="N284" s="10">
        <f>IF(H284&lt;&gt;"",N283+L284,"")</f>
        <v/>
      </c>
      <c r="O284" s="10">
        <f>IF(H284&lt;&gt;"",O283+K284,"")</f>
        <v/>
      </c>
    </row>
    <row r="285">
      <c r="H285" s="7">
        <f>IF(AND(M284&gt;0.005,H284&lt;&gt;""),283,"")</f>
        <v/>
      </c>
      <c r="I285" s="8">
        <f>IF(H285&lt;&gt;"",EDATE(StartDate,282),"")</f>
        <v/>
      </c>
      <c r="J285" s="9">
        <f>IF(H285&lt;&gt;"",MIN(MonthlyPmt,M284+K285),"")</f>
        <v/>
      </c>
      <c r="K285" s="9">
        <f>IF(H285&lt;&gt;"",ROUND(M284*AnnualRate/12,2),"")</f>
        <v/>
      </c>
      <c r="L285" s="9">
        <f>IF(H285&lt;&gt;"",MIN(M284,(J285-K285)+SUMPRODUCT(($B$21:$B$30&lt;&gt;"")*($B$21:$B$30&lt;=I285)*(($C$21:$C$30="")+($C$21:$C$30&lt;&gt;"")*($C$21:$C$30&gt;=I285))*($E$21:$E$30="Monthly")*$D$21:$D$30)+SUMPRODUCT(($B$21:$B$30&lt;&gt;"")*($B$21:$B$30&lt;=I285)*(($C$21:$C$30="")+($C$21:$C$30&lt;&gt;"")*($C$21:$C$30&gt;=I285))*($E$21:$E$30="Annual")*(MONTH($B$21:$B$30)=MONTH(I285))*$D$21:$D$30)+SUMPRODUCT(($B$34:$B$48&lt;&gt;"")*(YEAR($B$34:$B$48)=YEAR(I285))*(MONTH($B$34:$B$48)=MONTH(I285))*$C$34:$C$48)),"")</f>
        <v/>
      </c>
      <c r="M285" s="9">
        <f>IF(H285&lt;&gt;"",ROUND(M284-L285,2),"")</f>
        <v/>
      </c>
      <c r="N285" s="10">
        <f>IF(H285&lt;&gt;"",N284+L285,"")</f>
        <v/>
      </c>
      <c r="O285" s="10">
        <f>IF(H285&lt;&gt;"",O284+K285,"")</f>
        <v/>
      </c>
    </row>
    <row r="286">
      <c r="H286" s="12">
        <f>IF(AND(M285&gt;0.005,H285&lt;&gt;""),284,"")</f>
        <v/>
      </c>
      <c r="I286" s="13">
        <f>IF(H286&lt;&gt;"",EDATE(StartDate,283),"")</f>
        <v/>
      </c>
      <c r="J286" s="14">
        <f>IF(H286&lt;&gt;"",MIN(MonthlyPmt,M285+K286),"")</f>
        <v/>
      </c>
      <c r="K286" s="14">
        <f>IF(H286&lt;&gt;"",ROUND(M285*AnnualRate/12,2),"")</f>
        <v/>
      </c>
      <c r="L286" s="14">
        <f>IF(H286&lt;&gt;"",MIN(M285,(J286-K286)+SUMPRODUCT(($B$21:$B$30&lt;&gt;"")*($B$21:$B$30&lt;=I286)*(($C$21:$C$30="")+($C$21:$C$30&lt;&gt;"")*($C$21:$C$30&gt;=I286))*($E$21:$E$30="Monthly")*$D$21:$D$30)+SUMPRODUCT(($B$21:$B$30&lt;&gt;"")*($B$21:$B$30&lt;=I286)*(($C$21:$C$30="")+($C$21:$C$30&lt;&gt;"")*($C$21:$C$30&gt;=I286))*($E$21:$E$30="Annual")*(MONTH($B$21:$B$30)=MONTH(I286))*$D$21:$D$30)+SUMPRODUCT(($B$34:$B$48&lt;&gt;"")*(YEAR($B$34:$B$48)=YEAR(I286))*(MONTH($B$34:$B$48)=MONTH(I286))*$C$34:$C$48)),"")</f>
        <v/>
      </c>
      <c r="M286" s="14">
        <f>IF(H286&lt;&gt;"",ROUND(M285-L286,2),"")</f>
        <v/>
      </c>
      <c r="N286" s="10">
        <f>IF(H286&lt;&gt;"",N285+L286,"")</f>
        <v/>
      </c>
      <c r="O286" s="10">
        <f>IF(H286&lt;&gt;"",O285+K286,"")</f>
        <v/>
      </c>
    </row>
    <row r="287">
      <c r="H287" s="7">
        <f>IF(AND(M286&gt;0.005,H286&lt;&gt;""),285,"")</f>
        <v/>
      </c>
      <c r="I287" s="8">
        <f>IF(H287&lt;&gt;"",EDATE(StartDate,284),"")</f>
        <v/>
      </c>
      <c r="J287" s="9">
        <f>IF(H287&lt;&gt;"",MIN(MonthlyPmt,M286+K287),"")</f>
        <v/>
      </c>
      <c r="K287" s="9">
        <f>IF(H287&lt;&gt;"",ROUND(M286*AnnualRate/12,2),"")</f>
        <v/>
      </c>
      <c r="L287" s="9">
        <f>IF(H287&lt;&gt;"",MIN(M286,(J287-K287)+SUMPRODUCT(($B$21:$B$30&lt;&gt;"")*($B$21:$B$30&lt;=I287)*(($C$21:$C$30="")+($C$21:$C$30&lt;&gt;"")*($C$21:$C$30&gt;=I287))*($E$21:$E$30="Monthly")*$D$21:$D$30)+SUMPRODUCT(($B$21:$B$30&lt;&gt;"")*($B$21:$B$30&lt;=I287)*(($C$21:$C$30="")+($C$21:$C$30&lt;&gt;"")*($C$21:$C$30&gt;=I287))*($E$21:$E$30="Annual")*(MONTH($B$21:$B$30)=MONTH(I287))*$D$21:$D$30)+SUMPRODUCT(($B$34:$B$48&lt;&gt;"")*(YEAR($B$34:$B$48)=YEAR(I287))*(MONTH($B$34:$B$48)=MONTH(I287))*$C$34:$C$48)),"")</f>
        <v/>
      </c>
      <c r="M287" s="9">
        <f>IF(H287&lt;&gt;"",ROUND(M286-L287,2),"")</f>
        <v/>
      </c>
      <c r="N287" s="10">
        <f>IF(H287&lt;&gt;"",N286+L287,"")</f>
        <v/>
      </c>
      <c r="O287" s="10">
        <f>IF(H287&lt;&gt;"",O286+K287,"")</f>
        <v/>
      </c>
    </row>
    <row r="288">
      <c r="H288" s="12">
        <f>IF(AND(M287&gt;0.005,H287&lt;&gt;""),286,"")</f>
        <v/>
      </c>
      <c r="I288" s="13">
        <f>IF(H288&lt;&gt;"",EDATE(StartDate,285),"")</f>
        <v/>
      </c>
      <c r="J288" s="14">
        <f>IF(H288&lt;&gt;"",MIN(MonthlyPmt,M287+K288),"")</f>
        <v/>
      </c>
      <c r="K288" s="14">
        <f>IF(H288&lt;&gt;"",ROUND(M287*AnnualRate/12,2),"")</f>
        <v/>
      </c>
      <c r="L288" s="14">
        <f>IF(H288&lt;&gt;"",MIN(M287,(J288-K288)+SUMPRODUCT(($B$21:$B$30&lt;&gt;"")*($B$21:$B$30&lt;=I288)*(($C$21:$C$30="")+($C$21:$C$30&lt;&gt;"")*($C$21:$C$30&gt;=I288))*($E$21:$E$30="Monthly")*$D$21:$D$30)+SUMPRODUCT(($B$21:$B$30&lt;&gt;"")*($B$21:$B$30&lt;=I288)*(($C$21:$C$30="")+($C$21:$C$30&lt;&gt;"")*($C$21:$C$30&gt;=I288))*($E$21:$E$30="Annual")*(MONTH($B$21:$B$30)=MONTH(I288))*$D$21:$D$30)+SUMPRODUCT(($B$34:$B$48&lt;&gt;"")*(YEAR($B$34:$B$48)=YEAR(I288))*(MONTH($B$34:$B$48)=MONTH(I288))*$C$34:$C$48)),"")</f>
        <v/>
      </c>
      <c r="M288" s="14">
        <f>IF(H288&lt;&gt;"",ROUND(M287-L288,2),"")</f>
        <v/>
      </c>
      <c r="N288" s="10">
        <f>IF(H288&lt;&gt;"",N287+L288,"")</f>
        <v/>
      </c>
      <c r="O288" s="10">
        <f>IF(H288&lt;&gt;"",O287+K288,"")</f>
        <v/>
      </c>
    </row>
    <row r="289">
      <c r="H289" s="7">
        <f>IF(AND(M288&gt;0.005,H288&lt;&gt;""),287,"")</f>
        <v/>
      </c>
      <c r="I289" s="8">
        <f>IF(H289&lt;&gt;"",EDATE(StartDate,286),"")</f>
        <v/>
      </c>
      <c r="J289" s="9">
        <f>IF(H289&lt;&gt;"",MIN(MonthlyPmt,M288+K289),"")</f>
        <v/>
      </c>
      <c r="K289" s="9">
        <f>IF(H289&lt;&gt;"",ROUND(M288*AnnualRate/12,2),"")</f>
        <v/>
      </c>
      <c r="L289" s="9">
        <f>IF(H289&lt;&gt;"",MIN(M288,(J289-K289)+SUMPRODUCT(($B$21:$B$30&lt;&gt;"")*($B$21:$B$30&lt;=I289)*(($C$21:$C$30="")+($C$21:$C$30&lt;&gt;"")*($C$21:$C$30&gt;=I289))*($E$21:$E$30="Monthly")*$D$21:$D$30)+SUMPRODUCT(($B$21:$B$30&lt;&gt;"")*($B$21:$B$30&lt;=I289)*(($C$21:$C$30="")+($C$21:$C$30&lt;&gt;"")*($C$21:$C$30&gt;=I289))*($E$21:$E$30="Annual")*(MONTH($B$21:$B$30)=MONTH(I289))*$D$21:$D$30)+SUMPRODUCT(($B$34:$B$48&lt;&gt;"")*(YEAR($B$34:$B$48)=YEAR(I289))*(MONTH($B$34:$B$48)=MONTH(I289))*$C$34:$C$48)),"")</f>
        <v/>
      </c>
      <c r="M289" s="9">
        <f>IF(H289&lt;&gt;"",ROUND(M288-L289,2),"")</f>
        <v/>
      </c>
      <c r="N289" s="10">
        <f>IF(H289&lt;&gt;"",N288+L289,"")</f>
        <v/>
      </c>
      <c r="O289" s="10">
        <f>IF(H289&lt;&gt;"",O288+K289,"")</f>
        <v/>
      </c>
    </row>
    <row r="290">
      <c r="H290" s="12">
        <f>IF(AND(M289&gt;0.005,H289&lt;&gt;""),288,"")</f>
        <v/>
      </c>
      <c r="I290" s="13">
        <f>IF(H290&lt;&gt;"",EDATE(StartDate,287),"")</f>
        <v/>
      </c>
      <c r="J290" s="14">
        <f>IF(H290&lt;&gt;"",MIN(MonthlyPmt,M289+K290),"")</f>
        <v/>
      </c>
      <c r="K290" s="14">
        <f>IF(H290&lt;&gt;"",ROUND(M289*AnnualRate/12,2),"")</f>
        <v/>
      </c>
      <c r="L290" s="14">
        <f>IF(H290&lt;&gt;"",MIN(M289,(J290-K290)+SUMPRODUCT(($B$21:$B$30&lt;&gt;"")*($B$21:$B$30&lt;=I290)*(($C$21:$C$30="")+($C$21:$C$30&lt;&gt;"")*($C$21:$C$30&gt;=I290))*($E$21:$E$30="Monthly")*$D$21:$D$30)+SUMPRODUCT(($B$21:$B$30&lt;&gt;"")*($B$21:$B$30&lt;=I290)*(($C$21:$C$30="")+($C$21:$C$30&lt;&gt;"")*($C$21:$C$30&gt;=I290))*($E$21:$E$30="Annual")*(MONTH($B$21:$B$30)=MONTH(I290))*$D$21:$D$30)+SUMPRODUCT(($B$34:$B$48&lt;&gt;"")*(YEAR($B$34:$B$48)=YEAR(I290))*(MONTH($B$34:$B$48)=MONTH(I290))*$C$34:$C$48)),"")</f>
        <v/>
      </c>
      <c r="M290" s="14">
        <f>IF(H290&lt;&gt;"",ROUND(M289-L290,2),"")</f>
        <v/>
      </c>
      <c r="N290" s="10">
        <f>IF(H290&lt;&gt;"",N289+L290,"")</f>
        <v/>
      </c>
      <c r="O290" s="10">
        <f>IF(H290&lt;&gt;"",O289+K290,"")</f>
        <v/>
      </c>
    </row>
    <row r="291">
      <c r="H291" s="7">
        <f>IF(AND(M290&gt;0.005,H290&lt;&gt;""),289,"")</f>
        <v/>
      </c>
      <c r="I291" s="8">
        <f>IF(H291&lt;&gt;"",EDATE(StartDate,288),"")</f>
        <v/>
      </c>
      <c r="J291" s="9">
        <f>IF(H291&lt;&gt;"",MIN(MonthlyPmt,M290+K291),"")</f>
        <v/>
      </c>
      <c r="K291" s="9">
        <f>IF(H291&lt;&gt;"",ROUND(M290*AnnualRate/12,2),"")</f>
        <v/>
      </c>
      <c r="L291" s="9">
        <f>IF(H291&lt;&gt;"",MIN(M290,(J291-K291)+SUMPRODUCT(($B$21:$B$30&lt;&gt;"")*($B$21:$B$30&lt;=I291)*(($C$21:$C$30="")+($C$21:$C$30&lt;&gt;"")*($C$21:$C$30&gt;=I291))*($E$21:$E$30="Monthly")*$D$21:$D$30)+SUMPRODUCT(($B$21:$B$30&lt;&gt;"")*($B$21:$B$30&lt;=I291)*(($C$21:$C$30="")+($C$21:$C$30&lt;&gt;"")*($C$21:$C$30&gt;=I291))*($E$21:$E$30="Annual")*(MONTH($B$21:$B$30)=MONTH(I291))*$D$21:$D$30)+SUMPRODUCT(($B$34:$B$48&lt;&gt;"")*(YEAR($B$34:$B$48)=YEAR(I291))*(MONTH($B$34:$B$48)=MONTH(I291))*$C$34:$C$48)),"")</f>
        <v/>
      </c>
      <c r="M291" s="9">
        <f>IF(H291&lt;&gt;"",ROUND(M290-L291,2),"")</f>
        <v/>
      </c>
      <c r="N291" s="10">
        <f>IF(H291&lt;&gt;"",N290+L291,"")</f>
        <v/>
      </c>
      <c r="O291" s="10">
        <f>IF(H291&lt;&gt;"",O290+K291,"")</f>
        <v/>
      </c>
    </row>
    <row r="292">
      <c r="H292" s="12">
        <f>IF(AND(M291&gt;0.005,H291&lt;&gt;""),290,"")</f>
        <v/>
      </c>
      <c r="I292" s="13">
        <f>IF(H292&lt;&gt;"",EDATE(StartDate,289),"")</f>
        <v/>
      </c>
      <c r="J292" s="14">
        <f>IF(H292&lt;&gt;"",MIN(MonthlyPmt,M291+K292),"")</f>
        <v/>
      </c>
      <c r="K292" s="14">
        <f>IF(H292&lt;&gt;"",ROUND(M291*AnnualRate/12,2),"")</f>
        <v/>
      </c>
      <c r="L292" s="14">
        <f>IF(H292&lt;&gt;"",MIN(M291,(J292-K292)+SUMPRODUCT(($B$21:$B$30&lt;&gt;"")*($B$21:$B$30&lt;=I292)*(($C$21:$C$30="")+($C$21:$C$30&lt;&gt;"")*($C$21:$C$30&gt;=I292))*($E$21:$E$30="Monthly")*$D$21:$D$30)+SUMPRODUCT(($B$21:$B$30&lt;&gt;"")*($B$21:$B$30&lt;=I292)*(($C$21:$C$30="")+($C$21:$C$30&lt;&gt;"")*($C$21:$C$30&gt;=I292))*($E$21:$E$30="Annual")*(MONTH($B$21:$B$30)=MONTH(I292))*$D$21:$D$30)+SUMPRODUCT(($B$34:$B$48&lt;&gt;"")*(YEAR($B$34:$B$48)=YEAR(I292))*(MONTH($B$34:$B$48)=MONTH(I292))*$C$34:$C$48)),"")</f>
        <v/>
      </c>
      <c r="M292" s="14">
        <f>IF(H292&lt;&gt;"",ROUND(M291-L292,2),"")</f>
        <v/>
      </c>
      <c r="N292" s="10">
        <f>IF(H292&lt;&gt;"",N291+L292,"")</f>
        <v/>
      </c>
      <c r="O292" s="10">
        <f>IF(H292&lt;&gt;"",O291+K292,"")</f>
        <v/>
      </c>
    </row>
    <row r="293">
      <c r="H293" s="7">
        <f>IF(AND(M292&gt;0.005,H292&lt;&gt;""),291,"")</f>
        <v/>
      </c>
      <c r="I293" s="8">
        <f>IF(H293&lt;&gt;"",EDATE(StartDate,290),"")</f>
        <v/>
      </c>
      <c r="J293" s="9">
        <f>IF(H293&lt;&gt;"",MIN(MonthlyPmt,M292+K293),"")</f>
        <v/>
      </c>
      <c r="K293" s="9">
        <f>IF(H293&lt;&gt;"",ROUND(M292*AnnualRate/12,2),"")</f>
        <v/>
      </c>
      <c r="L293" s="9">
        <f>IF(H293&lt;&gt;"",MIN(M292,(J293-K293)+SUMPRODUCT(($B$21:$B$30&lt;&gt;"")*($B$21:$B$30&lt;=I293)*(($C$21:$C$30="")+($C$21:$C$30&lt;&gt;"")*($C$21:$C$30&gt;=I293))*($E$21:$E$30="Monthly")*$D$21:$D$30)+SUMPRODUCT(($B$21:$B$30&lt;&gt;"")*($B$21:$B$30&lt;=I293)*(($C$21:$C$30="")+($C$21:$C$30&lt;&gt;"")*($C$21:$C$30&gt;=I293))*($E$21:$E$30="Annual")*(MONTH($B$21:$B$30)=MONTH(I293))*$D$21:$D$30)+SUMPRODUCT(($B$34:$B$48&lt;&gt;"")*(YEAR($B$34:$B$48)=YEAR(I293))*(MONTH($B$34:$B$48)=MONTH(I293))*$C$34:$C$48)),"")</f>
        <v/>
      </c>
      <c r="M293" s="9">
        <f>IF(H293&lt;&gt;"",ROUND(M292-L293,2),"")</f>
        <v/>
      </c>
      <c r="N293" s="10">
        <f>IF(H293&lt;&gt;"",N292+L293,"")</f>
        <v/>
      </c>
      <c r="O293" s="10">
        <f>IF(H293&lt;&gt;"",O292+K293,"")</f>
        <v/>
      </c>
    </row>
    <row r="294">
      <c r="H294" s="12">
        <f>IF(AND(M293&gt;0.005,H293&lt;&gt;""),292,"")</f>
        <v/>
      </c>
      <c r="I294" s="13">
        <f>IF(H294&lt;&gt;"",EDATE(StartDate,291),"")</f>
        <v/>
      </c>
      <c r="J294" s="14">
        <f>IF(H294&lt;&gt;"",MIN(MonthlyPmt,M293+K294),"")</f>
        <v/>
      </c>
      <c r="K294" s="14">
        <f>IF(H294&lt;&gt;"",ROUND(M293*AnnualRate/12,2),"")</f>
        <v/>
      </c>
      <c r="L294" s="14">
        <f>IF(H294&lt;&gt;"",MIN(M293,(J294-K294)+SUMPRODUCT(($B$21:$B$30&lt;&gt;"")*($B$21:$B$30&lt;=I294)*(($C$21:$C$30="")+($C$21:$C$30&lt;&gt;"")*($C$21:$C$30&gt;=I294))*($E$21:$E$30="Monthly")*$D$21:$D$30)+SUMPRODUCT(($B$21:$B$30&lt;&gt;"")*($B$21:$B$30&lt;=I294)*(($C$21:$C$30="")+($C$21:$C$30&lt;&gt;"")*($C$21:$C$30&gt;=I294))*($E$21:$E$30="Annual")*(MONTH($B$21:$B$30)=MONTH(I294))*$D$21:$D$30)+SUMPRODUCT(($B$34:$B$48&lt;&gt;"")*(YEAR($B$34:$B$48)=YEAR(I294))*(MONTH($B$34:$B$48)=MONTH(I294))*$C$34:$C$48)),"")</f>
        <v/>
      </c>
      <c r="M294" s="14">
        <f>IF(H294&lt;&gt;"",ROUND(M293-L294,2),"")</f>
        <v/>
      </c>
      <c r="N294" s="10">
        <f>IF(H294&lt;&gt;"",N293+L294,"")</f>
        <v/>
      </c>
      <c r="O294" s="10">
        <f>IF(H294&lt;&gt;"",O293+K294,"")</f>
        <v/>
      </c>
    </row>
    <row r="295">
      <c r="H295" s="7">
        <f>IF(AND(M294&gt;0.005,H294&lt;&gt;""),293,"")</f>
        <v/>
      </c>
      <c r="I295" s="8">
        <f>IF(H295&lt;&gt;"",EDATE(StartDate,292),"")</f>
        <v/>
      </c>
      <c r="J295" s="9">
        <f>IF(H295&lt;&gt;"",MIN(MonthlyPmt,M294+K295),"")</f>
        <v/>
      </c>
      <c r="K295" s="9">
        <f>IF(H295&lt;&gt;"",ROUND(M294*AnnualRate/12,2),"")</f>
        <v/>
      </c>
      <c r="L295" s="9">
        <f>IF(H295&lt;&gt;"",MIN(M294,(J295-K295)+SUMPRODUCT(($B$21:$B$30&lt;&gt;"")*($B$21:$B$30&lt;=I295)*(($C$21:$C$30="")+($C$21:$C$30&lt;&gt;"")*($C$21:$C$30&gt;=I295))*($E$21:$E$30="Monthly")*$D$21:$D$30)+SUMPRODUCT(($B$21:$B$30&lt;&gt;"")*($B$21:$B$30&lt;=I295)*(($C$21:$C$30="")+($C$21:$C$30&lt;&gt;"")*($C$21:$C$30&gt;=I295))*($E$21:$E$30="Annual")*(MONTH($B$21:$B$30)=MONTH(I295))*$D$21:$D$30)+SUMPRODUCT(($B$34:$B$48&lt;&gt;"")*(YEAR($B$34:$B$48)=YEAR(I295))*(MONTH($B$34:$B$48)=MONTH(I295))*$C$34:$C$48)),"")</f>
        <v/>
      </c>
      <c r="M295" s="9">
        <f>IF(H295&lt;&gt;"",ROUND(M294-L295,2),"")</f>
        <v/>
      </c>
      <c r="N295" s="10">
        <f>IF(H295&lt;&gt;"",N294+L295,"")</f>
        <v/>
      </c>
      <c r="O295" s="10">
        <f>IF(H295&lt;&gt;"",O294+K295,"")</f>
        <v/>
      </c>
    </row>
    <row r="296">
      <c r="H296" s="12">
        <f>IF(AND(M295&gt;0.005,H295&lt;&gt;""),294,"")</f>
        <v/>
      </c>
      <c r="I296" s="13">
        <f>IF(H296&lt;&gt;"",EDATE(StartDate,293),"")</f>
        <v/>
      </c>
      <c r="J296" s="14">
        <f>IF(H296&lt;&gt;"",MIN(MonthlyPmt,M295+K296),"")</f>
        <v/>
      </c>
      <c r="K296" s="14">
        <f>IF(H296&lt;&gt;"",ROUND(M295*AnnualRate/12,2),"")</f>
        <v/>
      </c>
      <c r="L296" s="14">
        <f>IF(H296&lt;&gt;"",MIN(M295,(J296-K296)+SUMPRODUCT(($B$21:$B$30&lt;&gt;"")*($B$21:$B$30&lt;=I296)*(($C$21:$C$30="")+($C$21:$C$30&lt;&gt;"")*($C$21:$C$30&gt;=I296))*($E$21:$E$30="Monthly")*$D$21:$D$30)+SUMPRODUCT(($B$21:$B$30&lt;&gt;"")*($B$21:$B$30&lt;=I296)*(($C$21:$C$30="")+($C$21:$C$30&lt;&gt;"")*($C$21:$C$30&gt;=I296))*($E$21:$E$30="Annual")*(MONTH($B$21:$B$30)=MONTH(I296))*$D$21:$D$30)+SUMPRODUCT(($B$34:$B$48&lt;&gt;"")*(YEAR($B$34:$B$48)=YEAR(I296))*(MONTH($B$34:$B$48)=MONTH(I296))*$C$34:$C$48)),"")</f>
        <v/>
      </c>
      <c r="M296" s="14">
        <f>IF(H296&lt;&gt;"",ROUND(M295-L296,2),"")</f>
        <v/>
      </c>
      <c r="N296" s="10">
        <f>IF(H296&lt;&gt;"",N295+L296,"")</f>
        <v/>
      </c>
      <c r="O296" s="10">
        <f>IF(H296&lt;&gt;"",O295+K296,"")</f>
        <v/>
      </c>
    </row>
    <row r="297">
      <c r="H297" s="7">
        <f>IF(AND(M296&gt;0.005,H296&lt;&gt;""),295,"")</f>
        <v/>
      </c>
      <c r="I297" s="8">
        <f>IF(H297&lt;&gt;"",EDATE(StartDate,294),"")</f>
        <v/>
      </c>
      <c r="J297" s="9">
        <f>IF(H297&lt;&gt;"",MIN(MonthlyPmt,M296+K297),"")</f>
        <v/>
      </c>
      <c r="K297" s="9">
        <f>IF(H297&lt;&gt;"",ROUND(M296*AnnualRate/12,2),"")</f>
        <v/>
      </c>
      <c r="L297" s="9">
        <f>IF(H297&lt;&gt;"",MIN(M296,(J297-K297)+SUMPRODUCT(($B$21:$B$30&lt;&gt;"")*($B$21:$B$30&lt;=I297)*(($C$21:$C$30="")+($C$21:$C$30&lt;&gt;"")*($C$21:$C$30&gt;=I297))*($E$21:$E$30="Monthly")*$D$21:$D$30)+SUMPRODUCT(($B$21:$B$30&lt;&gt;"")*($B$21:$B$30&lt;=I297)*(($C$21:$C$30="")+($C$21:$C$30&lt;&gt;"")*($C$21:$C$30&gt;=I297))*($E$21:$E$30="Annual")*(MONTH($B$21:$B$30)=MONTH(I297))*$D$21:$D$30)+SUMPRODUCT(($B$34:$B$48&lt;&gt;"")*(YEAR($B$34:$B$48)=YEAR(I297))*(MONTH($B$34:$B$48)=MONTH(I297))*$C$34:$C$48)),"")</f>
        <v/>
      </c>
      <c r="M297" s="9">
        <f>IF(H297&lt;&gt;"",ROUND(M296-L297,2),"")</f>
        <v/>
      </c>
      <c r="N297" s="10">
        <f>IF(H297&lt;&gt;"",N296+L297,"")</f>
        <v/>
      </c>
      <c r="O297" s="10">
        <f>IF(H297&lt;&gt;"",O296+K297,"")</f>
        <v/>
      </c>
    </row>
    <row r="298">
      <c r="H298" s="12">
        <f>IF(AND(M297&gt;0.005,H297&lt;&gt;""),296,"")</f>
        <v/>
      </c>
      <c r="I298" s="13">
        <f>IF(H298&lt;&gt;"",EDATE(StartDate,295),"")</f>
        <v/>
      </c>
      <c r="J298" s="14">
        <f>IF(H298&lt;&gt;"",MIN(MonthlyPmt,M297+K298),"")</f>
        <v/>
      </c>
      <c r="K298" s="14">
        <f>IF(H298&lt;&gt;"",ROUND(M297*AnnualRate/12,2),"")</f>
        <v/>
      </c>
      <c r="L298" s="14">
        <f>IF(H298&lt;&gt;"",MIN(M297,(J298-K298)+SUMPRODUCT(($B$21:$B$30&lt;&gt;"")*($B$21:$B$30&lt;=I298)*(($C$21:$C$30="")+($C$21:$C$30&lt;&gt;"")*($C$21:$C$30&gt;=I298))*($E$21:$E$30="Monthly")*$D$21:$D$30)+SUMPRODUCT(($B$21:$B$30&lt;&gt;"")*($B$21:$B$30&lt;=I298)*(($C$21:$C$30="")+($C$21:$C$30&lt;&gt;"")*($C$21:$C$30&gt;=I298))*($E$21:$E$30="Annual")*(MONTH($B$21:$B$30)=MONTH(I298))*$D$21:$D$30)+SUMPRODUCT(($B$34:$B$48&lt;&gt;"")*(YEAR($B$34:$B$48)=YEAR(I298))*(MONTH($B$34:$B$48)=MONTH(I298))*$C$34:$C$48)),"")</f>
        <v/>
      </c>
      <c r="M298" s="14">
        <f>IF(H298&lt;&gt;"",ROUND(M297-L298,2),"")</f>
        <v/>
      </c>
      <c r="N298" s="10">
        <f>IF(H298&lt;&gt;"",N297+L298,"")</f>
        <v/>
      </c>
      <c r="O298" s="10">
        <f>IF(H298&lt;&gt;"",O297+K298,"")</f>
        <v/>
      </c>
    </row>
    <row r="299">
      <c r="H299" s="7">
        <f>IF(AND(M298&gt;0.005,H298&lt;&gt;""),297,"")</f>
        <v/>
      </c>
      <c r="I299" s="8">
        <f>IF(H299&lt;&gt;"",EDATE(StartDate,296),"")</f>
        <v/>
      </c>
      <c r="J299" s="9">
        <f>IF(H299&lt;&gt;"",MIN(MonthlyPmt,M298+K299),"")</f>
        <v/>
      </c>
      <c r="K299" s="9">
        <f>IF(H299&lt;&gt;"",ROUND(M298*AnnualRate/12,2),"")</f>
        <v/>
      </c>
      <c r="L299" s="9">
        <f>IF(H299&lt;&gt;"",MIN(M298,(J299-K299)+SUMPRODUCT(($B$21:$B$30&lt;&gt;"")*($B$21:$B$30&lt;=I299)*(($C$21:$C$30="")+($C$21:$C$30&lt;&gt;"")*($C$21:$C$30&gt;=I299))*($E$21:$E$30="Monthly")*$D$21:$D$30)+SUMPRODUCT(($B$21:$B$30&lt;&gt;"")*($B$21:$B$30&lt;=I299)*(($C$21:$C$30="")+($C$21:$C$30&lt;&gt;"")*($C$21:$C$30&gt;=I299))*($E$21:$E$30="Annual")*(MONTH($B$21:$B$30)=MONTH(I299))*$D$21:$D$30)+SUMPRODUCT(($B$34:$B$48&lt;&gt;"")*(YEAR($B$34:$B$48)=YEAR(I299))*(MONTH($B$34:$B$48)=MONTH(I299))*$C$34:$C$48)),"")</f>
        <v/>
      </c>
      <c r="M299" s="9">
        <f>IF(H299&lt;&gt;"",ROUND(M298-L299,2),"")</f>
        <v/>
      </c>
      <c r="N299" s="10">
        <f>IF(H299&lt;&gt;"",N298+L299,"")</f>
        <v/>
      </c>
      <c r="O299" s="10">
        <f>IF(H299&lt;&gt;"",O298+K299,"")</f>
        <v/>
      </c>
    </row>
    <row r="300">
      <c r="H300" s="12">
        <f>IF(AND(M299&gt;0.005,H299&lt;&gt;""),298,"")</f>
        <v/>
      </c>
      <c r="I300" s="13">
        <f>IF(H300&lt;&gt;"",EDATE(StartDate,297),"")</f>
        <v/>
      </c>
      <c r="J300" s="14">
        <f>IF(H300&lt;&gt;"",MIN(MonthlyPmt,M299+K300),"")</f>
        <v/>
      </c>
      <c r="K300" s="14">
        <f>IF(H300&lt;&gt;"",ROUND(M299*AnnualRate/12,2),"")</f>
        <v/>
      </c>
      <c r="L300" s="14">
        <f>IF(H300&lt;&gt;"",MIN(M299,(J300-K300)+SUMPRODUCT(($B$21:$B$30&lt;&gt;"")*($B$21:$B$30&lt;=I300)*(($C$21:$C$30="")+($C$21:$C$30&lt;&gt;"")*($C$21:$C$30&gt;=I300))*($E$21:$E$30="Monthly")*$D$21:$D$30)+SUMPRODUCT(($B$21:$B$30&lt;&gt;"")*($B$21:$B$30&lt;=I300)*(($C$21:$C$30="")+($C$21:$C$30&lt;&gt;"")*($C$21:$C$30&gt;=I300))*($E$21:$E$30="Annual")*(MONTH($B$21:$B$30)=MONTH(I300))*$D$21:$D$30)+SUMPRODUCT(($B$34:$B$48&lt;&gt;"")*(YEAR($B$34:$B$48)=YEAR(I300))*(MONTH($B$34:$B$48)=MONTH(I300))*$C$34:$C$48)),"")</f>
        <v/>
      </c>
      <c r="M300" s="14">
        <f>IF(H300&lt;&gt;"",ROUND(M299-L300,2),"")</f>
        <v/>
      </c>
      <c r="N300" s="10">
        <f>IF(H300&lt;&gt;"",N299+L300,"")</f>
        <v/>
      </c>
      <c r="O300" s="10">
        <f>IF(H300&lt;&gt;"",O299+K300,"")</f>
        <v/>
      </c>
    </row>
    <row r="301">
      <c r="H301" s="7">
        <f>IF(AND(M300&gt;0.005,H300&lt;&gt;""),299,"")</f>
        <v/>
      </c>
      <c r="I301" s="8">
        <f>IF(H301&lt;&gt;"",EDATE(StartDate,298),"")</f>
        <v/>
      </c>
      <c r="J301" s="9">
        <f>IF(H301&lt;&gt;"",MIN(MonthlyPmt,M300+K301),"")</f>
        <v/>
      </c>
      <c r="K301" s="9">
        <f>IF(H301&lt;&gt;"",ROUND(M300*AnnualRate/12,2),"")</f>
        <v/>
      </c>
      <c r="L301" s="9">
        <f>IF(H301&lt;&gt;"",MIN(M300,(J301-K301)+SUMPRODUCT(($B$21:$B$30&lt;&gt;"")*($B$21:$B$30&lt;=I301)*(($C$21:$C$30="")+($C$21:$C$30&lt;&gt;"")*($C$21:$C$30&gt;=I301))*($E$21:$E$30="Monthly")*$D$21:$D$30)+SUMPRODUCT(($B$21:$B$30&lt;&gt;"")*($B$21:$B$30&lt;=I301)*(($C$21:$C$30="")+($C$21:$C$30&lt;&gt;"")*($C$21:$C$30&gt;=I301))*($E$21:$E$30="Annual")*(MONTH($B$21:$B$30)=MONTH(I301))*$D$21:$D$30)+SUMPRODUCT(($B$34:$B$48&lt;&gt;"")*(YEAR($B$34:$B$48)=YEAR(I301))*(MONTH($B$34:$B$48)=MONTH(I301))*$C$34:$C$48)),"")</f>
        <v/>
      </c>
      <c r="M301" s="9">
        <f>IF(H301&lt;&gt;"",ROUND(M300-L301,2),"")</f>
        <v/>
      </c>
      <c r="N301" s="10">
        <f>IF(H301&lt;&gt;"",N300+L301,"")</f>
        <v/>
      </c>
      <c r="O301" s="10">
        <f>IF(H301&lt;&gt;"",O300+K301,"")</f>
        <v/>
      </c>
    </row>
    <row r="302">
      <c r="H302" s="12">
        <f>IF(AND(M301&gt;0.005,H301&lt;&gt;""),300,"")</f>
        <v/>
      </c>
      <c r="I302" s="13">
        <f>IF(H302&lt;&gt;"",EDATE(StartDate,299),"")</f>
        <v/>
      </c>
      <c r="J302" s="14">
        <f>IF(H302&lt;&gt;"",MIN(MonthlyPmt,M301+K302),"")</f>
        <v/>
      </c>
      <c r="K302" s="14">
        <f>IF(H302&lt;&gt;"",ROUND(M301*AnnualRate/12,2),"")</f>
        <v/>
      </c>
      <c r="L302" s="14">
        <f>IF(H302&lt;&gt;"",MIN(M301,(J302-K302)+SUMPRODUCT(($B$21:$B$30&lt;&gt;"")*($B$21:$B$30&lt;=I302)*(($C$21:$C$30="")+($C$21:$C$30&lt;&gt;"")*($C$21:$C$30&gt;=I302))*($E$21:$E$30="Monthly")*$D$21:$D$30)+SUMPRODUCT(($B$21:$B$30&lt;&gt;"")*($B$21:$B$30&lt;=I302)*(($C$21:$C$30="")+($C$21:$C$30&lt;&gt;"")*($C$21:$C$30&gt;=I302))*($E$21:$E$30="Annual")*(MONTH($B$21:$B$30)=MONTH(I302))*$D$21:$D$30)+SUMPRODUCT(($B$34:$B$48&lt;&gt;"")*(YEAR($B$34:$B$48)=YEAR(I302))*(MONTH($B$34:$B$48)=MONTH(I302))*$C$34:$C$48)),"")</f>
        <v/>
      </c>
      <c r="M302" s="14">
        <f>IF(H302&lt;&gt;"",ROUND(M301-L302,2),"")</f>
        <v/>
      </c>
      <c r="N302" s="10">
        <f>IF(H302&lt;&gt;"",N301+L302,"")</f>
        <v/>
      </c>
      <c r="O302" s="10">
        <f>IF(H302&lt;&gt;"",O301+K302,"")</f>
        <v/>
      </c>
    </row>
    <row r="303">
      <c r="H303" s="7">
        <f>IF(AND(M302&gt;0.005,H302&lt;&gt;""),301,"")</f>
        <v/>
      </c>
      <c r="I303" s="8">
        <f>IF(H303&lt;&gt;"",EDATE(StartDate,300),"")</f>
        <v/>
      </c>
      <c r="J303" s="9">
        <f>IF(H303&lt;&gt;"",MIN(MonthlyPmt,M302+K303),"")</f>
        <v/>
      </c>
      <c r="K303" s="9">
        <f>IF(H303&lt;&gt;"",ROUND(M302*AnnualRate/12,2),"")</f>
        <v/>
      </c>
      <c r="L303" s="9">
        <f>IF(H303&lt;&gt;"",MIN(M302,(J303-K303)+SUMPRODUCT(($B$21:$B$30&lt;&gt;"")*($B$21:$B$30&lt;=I303)*(($C$21:$C$30="")+($C$21:$C$30&lt;&gt;"")*($C$21:$C$30&gt;=I303))*($E$21:$E$30="Monthly")*$D$21:$D$30)+SUMPRODUCT(($B$21:$B$30&lt;&gt;"")*($B$21:$B$30&lt;=I303)*(($C$21:$C$30="")+($C$21:$C$30&lt;&gt;"")*($C$21:$C$30&gt;=I303))*($E$21:$E$30="Annual")*(MONTH($B$21:$B$30)=MONTH(I303))*$D$21:$D$30)+SUMPRODUCT(($B$34:$B$48&lt;&gt;"")*(YEAR($B$34:$B$48)=YEAR(I303))*(MONTH($B$34:$B$48)=MONTH(I303))*$C$34:$C$48)),"")</f>
        <v/>
      </c>
      <c r="M303" s="9">
        <f>IF(H303&lt;&gt;"",ROUND(M302-L303,2),"")</f>
        <v/>
      </c>
      <c r="N303" s="10">
        <f>IF(H303&lt;&gt;"",N302+L303,"")</f>
        <v/>
      </c>
      <c r="O303" s="10">
        <f>IF(H303&lt;&gt;"",O302+K303,"")</f>
        <v/>
      </c>
    </row>
    <row r="304">
      <c r="H304" s="12">
        <f>IF(AND(M303&gt;0.005,H303&lt;&gt;""),302,"")</f>
        <v/>
      </c>
      <c r="I304" s="13">
        <f>IF(H304&lt;&gt;"",EDATE(StartDate,301),"")</f>
        <v/>
      </c>
      <c r="J304" s="14">
        <f>IF(H304&lt;&gt;"",MIN(MonthlyPmt,M303+K304),"")</f>
        <v/>
      </c>
      <c r="K304" s="14">
        <f>IF(H304&lt;&gt;"",ROUND(M303*AnnualRate/12,2),"")</f>
        <v/>
      </c>
      <c r="L304" s="14">
        <f>IF(H304&lt;&gt;"",MIN(M303,(J304-K304)+SUMPRODUCT(($B$21:$B$30&lt;&gt;"")*($B$21:$B$30&lt;=I304)*(($C$21:$C$30="")+($C$21:$C$30&lt;&gt;"")*($C$21:$C$30&gt;=I304))*($E$21:$E$30="Monthly")*$D$21:$D$30)+SUMPRODUCT(($B$21:$B$30&lt;&gt;"")*($B$21:$B$30&lt;=I304)*(($C$21:$C$30="")+($C$21:$C$30&lt;&gt;"")*($C$21:$C$30&gt;=I304))*($E$21:$E$30="Annual")*(MONTH($B$21:$B$30)=MONTH(I304))*$D$21:$D$30)+SUMPRODUCT(($B$34:$B$48&lt;&gt;"")*(YEAR($B$34:$B$48)=YEAR(I304))*(MONTH($B$34:$B$48)=MONTH(I304))*$C$34:$C$48)),"")</f>
        <v/>
      </c>
      <c r="M304" s="14">
        <f>IF(H304&lt;&gt;"",ROUND(M303-L304,2),"")</f>
        <v/>
      </c>
      <c r="N304" s="10">
        <f>IF(H304&lt;&gt;"",N303+L304,"")</f>
        <v/>
      </c>
      <c r="O304" s="10">
        <f>IF(H304&lt;&gt;"",O303+K304,"")</f>
        <v/>
      </c>
    </row>
    <row r="305">
      <c r="H305" s="7">
        <f>IF(AND(M304&gt;0.005,H304&lt;&gt;""),303,"")</f>
        <v/>
      </c>
      <c r="I305" s="8">
        <f>IF(H305&lt;&gt;"",EDATE(StartDate,302),"")</f>
        <v/>
      </c>
      <c r="J305" s="9">
        <f>IF(H305&lt;&gt;"",MIN(MonthlyPmt,M304+K305),"")</f>
        <v/>
      </c>
      <c r="K305" s="9">
        <f>IF(H305&lt;&gt;"",ROUND(M304*AnnualRate/12,2),"")</f>
        <v/>
      </c>
      <c r="L305" s="9">
        <f>IF(H305&lt;&gt;"",MIN(M304,(J305-K305)+SUMPRODUCT(($B$21:$B$30&lt;&gt;"")*($B$21:$B$30&lt;=I305)*(($C$21:$C$30="")+($C$21:$C$30&lt;&gt;"")*($C$21:$C$30&gt;=I305))*($E$21:$E$30="Monthly")*$D$21:$D$30)+SUMPRODUCT(($B$21:$B$30&lt;&gt;"")*($B$21:$B$30&lt;=I305)*(($C$21:$C$30="")+($C$21:$C$30&lt;&gt;"")*($C$21:$C$30&gt;=I305))*($E$21:$E$30="Annual")*(MONTH($B$21:$B$30)=MONTH(I305))*$D$21:$D$30)+SUMPRODUCT(($B$34:$B$48&lt;&gt;"")*(YEAR($B$34:$B$48)=YEAR(I305))*(MONTH($B$34:$B$48)=MONTH(I305))*$C$34:$C$48)),"")</f>
        <v/>
      </c>
      <c r="M305" s="9">
        <f>IF(H305&lt;&gt;"",ROUND(M304-L305,2),"")</f>
        <v/>
      </c>
      <c r="N305" s="10">
        <f>IF(H305&lt;&gt;"",N304+L305,"")</f>
        <v/>
      </c>
      <c r="O305" s="10">
        <f>IF(H305&lt;&gt;"",O304+K305,"")</f>
        <v/>
      </c>
    </row>
    <row r="306">
      <c r="H306" s="12">
        <f>IF(AND(M305&gt;0.005,H305&lt;&gt;""),304,"")</f>
        <v/>
      </c>
      <c r="I306" s="13">
        <f>IF(H306&lt;&gt;"",EDATE(StartDate,303),"")</f>
        <v/>
      </c>
      <c r="J306" s="14">
        <f>IF(H306&lt;&gt;"",MIN(MonthlyPmt,M305+K306),"")</f>
        <v/>
      </c>
      <c r="K306" s="14">
        <f>IF(H306&lt;&gt;"",ROUND(M305*AnnualRate/12,2),"")</f>
        <v/>
      </c>
      <c r="L306" s="14">
        <f>IF(H306&lt;&gt;"",MIN(M305,(J306-K306)+SUMPRODUCT(($B$21:$B$30&lt;&gt;"")*($B$21:$B$30&lt;=I306)*(($C$21:$C$30="")+($C$21:$C$30&lt;&gt;"")*($C$21:$C$30&gt;=I306))*($E$21:$E$30="Monthly")*$D$21:$D$30)+SUMPRODUCT(($B$21:$B$30&lt;&gt;"")*($B$21:$B$30&lt;=I306)*(($C$21:$C$30="")+($C$21:$C$30&lt;&gt;"")*($C$21:$C$30&gt;=I306))*($E$21:$E$30="Annual")*(MONTH($B$21:$B$30)=MONTH(I306))*$D$21:$D$30)+SUMPRODUCT(($B$34:$B$48&lt;&gt;"")*(YEAR($B$34:$B$48)=YEAR(I306))*(MONTH($B$34:$B$48)=MONTH(I306))*$C$34:$C$48)),"")</f>
        <v/>
      </c>
      <c r="M306" s="14">
        <f>IF(H306&lt;&gt;"",ROUND(M305-L306,2),"")</f>
        <v/>
      </c>
      <c r="N306" s="10">
        <f>IF(H306&lt;&gt;"",N305+L306,"")</f>
        <v/>
      </c>
      <c r="O306" s="10">
        <f>IF(H306&lt;&gt;"",O305+K306,"")</f>
        <v/>
      </c>
    </row>
    <row r="307">
      <c r="H307" s="7">
        <f>IF(AND(M306&gt;0.005,H306&lt;&gt;""),305,"")</f>
        <v/>
      </c>
      <c r="I307" s="8">
        <f>IF(H307&lt;&gt;"",EDATE(StartDate,304),"")</f>
        <v/>
      </c>
      <c r="J307" s="9">
        <f>IF(H307&lt;&gt;"",MIN(MonthlyPmt,M306+K307),"")</f>
        <v/>
      </c>
      <c r="K307" s="9">
        <f>IF(H307&lt;&gt;"",ROUND(M306*AnnualRate/12,2),"")</f>
        <v/>
      </c>
      <c r="L307" s="9">
        <f>IF(H307&lt;&gt;"",MIN(M306,(J307-K307)+SUMPRODUCT(($B$21:$B$30&lt;&gt;"")*($B$21:$B$30&lt;=I307)*(($C$21:$C$30="")+($C$21:$C$30&lt;&gt;"")*($C$21:$C$30&gt;=I307))*($E$21:$E$30="Monthly")*$D$21:$D$30)+SUMPRODUCT(($B$21:$B$30&lt;&gt;"")*($B$21:$B$30&lt;=I307)*(($C$21:$C$30="")+($C$21:$C$30&lt;&gt;"")*($C$21:$C$30&gt;=I307))*($E$21:$E$30="Annual")*(MONTH($B$21:$B$30)=MONTH(I307))*$D$21:$D$30)+SUMPRODUCT(($B$34:$B$48&lt;&gt;"")*(YEAR($B$34:$B$48)=YEAR(I307))*(MONTH($B$34:$B$48)=MONTH(I307))*$C$34:$C$48)),"")</f>
        <v/>
      </c>
      <c r="M307" s="9">
        <f>IF(H307&lt;&gt;"",ROUND(M306-L307,2),"")</f>
        <v/>
      </c>
      <c r="N307" s="10">
        <f>IF(H307&lt;&gt;"",N306+L307,"")</f>
        <v/>
      </c>
      <c r="O307" s="10">
        <f>IF(H307&lt;&gt;"",O306+K307,"")</f>
        <v/>
      </c>
    </row>
    <row r="308">
      <c r="H308" s="12">
        <f>IF(AND(M307&gt;0.005,H307&lt;&gt;""),306,"")</f>
        <v/>
      </c>
      <c r="I308" s="13">
        <f>IF(H308&lt;&gt;"",EDATE(StartDate,305),"")</f>
        <v/>
      </c>
      <c r="J308" s="14">
        <f>IF(H308&lt;&gt;"",MIN(MonthlyPmt,M307+K308),"")</f>
        <v/>
      </c>
      <c r="K308" s="14">
        <f>IF(H308&lt;&gt;"",ROUND(M307*AnnualRate/12,2),"")</f>
        <v/>
      </c>
      <c r="L308" s="14">
        <f>IF(H308&lt;&gt;"",MIN(M307,(J308-K308)+SUMPRODUCT(($B$21:$B$30&lt;&gt;"")*($B$21:$B$30&lt;=I308)*(($C$21:$C$30="")+($C$21:$C$30&lt;&gt;"")*($C$21:$C$30&gt;=I308))*($E$21:$E$30="Monthly")*$D$21:$D$30)+SUMPRODUCT(($B$21:$B$30&lt;&gt;"")*($B$21:$B$30&lt;=I308)*(($C$21:$C$30="")+($C$21:$C$30&lt;&gt;"")*($C$21:$C$30&gt;=I308))*($E$21:$E$30="Annual")*(MONTH($B$21:$B$30)=MONTH(I308))*$D$21:$D$30)+SUMPRODUCT(($B$34:$B$48&lt;&gt;"")*(YEAR($B$34:$B$48)=YEAR(I308))*(MONTH($B$34:$B$48)=MONTH(I308))*$C$34:$C$48)),"")</f>
        <v/>
      </c>
      <c r="M308" s="14">
        <f>IF(H308&lt;&gt;"",ROUND(M307-L308,2),"")</f>
        <v/>
      </c>
      <c r="N308" s="10">
        <f>IF(H308&lt;&gt;"",N307+L308,"")</f>
        <v/>
      </c>
      <c r="O308" s="10">
        <f>IF(H308&lt;&gt;"",O307+K308,"")</f>
        <v/>
      </c>
    </row>
    <row r="309">
      <c r="H309" s="7">
        <f>IF(AND(M308&gt;0.005,H308&lt;&gt;""),307,"")</f>
        <v/>
      </c>
      <c r="I309" s="8">
        <f>IF(H309&lt;&gt;"",EDATE(StartDate,306),"")</f>
        <v/>
      </c>
      <c r="J309" s="9">
        <f>IF(H309&lt;&gt;"",MIN(MonthlyPmt,M308+K309),"")</f>
        <v/>
      </c>
      <c r="K309" s="9">
        <f>IF(H309&lt;&gt;"",ROUND(M308*AnnualRate/12,2),"")</f>
        <v/>
      </c>
      <c r="L309" s="9">
        <f>IF(H309&lt;&gt;"",MIN(M308,(J309-K309)+SUMPRODUCT(($B$21:$B$30&lt;&gt;"")*($B$21:$B$30&lt;=I309)*(($C$21:$C$30="")+($C$21:$C$30&lt;&gt;"")*($C$21:$C$30&gt;=I309))*($E$21:$E$30="Monthly")*$D$21:$D$30)+SUMPRODUCT(($B$21:$B$30&lt;&gt;"")*($B$21:$B$30&lt;=I309)*(($C$21:$C$30="")+($C$21:$C$30&lt;&gt;"")*($C$21:$C$30&gt;=I309))*($E$21:$E$30="Annual")*(MONTH($B$21:$B$30)=MONTH(I309))*$D$21:$D$30)+SUMPRODUCT(($B$34:$B$48&lt;&gt;"")*(YEAR($B$34:$B$48)=YEAR(I309))*(MONTH($B$34:$B$48)=MONTH(I309))*$C$34:$C$48)),"")</f>
        <v/>
      </c>
      <c r="M309" s="9">
        <f>IF(H309&lt;&gt;"",ROUND(M308-L309,2),"")</f>
        <v/>
      </c>
      <c r="N309" s="10">
        <f>IF(H309&lt;&gt;"",N308+L309,"")</f>
        <v/>
      </c>
      <c r="O309" s="10">
        <f>IF(H309&lt;&gt;"",O308+K309,"")</f>
        <v/>
      </c>
    </row>
    <row r="310">
      <c r="H310" s="12">
        <f>IF(AND(M309&gt;0.005,H309&lt;&gt;""),308,"")</f>
        <v/>
      </c>
      <c r="I310" s="13">
        <f>IF(H310&lt;&gt;"",EDATE(StartDate,307),"")</f>
        <v/>
      </c>
      <c r="J310" s="14">
        <f>IF(H310&lt;&gt;"",MIN(MonthlyPmt,M309+K310),"")</f>
        <v/>
      </c>
      <c r="K310" s="14">
        <f>IF(H310&lt;&gt;"",ROUND(M309*AnnualRate/12,2),"")</f>
        <v/>
      </c>
      <c r="L310" s="14">
        <f>IF(H310&lt;&gt;"",MIN(M309,(J310-K310)+SUMPRODUCT(($B$21:$B$30&lt;&gt;"")*($B$21:$B$30&lt;=I310)*(($C$21:$C$30="")+($C$21:$C$30&lt;&gt;"")*($C$21:$C$30&gt;=I310))*($E$21:$E$30="Monthly")*$D$21:$D$30)+SUMPRODUCT(($B$21:$B$30&lt;&gt;"")*($B$21:$B$30&lt;=I310)*(($C$21:$C$30="")+($C$21:$C$30&lt;&gt;"")*($C$21:$C$30&gt;=I310))*($E$21:$E$30="Annual")*(MONTH($B$21:$B$30)=MONTH(I310))*$D$21:$D$30)+SUMPRODUCT(($B$34:$B$48&lt;&gt;"")*(YEAR($B$34:$B$48)=YEAR(I310))*(MONTH($B$34:$B$48)=MONTH(I310))*$C$34:$C$48)),"")</f>
        <v/>
      </c>
      <c r="M310" s="14">
        <f>IF(H310&lt;&gt;"",ROUND(M309-L310,2),"")</f>
        <v/>
      </c>
      <c r="N310" s="10">
        <f>IF(H310&lt;&gt;"",N309+L310,"")</f>
        <v/>
      </c>
      <c r="O310" s="10">
        <f>IF(H310&lt;&gt;"",O309+K310,"")</f>
        <v/>
      </c>
    </row>
    <row r="311">
      <c r="H311" s="7">
        <f>IF(AND(M310&gt;0.005,H310&lt;&gt;""),309,"")</f>
        <v/>
      </c>
      <c r="I311" s="8">
        <f>IF(H311&lt;&gt;"",EDATE(StartDate,308),"")</f>
        <v/>
      </c>
      <c r="J311" s="9">
        <f>IF(H311&lt;&gt;"",MIN(MonthlyPmt,M310+K311),"")</f>
        <v/>
      </c>
      <c r="K311" s="9">
        <f>IF(H311&lt;&gt;"",ROUND(M310*AnnualRate/12,2),"")</f>
        <v/>
      </c>
      <c r="L311" s="9">
        <f>IF(H311&lt;&gt;"",MIN(M310,(J311-K311)+SUMPRODUCT(($B$21:$B$30&lt;&gt;"")*($B$21:$B$30&lt;=I311)*(($C$21:$C$30="")+($C$21:$C$30&lt;&gt;"")*($C$21:$C$30&gt;=I311))*($E$21:$E$30="Monthly")*$D$21:$D$30)+SUMPRODUCT(($B$21:$B$30&lt;&gt;"")*($B$21:$B$30&lt;=I311)*(($C$21:$C$30="")+($C$21:$C$30&lt;&gt;"")*($C$21:$C$30&gt;=I311))*($E$21:$E$30="Annual")*(MONTH($B$21:$B$30)=MONTH(I311))*$D$21:$D$30)+SUMPRODUCT(($B$34:$B$48&lt;&gt;"")*(YEAR($B$34:$B$48)=YEAR(I311))*(MONTH($B$34:$B$48)=MONTH(I311))*$C$34:$C$48)),"")</f>
        <v/>
      </c>
      <c r="M311" s="9">
        <f>IF(H311&lt;&gt;"",ROUND(M310-L311,2),"")</f>
        <v/>
      </c>
      <c r="N311" s="10">
        <f>IF(H311&lt;&gt;"",N310+L311,"")</f>
        <v/>
      </c>
      <c r="O311" s="10">
        <f>IF(H311&lt;&gt;"",O310+K311,"")</f>
        <v/>
      </c>
    </row>
    <row r="312">
      <c r="H312" s="12">
        <f>IF(AND(M311&gt;0.005,H311&lt;&gt;""),310,"")</f>
        <v/>
      </c>
      <c r="I312" s="13">
        <f>IF(H312&lt;&gt;"",EDATE(StartDate,309),"")</f>
        <v/>
      </c>
      <c r="J312" s="14">
        <f>IF(H312&lt;&gt;"",MIN(MonthlyPmt,M311+K312),"")</f>
        <v/>
      </c>
      <c r="K312" s="14">
        <f>IF(H312&lt;&gt;"",ROUND(M311*AnnualRate/12,2),"")</f>
        <v/>
      </c>
      <c r="L312" s="14">
        <f>IF(H312&lt;&gt;"",MIN(M311,(J312-K312)+SUMPRODUCT(($B$21:$B$30&lt;&gt;"")*($B$21:$B$30&lt;=I312)*(($C$21:$C$30="")+($C$21:$C$30&lt;&gt;"")*($C$21:$C$30&gt;=I312))*($E$21:$E$30="Monthly")*$D$21:$D$30)+SUMPRODUCT(($B$21:$B$30&lt;&gt;"")*($B$21:$B$30&lt;=I312)*(($C$21:$C$30="")+($C$21:$C$30&lt;&gt;"")*($C$21:$C$30&gt;=I312))*($E$21:$E$30="Annual")*(MONTH($B$21:$B$30)=MONTH(I312))*$D$21:$D$30)+SUMPRODUCT(($B$34:$B$48&lt;&gt;"")*(YEAR($B$34:$B$48)=YEAR(I312))*(MONTH($B$34:$B$48)=MONTH(I312))*$C$34:$C$48)),"")</f>
        <v/>
      </c>
      <c r="M312" s="14">
        <f>IF(H312&lt;&gt;"",ROUND(M311-L312,2),"")</f>
        <v/>
      </c>
      <c r="N312" s="10">
        <f>IF(H312&lt;&gt;"",N311+L312,"")</f>
        <v/>
      </c>
      <c r="O312" s="10">
        <f>IF(H312&lt;&gt;"",O311+K312,"")</f>
        <v/>
      </c>
    </row>
    <row r="313">
      <c r="H313" s="7">
        <f>IF(AND(M312&gt;0.005,H312&lt;&gt;""),311,"")</f>
        <v/>
      </c>
      <c r="I313" s="8">
        <f>IF(H313&lt;&gt;"",EDATE(StartDate,310),"")</f>
        <v/>
      </c>
      <c r="J313" s="9">
        <f>IF(H313&lt;&gt;"",MIN(MonthlyPmt,M312+K313),"")</f>
        <v/>
      </c>
      <c r="K313" s="9">
        <f>IF(H313&lt;&gt;"",ROUND(M312*AnnualRate/12,2),"")</f>
        <v/>
      </c>
      <c r="L313" s="9">
        <f>IF(H313&lt;&gt;"",MIN(M312,(J313-K313)+SUMPRODUCT(($B$21:$B$30&lt;&gt;"")*($B$21:$B$30&lt;=I313)*(($C$21:$C$30="")+($C$21:$C$30&lt;&gt;"")*($C$21:$C$30&gt;=I313))*($E$21:$E$30="Monthly")*$D$21:$D$30)+SUMPRODUCT(($B$21:$B$30&lt;&gt;"")*($B$21:$B$30&lt;=I313)*(($C$21:$C$30="")+($C$21:$C$30&lt;&gt;"")*($C$21:$C$30&gt;=I313))*($E$21:$E$30="Annual")*(MONTH($B$21:$B$30)=MONTH(I313))*$D$21:$D$30)+SUMPRODUCT(($B$34:$B$48&lt;&gt;"")*(YEAR($B$34:$B$48)=YEAR(I313))*(MONTH($B$34:$B$48)=MONTH(I313))*$C$34:$C$48)),"")</f>
        <v/>
      </c>
      <c r="M313" s="9">
        <f>IF(H313&lt;&gt;"",ROUND(M312-L313,2),"")</f>
        <v/>
      </c>
      <c r="N313" s="10">
        <f>IF(H313&lt;&gt;"",N312+L313,"")</f>
        <v/>
      </c>
      <c r="O313" s="10">
        <f>IF(H313&lt;&gt;"",O312+K313,"")</f>
        <v/>
      </c>
    </row>
    <row r="314">
      <c r="H314" s="12">
        <f>IF(AND(M313&gt;0.005,H313&lt;&gt;""),312,"")</f>
        <v/>
      </c>
      <c r="I314" s="13">
        <f>IF(H314&lt;&gt;"",EDATE(StartDate,311),"")</f>
        <v/>
      </c>
      <c r="J314" s="14">
        <f>IF(H314&lt;&gt;"",MIN(MonthlyPmt,M313+K314),"")</f>
        <v/>
      </c>
      <c r="K314" s="14">
        <f>IF(H314&lt;&gt;"",ROUND(M313*AnnualRate/12,2),"")</f>
        <v/>
      </c>
      <c r="L314" s="14">
        <f>IF(H314&lt;&gt;"",MIN(M313,(J314-K314)+SUMPRODUCT(($B$21:$B$30&lt;&gt;"")*($B$21:$B$30&lt;=I314)*(($C$21:$C$30="")+($C$21:$C$30&lt;&gt;"")*($C$21:$C$30&gt;=I314))*($E$21:$E$30="Monthly")*$D$21:$D$30)+SUMPRODUCT(($B$21:$B$30&lt;&gt;"")*($B$21:$B$30&lt;=I314)*(($C$21:$C$30="")+($C$21:$C$30&lt;&gt;"")*($C$21:$C$30&gt;=I314))*($E$21:$E$30="Annual")*(MONTH($B$21:$B$30)=MONTH(I314))*$D$21:$D$30)+SUMPRODUCT(($B$34:$B$48&lt;&gt;"")*(YEAR($B$34:$B$48)=YEAR(I314))*(MONTH($B$34:$B$48)=MONTH(I314))*$C$34:$C$48)),"")</f>
        <v/>
      </c>
      <c r="M314" s="14">
        <f>IF(H314&lt;&gt;"",ROUND(M313-L314,2),"")</f>
        <v/>
      </c>
      <c r="N314" s="10">
        <f>IF(H314&lt;&gt;"",N313+L314,"")</f>
        <v/>
      </c>
      <c r="O314" s="10">
        <f>IF(H314&lt;&gt;"",O313+K314,"")</f>
        <v/>
      </c>
    </row>
    <row r="315">
      <c r="H315" s="7">
        <f>IF(AND(M314&gt;0.005,H314&lt;&gt;""),313,"")</f>
        <v/>
      </c>
      <c r="I315" s="8">
        <f>IF(H315&lt;&gt;"",EDATE(StartDate,312),"")</f>
        <v/>
      </c>
      <c r="J315" s="9">
        <f>IF(H315&lt;&gt;"",MIN(MonthlyPmt,M314+K315),"")</f>
        <v/>
      </c>
      <c r="K315" s="9">
        <f>IF(H315&lt;&gt;"",ROUND(M314*AnnualRate/12,2),"")</f>
        <v/>
      </c>
      <c r="L315" s="9">
        <f>IF(H315&lt;&gt;"",MIN(M314,(J315-K315)+SUMPRODUCT(($B$21:$B$30&lt;&gt;"")*($B$21:$B$30&lt;=I315)*(($C$21:$C$30="")+($C$21:$C$30&lt;&gt;"")*($C$21:$C$30&gt;=I315))*($E$21:$E$30="Monthly")*$D$21:$D$30)+SUMPRODUCT(($B$21:$B$30&lt;&gt;"")*($B$21:$B$30&lt;=I315)*(($C$21:$C$30="")+($C$21:$C$30&lt;&gt;"")*($C$21:$C$30&gt;=I315))*($E$21:$E$30="Annual")*(MONTH($B$21:$B$30)=MONTH(I315))*$D$21:$D$30)+SUMPRODUCT(($B$34:$B$48&lt;&gt;"")*(YEAR($B$34:$B$48)=YEAR(I315))*(MONTH($B$34:$B$48)=MONTH(I315))*$C$34:$C$48)),"")</f>
        <v/>
      </c>
      <c r="M315" s="9">
        <f>IF(H315&lt;&gt;"",ROUND(M314-L315,2),"")</f>
        <v/>
      </c>
      <c r="N315" s="10">
        <f>IF(H315&lt;&gt;"",N314+L315,"")</f>
        <v/>
      </c>
      <c r="O315" s="10">
        <f>IF(H315&lt;&gt;"",O314+K315,"")</f>
        <v/>
      </c>
    </row>
    <row r="316">
      <c r="H316" s="12">
        <f>IF(AND(M315&gt;0.005,H315&lt;&gt;""),314,"")</f>
        <v/>
      </c>
      <c r="I316" s="13">
        <f>IF(H316&lt;&gt;"",EDATE(StartDate,313),"")</f>
        <v/>
      </c>
      <c r="J316" s="14">
        <f>IF(H316&lt;&gt;"",MIN(MonthlyPmt,M315+K316),"")</f>
        <v/>
      </c>
      <c r="K316" s="14">
        <f>IF(H316&lt;&gt;"",ROUND(M315*AnnualRate/12,2),"")</f>
        <v/>
      </c>
      <c r="L316" s="14">
        <f>IF(H316&lt;&gt;"",MIN(M315,(J316-K316)+SUMPRODUCT(($B$21:$B$30&lt;&gt;"")*($B$21:$B$30&lt;=I316)*(($C$21:$C$30="")+($C$21:$C$30&lt;&gt;"")*($C$21:$C$30&gt;=I316))*($E$21:$E$30="Monthly")*$D$21:$D$30)+SUMPRODUCT(($B$21:$B$30&lt;&gt;"")*($B$21:$B$30&lt;=I316)*(($C$21:$C$30="")+($C$21:$C$30&lt;&gt;"")*($C$21:$C$30&gt;=I316))*($E$21:$E$30="Annual")*(MONTH($B$21:$B$30)=MONTH(I316))*$D$21:$D$30)+SUMPRODUCT(($B$34:$B$48&lt;&gt;"")*(YEAR($B$34:$B$48)=YEAR(I316))*(MONTH($B$34:$B$48)=MONTH(I316))*$C$34:$C$48)),"")</f>
        <v/>
      </c>
      <c r="M316" s="14">
        <f>IF(H316&lt;&gt;"",ROUND(M315-L316,2),"")</f>
        <v/>
      </c>
      <c r="N316" s="10">
        <f>IF(H316&lt;&gt;"",N315+L316,"")</f>
        <v/>
      </c>
      <c r="O316" s="10">
        <f>IF(H316&lt;&gt;"",O315+K316,"")</f>
        <v/>
      </c>
    </row>
    <row r="317">
      <c r="H317" s="7">
        <f>IF(AND(M316&gt;0.005,H316&lt;&gt;""),315,"")</f>
        <v/>
      </c>
      <c r="I317" s="8">
        <f>IF(H317&lt;&gt;"",EDATE(StartDate,314),"")</f>
        <v/>
      </c>
      <c r="J317" s="9">
        <f>IF(H317&lt;&gt;"",MIN(MonthlyPmt,M316+K317),"")</f>
        <v/>
      </c>
      <c r="K317" s="9">
        <f>IF(H317&lt;&gt;"",ROUND(M316*AnnualRate/12,2),"")</f>
        <v/>
      </c>
      <c r="L317" s="9">
        <f>IF(H317&lt;&gt;"",MIN(M316,(J317-K317)+SUMPRODUCT(($B$21:$B$30&lt;&gt;"")*($B$21:$B$30&lt;=I317)*(($C$21:$C$30="")+($C$21:$C$30&lt;&gt;"")*($C$21:$C$30&gt;=I317))*($E$21:$E$30="Monthly")*$D$21:$D$30)+SUMPRODUCT(($B$21:$B$30&lt;&gt;"")*($B$21:$B$30&lt;=I317)*(($C$21:$C$30="")+($C$21:$C$30&lt;&gt;"")*($C$21:$C$30&gt;=I317))*($E$21:$E$30="Annual")*(MONTH($B$21:$B$30)=MONTH(I317))*$D$21:$D$30)+SUMPRODUCT(($B$34:$B$48&lt;&gt;"")*(YEAR($B$34:$B$48)=YEAR(I317))*(MONTH($B$34:$B$48)=MONTH(I317))*$C$34:$C$48)),"")</f>
        <v/>
      </c>
      <c r="M317" s="9">
        <f>IF(H317&lt;&gt;"",ROUND(M316-L317,2),"")</f>
        <v/>
      </c>
      <c r="N317" s="10">
        <f>IF(H317&lt;&gt;"",N316+L317,"")</f>
        <v/>
      </c>
      <c r="O317" s="10">
        <f>IF(H317&lt;&gt;"",O316+K317,"")</f>
        <v/>
      </c>
    </row>
    <row r="318">
      <c r="H318" s="12">
        <f>IF(AND(M317&gt;0.005,H317&lt;&gt;""),316,"")</f>
        <v/>
      </c>
      <c r="I318" s="13">
        <f>IF(H318&lt;&gt;"",EDATE(StartDate,315),"")</f>
        <v/>
      </c>
      <c r="J318" s="14">
        <f>IF(H318&lt;&gt;"",MIN(MonthlyPmt,M317+K318),"")</f>
        <v/>
      </c>
      <c r="K318" s="14">
        <f>IF(H318&lt;&gt;"",ROUND(M317*AnnualRate/12,2),"")</f>
        <v/>
      </c>
      <c r="L318" s="14">
        <f>IF(H318&lt;&gt;"",MIN(M317,(J318-K318)+SUMPRODUCT(($B$21:$B$30&lt;&gt;"")*($B$21:$B$30&lt;=I318)*(($C$21:$C$30="")+($C$21:$C$30&lt;&gt;"")*($C$21:$C$30&gt;=I318))*($E$21:$E$30="Monthly")*$D$21:$D$30)+SUMPRODUCT(($B$21:$B$30&lt;&gt;"")*($B$21:$B$30&lt;=I318)*(($C$21:$C$30="")+($C$21:$C$30&lt;&gt;"")*($C$21:$C$30&gt;=I318))*($E$21:$E$30="Annual")*(MONTH($B$21:$B$30)=MONTH(I318))*$D$21:$D$30)+SUMPRODUCT(($B$34:$B$48&lt;&gt;"")*(YEAR($B$34:$B$48)=YEAR(I318))*(MONTH($B$34:$B$48)=MONTH(I318))*$C$34:$C$48)),"")</f>
        <v/>
      </c>
      <c r="M318" s="14">
        <f>IF(H318&lt;&gt;"",ROUND(M317-L318,2),"")</f>
        <v/>
      </c>
      <c r="N318" s="10">
        <f>IF(H318&lt;&gt;"",N317+L318,"")</f>
        <v/>
      </c>
      <c r="O318" s="10">
        <f>IF(H318&lt;&gt;"",O317+K318,"")</f>
        <v/>
      </c>
    </row>
    <row r="319">
      <c r="H319" s="7">
        <f>IF(AND(M318&gt;0.005,H318&lt;&gt;""),317,"")</f>
        <v/>
      </c>
      <c r="I319" s="8">
        <f>IF(H319&lt;&gt;"",EDATE(StartDate,316),"")</f>
        <v/>
      </c>
      <c r="J319" s="9">
        <f>IF(H319&lt;&gt;"",MIN(MonthlyPmt,M318+K319),"")</f>
        <v/>
      </c>
      <c r="K319" s="9">
        <f>IF(H319&lt;&gt;"",ROUND(M318*AnnualRate/12,2),"")</f>
        <v/>
      </c>
      <c r="L319" s="9">
        <f>IF(H319&lt;&gt;"",MIN(M318,(J319-K319)+SUMPRODUCT(($B$21:$B$30&lt;&gt;"")*($B$21:$B$30&lt;=I319)*(($C$21:$C$30="")+($C$21:$C$30&lt;&gt;"")*($C$21:$C$30&gt;=I319))*($E$21:$E$30="Monthly")*$D$21:$D$30)+SUMPRODUCT(($B$21:$B$30&lt;&gt;"")*($B$21:$B$30&lt;=I319)*(($C$21:$C$30="")+($C$21:$C$30&lt;&gt;"")*($C$21:$C$30&gt;=I319))*($E$21:$E$30="Annual")*(MONTH($B$21:$B$30)=MONTH(I319))*$D$21:$D$30)+SUMPRODUCT(($B$34:$B$48&lt;&gt;"")*(YEAR($B$34:$B$48)=YEAR(I319))*(MONTH($B$34:$B$48)=MONTH(I319))*$C$34:$C$48)),"")</f>
        <v/>
      </c>
      <c r="M319" s="9">
        <f>IF(H319&lt;&gt;"",ROUND(M318-L319,2),"")</f>
        <v/>
      </c>
      <c r="N319" s="10">
        <f>IF(H319&lt;&gt;"",N318+L319,"")</f>
        <v/>
      </c>
      <c r="O319" s="10">
        <f>IF(H319&lt;&gt;"",O318+K319,"")</f>
        <v/>
      </c>
    </row>
    <row r="320">
      <c r="H320" s="12">
        <f>IF(AND(M319&gt;0.005,H319&lt;&gt;""),318,"")</f>
        <v/>
      </c>
      <c r="I320" s="13">
        <f>IF(H320&lt;&gt;"",EDATE(StartDate,317),"")</f>
        <v/>
      </c>
      <c r="J320" s="14">
        <f>IF(H320&lt;&gt;"",MIN(MonthlyPmt,M319+K320),"")</f>
        <v/>
      </c>
      <c r="K320" s="14">
        <f>IF(H320&lt;&gt;"",ROUND(M319*AnnualRate/12,2),"")</f>
        <v/>
      </c>
      <c r="L320" s="14">
        <f>IF(H320&lt;&gt;"",MIN(M319,(J320-K320)+SUMPRODUCT(($B$21:$B$30&lt;&gt;"")*($B$21:$B$30&lt;=I320)*(($C$21:$C$30="")+($C$21:$C$30&lt;&gt;"")*($C$21:$C$30&gt;=I320))*($E$21:$E$30="Monthly")*$D$21:$D$30)+SUMPRODUCT(($B$21:$B$30&lt;&gt;"")*($B$21:$B$30&lt;=I320)*(($C$21:$C$30="")+($C$21:$C$30&lt;&gt;"")*($C$21:$C$30&gt;=I320))*($E$21:$E$30="Annual")*(MONTH($B$21:$B$30)=MONTH(I320))*$D$21:$D$30)+SUMPRODUCT(($B$34:$B$48&lt;&gt;"")*(YEAR($B$34:$B$48)=YEAR(I320))*(MONTH($B$34:$B$48)=MONTH(I320))*$C$34:$C$48)),"")</f>
        <v/>
      </c>
      <c r="M320" s="14">
        <f>IF(H320&lt;&gt;"",ROUND(M319-L320,2),"")</f>
        <v/>
      </c>
      <c r="N320" s="10">
        <f>IF(H320&lt;&gt;"",N319+L320,"")</f>
        <v/>
      </c>
      <c r="O320" s="10">
        <f>IF(H320&lt;&gt;"",O319+K320,"")</f>
        <v/>
      </c>
    </row>
    <row r="321">
      <c r="H321" s="7">
        <f>IF(AND(M320&gt;0.005,H320&lt;&gt;""),319,"")</f>
        <v/>
      </c>
      <c r="I321" s="8">
        <f>IF(H321&lt;&gt;"",EDATE(StartDate,318),"")</f>
        <v/>
      </c>
      <c r="J321" s="9">
        <f>IF(H321&lt;&gt;"",MIN(MonthlyPmt,M320+K321),"")</f>
        <v/>
      </c>
      <c r="K321" s="9">
        <f>IF(H321&lt;&gt;"",ROUND(M320*AnnualRate/12,2),"")</f>
        <v/>
      </c>
      <c r="L321" s="9">
        <f>IF(H321&lt;&gt;"",MIN(M320,(J321-K321)+SUMPRODUCT(($B$21:$B$30&lt;&gt;"")*($B$21:$B$30&lt;=I321)*(($C$21:$C$30="")+($C$21:$C$30&lt;&gt;"")*($C$21:$C$30&gt;=I321))*($E$21:$E$30="Monthly")*$D$21:$D$30)+SUMPRODUCT(($B$21:$B$30&lt;&gt;"")*($B$21:$B$30&lt;=I321)*(($C$21:$C$30="")+($C$21:$C$30&lt;&gt;"")*($C$21:$C$30&gt;=I321))*($E$21:$E$30="Annual")*(MONTH($B$21:$B$30)=MONTH(I321))*$D$21:$D$30)+SUMPRODUCT(($B$34:$B$48&lt;&gt;"")*(YEAR($B$34:$B$48)=YEAR(I321))*(MONTH($B$34:$B$48)=MONTH(I321))*$C$34:$C$48)),"")</f>
        <v/>
      </c>
      <c r="M321" s="9">
        <f>IF(H321&lt;&gt;"",ROUND(M320-L321,2),"")</f>
        <v/>
      </c>
      <c r="N321" s="10">
        <f>IF(H321&lt;&gt;"",N320+L321,"")</f>
        <v/>
      </c>
      <c r="O321" s="10">
        <f>IF(H321&lt;&gt;"",O320+K321,"")</f>
        <v/>
      </c>
    </row>
    <row r="322">
      <c r="H322" s="12">
        <f>IF(AND(M321&gt;0.005,H321&lt;&gt;""),320,"")</f>
        <v/>
      </c>
      <c r="I322" s="13">
        <f>IF(H322&lt;&gt;"",EDATE(StartDate,319),"")</f>
        <v/>
      </c>
      <c r="J322" s="14">
        <f>IF(H322&lt;&gt;"",MIN(MonthlyPmt,M321+K322),"")</f>
        <v/>
      </c>
      <c r="K322" s="14">
        <f>IF(H322&lt;&gt;"",ROUND(M321*AnnualRate/12,2),"")</f>
        <v/>
      </c>
      <c r="L322" s="14">
        <f>IF(H322&lt;&gt;"",MIN(M321,(J322-K322)+SUMPRODUCT(($B$21:$B$30&lt;&gt;"")*($B$21:$B$30&lt;=I322)*(($C$21:$C$30="")+($C$21:$C$30&lt;&gt;"")*($C$21:$C$30&gt;=I322))*($E$21:$E$30="Monthly")*$D$21:$D$30)+SUMPRODUCT(($B$21:$B$30&lt;&gt;"")*($B$21:$B$30&lt;=I322)*(($C$21:$C$30="")+($C$21:$C$30&lt;&gt;"")*($C$21:$C$30&gt;=I322))*($E$21:$E$30="Annual")*(MONTH($B$21:$B$30)=MONTH(I322))*$D$21:$D$30)+SUMPRODUCT(($B$34:$B$48&lt;&gt;"")*(YEAR($B$34:$B$48)=YEAR(I322))*(MONTH($B$34:$B$48)=MONTH(I322))*$C$34:$C$48)),"")</f>
        <v/>
      </c>
      <c r="M322" s="14">
        <f>IF(H322&lt;&gt;"",ROUND(M321-L322,2),"")</f>
        <v/>
      </c>
      <c r="N322" s="10">
        <f>IF(H322&lt;&gt;"",N321+L322,"")</f>
        <v/>
      </c>
      <c r="O322" s="10">
        <f>IF(H322&lt;&gt;"",O321+K322,"")</f>
        <v/>
      </c>
    </row>
    <row r="323">
      <c r="H323" s="7">
        <f>IF(AND(M322&gt;0.005,H322&lt;&gt;""),321,"")</f>
        <v/>
      </c>
      <c r="I323" s="8">
        <f>IF(H323&lt;&gt;"",EDATE(StartDate,320),"")</f>
        <v/>
      </c>
      <c r="J323" s="9">
        <f>IF(H323&lt;&gt;"",MIN(MonthlyPmt,M322+K323),"")</f>
        <v/>
      </c>
      <c r="K323" s="9">
        <f>IF(H323&lt;&gt;"",ROUND(M322*AnnualRate/12,2),"")</f>
        <v/>
      </c>
      <c r="L323" s="9">
        <f>IF(H323&lt;&gt;"",MIN(M322,(J323-K323)+SUMPRODUCT(($B$21:$B$30&lt;&gt;"")*($B$21:$B$30&lt;=I323)*(($C$21:$C$30="")+($C$21:$C$30&lt;&gt;"")*($C$21:$C$30&gt;=I323))*($E$21:$E$30="Monthly")*$D$21:$D$30)+SUMPRODUCT(($B$21:$B$30&lt;&gt;"")*($B$21:$B$30&lt;=I323)*(($C$21:$C$30="")+($C$21:$C$30&lt;&gt;"")*($C$21:$C$30&gt;=I323))*($E$21:$E$30="Annual")*(MONTH($B$21:$B$30)=MONTH(I323))*$D$21:$D$30)+SUMPRODUCT(($B$34:$B$48&lt;&gt;"")*(YEAR($B$34:$B$48)=YEAR(I323))*(MONTH($B$34:$B$48)=MONTH(I323))*$C$34:$C$48)),"")</f>
        <v/>
      </c>
      <c r="M323" s="9">
        <f>IF(H323&lt;&gt;"",ROUND(M322-L323,2),"")</f>
        <v/>
      </c>
      <c r="N323" s="10">
        <f>IF(H323&lt;&gt;"",N322+L323,"")</f>
        <v/>
      </c>
      <c r="O323" s="10">
        <f>IF(H323&lt;&gt;"",O322+K323,"")</f>
        <v/>
      </c>
    </row>
    <row r="324">
      <c r="H324" s="12">
        <f>IF(AND(M323&gt;0.005,H323&lt;&gt;""),322,"")</f>
        <v/>
      </c>
      <c r="I324" s="13">
        <f>IF(H324&lt;&gt;"",EDATE(StartDate,321),"")</f>
        <v/>
      </c>
      <c r="J324" s="14">
        <f>IF(H324&lt;&gt;"",MIN(MonthlyPmt,M323+K324),"")</f>
        <v/>
      </c>
      <c r="K324" s="14">
        <f>IF(H324&lt;&gt;"",ROUND(M323*AnnualRate/12,2),"")</f>
        <v/>
      </c>
      <c r="L324" s="14">
        <f>IF(H324&lt;&gt;"",MIN(M323,(J324-K324)+SUMPRODUCT(($B$21:$B$30&lt;&gt;"")*($B$21:$B$30&lt;=I324)*(($C$21:$C$30="")+($C$21:$C$30&lt;&gt;"")*($C$21:$C$30&gt;=I324))*($E$21:$E$30="Monthly")*$D$21:$D$30)+SUMPRODUCT(($B$21:$B$30&lt;&gt;"")*($B$21:$B$30&lt;=I324)*(($C$21:$C$30="")+($C$21:$C$30&lt;&gt;"")*($C$21:$C$30&gt;=I324))*($E$21:$E$30="Annual")*(MONTH($B$21:$B$30)=MONTH(I324))*$D$21:$D$30)+SUMPRODUCT(($B$34:$B$48&lt;&gt;"")*(YEAR($B$34:$B$48)=YEAR(I324))*(MONTH($B$34:$B$48)=MONTH(I324))*$C$34:$C$48)),"")</f>
        <v/>
      </c>
      <c r="M324" s="14">
        <f>IF(H324&lt;&gt;"",ROUND(M323-L324,2),"")</f>
        <v/>
      </c>
      <c r="N324" s="10">
        <f>IF(H324&lt;&gt;"",N323+L324,"")</f>
        <v/>
      </c>
      <c r="O324" s="10">
        <f>IF(H324&lt;&gt;"",O323+K324,"")</f>
        <v/>
      </c>
    </row>
    <row r="325">
      <c r="H325" s="7">
        <f>IF(AND(M324&gt;0.005,H324&lt;&gt;""),323,"")</f>
        <v/>
      </c>
      <c r="I325" s="8">
        <f>IF(H325&lt;&gt;"",EDATE(StartDate,322),"")</f>
        <v/>
      </c>
      <c r="J325" s="9">
        <f>IF(H325&lt;&gt;"",MIN(MonthlyPmt,M324+K325),"")</f>
        <v/>
      </c>
      <c r="K325" s="9">
        <f>IF(H325&lt;&gt;"",ROUND(M324*AnnualRate/12,2),"")</f>
        <v/>
      </c>
      <c r="L325" s="9">
        <f>IF(H325&lt;&gt;"",MIN(M324,(J325-K325)+SUMPRODUCT(($B$21:$B$30&lt;&gt;"")*($B$21:$B$30&lt;=I325)*(($C$21:$C$30="")+($C$21:$C$30&lt;&gt;"")*($C$21:$C$30&gt;=I325))*($E$21:$E$30="Monthly")*$D$21:$D$30)+SUMPRODUCT(($B$21:$B$30&lt;&gt;"")*($B$21:$B$30&lt;=I325)*(($C$21:$C$30="")+($C$21:$C$30&lt;&gt;"")*($C$21:$C$30&gt;=I325))*($E$21:$E$30="Annual")*(MONTH($B$21:$B$30)=MONTH(I325))*$D$21:$D$30)+SUMPRODUCT(($B$34:$B$48&lt;&gt;"")*(YEAR($B$34:$B$48)=YEAR(I325))*(MONTH($B$34:$B$48)=MONTH(I325))*$C$34:$C$48)),"")</f>
        <v/>
      </c>
      <c r="M325" s="9">
        <f>IF(H325&lt;&gt;"",ROUND(M324-L325,2),"")</f>
        <v/>
      </c>
      <c r="N325" s="10">
        <f>IF(H325&lt;&gt;"",N324+L325,"")</f>
        <v/>
      </c>
      <c r="O325" s="10">
        <f>IF(H325&lt;&gt;"",O324+K325,"")</f>
        <v/>
      </c>
    </row>
    <row r="326">
      <c r="H326" s="12">
        <f>IF(AND(M325&gt;0.005,H325&lt;&gt;""),324,"")</f>
        <v/>
      </c>
      <c r="I326" s="13">
        <f>IF(H326&lt;&gt;"",EDATE(StartDate,323),"")</f>
        <v/>
      </c>
      <c r="J326" s="14">
        <f>IF(H326&lt;&gt;"",MIN(MonthlyPmt,M325+K326),"")</f>
        <v/>
      </c>
      <c r="K326" s="14">
        <f>IF(H326&lt;&gt;"",ROUND(M325*AnnualRate/12,2),"")</f>
        <v/>
      </c>
      <c r="L326" s="14">
        <f>IF(H326&lt;&gt;"",MIN(M325,(J326-K326)+SUMPRODUCT(($B$21:$B$30&lt;&gt;"")*($B$21:$B$30&lt;=I326)*(($C$21:$C$30="")+($C$21:$C$30&lt;&gt;"")*($C$21:$C$30&gt;=I326))*($E$21:$E$30="Monthly")*$D$21:$D$30)+SUMPRODUCT(($B$21:$B$30&lt;&gt;"")*($B$21:$B$30&lt;=I326)*(($C$21:$C$30="")+($C$21:$C$30&lt;&gt;"")*($C$21:$C$30&gt;=I326))*($E$21:$E$30="Annual")*(MONTH($B$21:$B$30)=MONTH(I326))*$D$21:$D$30)+SUMPRODUCT(($B$34:$B$48&lt;&gt;"")*(YEAR($B$34:$B$48)=YEAR(I326))*(MONTH($B$34:$B$48)=MONTH(I326))*$C$34:$C$48)),"")</f>
        <v/>
      </c>
      <c r="M326" s="14">
        <f>IF(H326&lt;&gt;"",ROUND(M325-L326,2),"")</f>
        <v/>
      </c>
      <c r="N326" s="10">
        <f>IF(H326&lt;&gt;"",N325+L326,"")</f>
        <v/>
      </c>
      <c r="O326" s="10">
        <f>IF(H326&lt;&gt;"",O325+K326,"")</f>
        <v/>
      </c>
    </row>
    <row r="327">
      <c r="H327" s="7">
        <f>IF(AND(M326&gt;0.005,H326&lt;&gt;""),325,"")</f>
        <v/>
      </c>
      <c r="I327" s="8">
        <f>IF(H327&lt;&gt;"",EDATE(StartDate,324),"")</f>
        <v/>
      </c>
      <c r="J327" s="9">
        <f>IF(H327&lt;&gt;"",MIN(MonthlyPmt,M326+K327),"")</f>
        <v/>
      </c>
      <c r="K327" s="9">
        <f>IF(H327&lt;&gt;"",ROUND(M326*AnnualRate/12,2),"")</f>
        <v/>
      </c>
      <c r="L327" s="9">
        <f>IF(H327&lt;&gt;"",MIN(M326,(J327-K327)+SUMPRODUCT(($B$21:$B$30&lt;&gt;"")*($B$21:$B$30&lt;=I327)*(($C$21:$C$30="")+($C$21:$C$30&lt;&gt;"")*($C$21:$C$30&gt;=I327))*($E$21:$E$30="Monthly")*$D$21:$D$30)+SUMPRODUCT(($B$21:$B$30&lt;&gt;"")*($B$21:$B$30&lt;=I327)*(($C$21:$C$30="")+($C$21:$C$30&lt;&gt;"")*($C$21:$C$30&gt;=I327))*($E$21:$E$30="Annual")*(MONTH($B$21:$B$30)=MONTH(I327))*$D$21:$D$30)+SUMPRODUCT(($B$34:$B$48&lt;&gt;"")*(YEAR($B$34:$B$48)=YEAR(I327))*(MONTH($B$34:$B$48)=MONTH(I327))*$C$34:$C$48)),"")</f>
        <v/>
      </c>
      <c r="M327" s="9">
        <f>IF(H327&lt;&gt;"",ROUND(M326-L327,2),"")</f>
        <v/>
      </c>
      <c r="N327" s="10">
        <f>IF(H327&lt;&gt;"",N326+L327,"")</f>
        <v/>
      </c>
      <c r="O327" s="10">
        <f>IF(H327&lt;&gt;"",O326+K327,"")</f>
        <v/>
      </c>
    </row>
    <row r="328">
      <c r="H328" s="12">
        <f>IF(AND(M327&gt;0.005,H327&lt;&gt;""),326,"")</f>
        <v/>
      </c>
      <c r="I328" s="13">
        <f>IF(H328&lt;&gt;"",EDATE(StartDate,325),"")</f>
        <v/>
      </c>
      <c r="J328" s="14">
        <f>IF(H328&lt;&gt;"",MIN(MonthlyPmt,M327+K328),"")</f>
        <v/>
      </c>
      <c r="K328" s="14">
        <f>IF(H328&lt;&gt;"",ROUND(M327*AnnualRate/12,2),"")</f>
        <v/>
      </c>
      <c r="L328" s="14">
        <f>IF(H328&lt;&gt;"",MIN(M327,(J328-K328)+SUMPRODUCT(($B$21:$B$30&lt;&gt;"")*($B$21:$B$30&lt;=I328)*(($C$21:$C$30="")+($C$21:$C$30&lt;&gt;"")*($C$21:$C$30&gt;=I328))*($E$21:$E$30="Monthly")*$D$21:$D$30)+SUMPRODUCT(($B$21:$B$30&lt;&gt;"")*($B$21:$B$30&lt;=I328)*(($C$21:$C$30="")+($C$21:$C$30&lt;&gt;"")*($C$21:$C$30&gt;=I328))*($E$21:$E$30="Annual")*(MONTH($B$21:$B$30)=MONTH(I328))*$D$21:$D$30)+SUMPRODUCT(($B$34:$B$48&lt;&gt;"")*(YEAR($B$34:$B$48)=YEAR(I328))*(MONTH($B$34:$B$48)=MONTH(I328))*$C$34:$C$48)),"")</f>
        <v/>
      </c>
      <c r="M328" s="14">
        <f>IF(H328&lt;&gt;"",ROUND(M327-L328,2),"")</f>
        <v/>
      </c>
      <c r="N328" s="10">
        <f>IF(H328&lt;&gt;"",N327+L328,"")</f>
        <v/>
      </c>
      <c r="O328" s="10">
        <f>IF(H328&lt;&gt;"",O327+K328,"")</f>
        <v/>
      </c>
    </row>
    <row r="329">
      <c r="H329" s="7">
        <f>IF(AND(M328&gt;0.005,H328&lt;&gt;""),327,"")</f>
        <v/>
      </c>
      <c r="I329" s="8">
        <f>IF(H329&lt;&gt;"",EDATE(StartDate,326),"")</f>
        <v/>
      </c>
      <c r="J329" s="9">
        <f>IF(H329&lt;&gt;"",MIN(MonthlyPmt,M328+K329),"")</f>
        <v/>
      </c>
      <c r="K329" s="9">
        <f>IF(H329&lt;&gt;"",ROUND(M328*AnnualRate/12,2),"")</f>
        <v/>
      </c>
      <c r="L329" s="9">
        <f>IF(H329&lt;&gt;"",MIN(M328,(J329-K329)+SUMPRODUCT(($B$21:$B$30&lt;&gt;"")*($B$21:$B$30&lt;=I329)*(($C$21:$C$30="")+($C$21:$C$30&lt;&gt;"")*($C$21:$C$30&gt;=I329))*($E$21:$E$30="Monthly")*$D$21:$D$30)+SUMPRODUCT(($B$21:$B$30&lt;&gt;"")*($B$21:$B$30&lt;=I329)*(($C$21:$C$30="")+($C$21:$C$30&lt;&gt;"")*($C$21:$C$30&gt;=I329))*($E$21:$E$30="Annual")*(MONTH($B$21:$B$30)=MONTH(I329))*$D$21:$D$30)+SUMPRODUCT(($B$34:$B$48&lt;&gt;"")*(YEAR($B$34:$B$48)=YEAR(I329))*(MONTH($B$34:$B$48)=MONTH(I329))*$C$34:$C$48)),"")</f>
        <v/>
      </c>
      <c r="M329" s="9">
        <f>IF(H329&lt;&gt;"",ROUND(M328-L329,2),"")</f>
        <v/>
      </c>
      <c r="N329" s="10">
        <f>IF(H329&lt;&gt;"",N328+L329,"")</f>
        <v/>
      </c>
      <c r="O329" s="10">
        <f>IF(H329&lt;&gt;"",O328+K329,"")</f>
        <v/>
      </c>
    </row>
    <row r="330">
      <c r="H330" s="12">
        <f>IF(AND(M329&gt;0.005,H329&lt;&gt;""),328,"")</f>
        <v/>
      </c>
      <c r="I330" s="13">
        <f>IF(H330&lt;&gt;"",EDATE(StartDate,327),"")</f>
        <v/>
      </c>
      <c r="J330" s="14">
        <f>IF(H330&lt;&gt;"",MIN(MonthlyPmt,M329+K330),"")</f>
        <v/>
      </c>
      <c r="K330" s="14">
        <f>IF(H330&lt;&gt;"",ROUND(M329*AnnualRate/12,2),"")</f>
        <v/>
      </c>
      <c r="L330" s="14">
        <f>IF(H330&lt;&gt;"",MIN(M329,(J330-K330)+SUMPRODUCT(($B$21:$B$30&lt;&gt;"")*($B$21:$B$30&lt;=I330)*(($C$21:$C$30="")+($C$21:$C$30&lt;&gt;"")*($C$21:$C$30&gt;=I330))*($E$21:$E$30="Monthly")*$D$21:$D$30)+SUMPRODUCT(($B$21:$B$30&lt;&gt;"")*($B$21:$B$30&lt;=I330)*(($C$21:$C$30="")+($C$21:$C$30&lt;&gt;"")*($C$21:$C$30&gt;=I330))*($E$21:$E$30="Annual")*(MONTH($B$21:$B$30)=MONTH(I330))*$D$21:$D$30)+SUMPRODUCT(($B$34:$B$48&lt;&gt;"")*(YEAR($B$34:$B$48)=YEAR(I330))*(MONTH($B$34:$B$48)=MONTH(I330))*$C$34:$C$48)),"")</f>
        <v/>
      </c>
      <c r="M330" s="14">
        <f>IF(H330&lt;&gt;"",ROUND(M329-L330,2),"")</f>
        <v/>
      </c>
      <c r="N330" s="10">
        <f>IF(H330&lt;&gt;"",N329+L330,"")</f>
        <v/>
      </c>
      <c r="O330" s="10">
        <f>IF(H330&lt;&gt;"",O329+K330,"")</f>
        <v/>
      </c>
    </row>
    <row r="331">
      <c r="H331" s="7">
        <f>IF(AND(M330&gt;0.005,H330&lt;&gt;""),329,"")</f>
        <v/>
      </c>
      <c r="I331" s="8">
        <f>IF(H331&lt;&gt;"",EDATE(StartDate,328),"")</f>
        <v/>
      </c>
      <c r="J331" s="9">
        <f>IF(H331&lt;&gt;"",MIN(MonthlyPmt,M330+K331),"")</f>
        <v/>
      </c>
      <c r="K331" s="9">
        <f>IF(H331&lt;&gt;"",ROUND(M330*AnnualRate/12,2),"")</f>
        <v/>
      </c>
      <c r="L331" s="9">
        <f>IF(H331&lt;&gt;"",MIN(M330,(J331-K331)+SUMPRODUCT(($B$21:$B$30&lt;&gt;"")*($B$21:$B$30&lt;=I331)*(($C$21:$C$30="")+($C$21:$C$30&lt;&gt;"")*($C$21:$C$30&gt;=I331))*($E$21:$E$30="Monthly")*$D$21:$D$30)+SUMPRODUCT(($B$21:$B$30&lt;&gt;"")*($B$21:$B$30&lt;=I331)*(($C$21:$C$30="")+($C$21:$C$30&lt;&gt;"")*($C$21:$C$30&gt;=I331))*($E$21:$E$30="Annual")*(MONTH($B$21:$B$30)=MONTH(I331))*$D$21:$D$30)+SUMPRODUCT(($B$34:$B$48&lt;&gt;"")*(YEAR($B$34:$B$48)=YEAR(I331))*(MONTH($B$34:$B$48)=MONTH(I331))*$C$34:$C$48)),"")</f>
        <v/>
      </c>
      <c r="M331" s="9">
        <f>IF(H331&lt;&gt;"",ROUND(M330-L331,2),"")</f>
        <v/>
      </c>
      <c r="N331" s="10">
        <f>IF(H331&lt;&gt;"",N330+L331,"")</f>
        <v/>
      </c>
      <c r="O331" s="10">
        <f>IF(H331&lt;&gt;"",O330+K331,"")</f>
        <v/>
      </c>
    </row>
    <row r="332">
      <c r="H332" s="12">
        <f>IF(AND(M331&gt;0.005,H331&lt;&gt;""),330,"")</f>
        <v/>
      </c>
      <c r="I332" s="13">
        <f>IF(H332&lt;&gt;"",EDATE(StartDate,329),"")</f>
        <v/>
      </c>
      <c r="J332" s="14">
        <f>IF(H332&lt;&gt;"",MIN(MonthlyPmt,M331+K332),"")</f>
        <v/>
      </c>
      <c r="K332" s="14">
        <f>IF(H332&lt;&gt;"",ROUND(M331*AnnualRate/12,2),"")</f>
        <v/>
      </c>
      <c r="L332" s="14">
        <f>IF(H332&lt;&gt;"",MIN(M331,(J332-K332)+SUMPRODUCT(($B$21:$B$30&lt;&gt;"")*($B$21:$B$30&lt;=I332)*(($C$21:$C$30="")+($C$21:$C$30&lt;&gt;"")*($C$21:$C$30&gt;=I332))*($E$21:$E$30="Monthly")*$D$21:$D$30)+SUMPRODUCT(($B$21:$B$30&lt;&gt;"")*($B$21:$B$30&lt;=I332)*(($C$21:$C$30="")+($C$21:$C$30&lt;&gt;"")*($C$21:$C$30&gt;=I332))*($E$21:$E$30="Annual")*(MONTH($B$21:$B$30)=MONTH(I332))*$D$21:$D$30)+SUMPRODUCT(($B$34:$B$48&lt;&gt;"")*(YEAR($B$34:$B$48)=YEAR(I332))*(MONTH($B$34:$B$48)=MONTH(I332))*$C$34:$C$48)),"")</f>
        <v/>
      </c>
      <c r="M332" s="14">
        <f>IF(H332&lt;&gt;"",ROUND(M331-L332,2),"")</f>
        <v/>
      </c>
      <c r="N332" s="10">
        <f>IF(H332&lt;&gt;"",N331+L332,"")</f>
        <v/>
      </c>
      <c r="O332" s="10">
        <f>IF(H332&lt;&gt;"",O331+K332,"")</f>
        <v/>
      </c>
    </row>
    <row r="333">
      <c r="H333" s="7">
        <f>IF(AND(M332&gt;0.005,H332&lt;&gt;""),331,"")</f>
        <v/>
      </c>
      <c r="I333" s="8">
        <f>IF(H333&lt;&gt;"",EDATE(StartDate,330),"")</f>
        <v/>
      </c>
      <c r="J333" s="9">
        <f>IF(H333&lt;&gt;"",MIN(MonthlyPmt,M332+K333),"")</f>
        <v/>
      </c>
      <c r="K333" s="9">
        <f>IF(H333&lt;&gt;"",ROUND(M332*AnnualRate/12,2),"")</f>
        <v/>
      </c>
      <c r="L333" s="9">
        <f>IF(H333&lt;&gt;"",MIN(M332,(J333-K333)+SUMPRODUCT(($B$21:$B$30&lt;&gt;"")*($B$21:$B$30&lt;=I333)*(($C$21:$C$30="")+($C$21:$C$30&lt;&gt;"")*($C$21:$C$30&gt;=I333))*($E$21:$E$30="Monthly")*$D$21:$D$30)+SUMPRODUCT(($B$21:$B$30&lt;&gt;"")*($B$21:$B$30&lt;=I333)*(($C$21:$C$30="")+($C$21:$C$30&lt;&gt;"")*($C$21:$C$30&gt;=I333))*($E$21:$E$30="Annual")*(MONTH($B$21:$B$30)=MONTH(I333))*$D$21:$D$30)+SUMPRODUCT(($B$34:$B$48&lt;&gt;"")*(YEAR($B$34:$B$48)=YEAR(I333))*(MONTH($B$34:$B$48)=MONTH(I333))*$C$34:$C$48)),"")</f>
        <v/>
      </c>
      <c r="M333" s="9">
        <f>IF(H333&lt;&gt;"",ROUND(M332-L333,2),"")</f>
        <v/>
      </c>
      <c r="N333" s="10">
        <f>IF(H333&lt;&gt;"",N332+L333,"")</f>
        <v/>
      </c>
      <c r="O333" s="10">
        <f>IF(H333&lt;&gt;"",O332+K333,"")</f>
        <v/>
      </c>
    </row>
    <row r="334">
      <c r="H334" s="12">
        <f>IF(AND(M333&gt;0.005,H333&lt;&gt;""),332,"")</f>
        <v/>
      </c>
      <c r="I334" s="13">
        <f>IF(H334&lt;&gt;"",EDATE(StartDate,331),"")</f>
        <v/>
      </c>
      <c r="J334" s="14">
        <f>IF(H334&lt;&gt;"",MIN(MonthlyPmt,M333+K334),"")</f>
        <v/>
      </c>
      <c r="K334" s="14">
        <f>IF(H334&lt;&gt;"",ROUND(M333*AnnualRate/12,2),"")</f>
        <v/>
      </c>
      <c r="L334" s="14">
        <f>IF(H334&lt;&gt;"",MIN(M333,(J334-K334)+SUMPRODUCT(($B$21:$B$30&lt;&gt;"")*($B$21:$B$30&lt;=I334)*(($C$21:$C$30="")+($C$21:$C$30&lt;&gt;"")*($C$21:$C$30&gt;=I334))*($E$21:$E$30="Monthly")*$D$21:$D$30)+SUMPRODUCT(($B$21:$B$30&lt;&gt;"")*($B$21:$B$30&lt;=I334)*(($C$21:$C$30="")+($C$21:$C$30&lt;&gt;"")*($C$21:$C$30&gt;=I334))*($E$21:$E$30="Annual")*(MONTH($B$21:$B$30)=MONTH(I334))*$D$21:$D$30)+SUMPRODUCT(($B$34:$B$48&lt;&gt;"")*(YEAR($B$34:$B$48)=YEAR(I334))*(MONTH($B$34:$B$48)=MONTH(I334))*$C$34:$C$48)),"")</f>
        <v/>
      </c>
      <c r="M334" s="14">
        <f>IF(H334&lt;&gt;"",ROUND(M333-L334,2),"")</f>
        <v/>
      </c>
      <c r="N334" s="10">
        <f>IF(H334&lt;&gt;"",N333+L334,"")</f>
        <v/>
      </c>
      <c r="O334" s="10">
        <f>IF(H334&lt;&gt;"",O333+K334,"")</f>
        <v/>
      </c>
    </row>
    <row r="335">
      <c r="H335" s="7">
        <f>IF(AND(M334&gt;0.005,H334&lt;&gt;""),333,"")</f>
        <v/>
      </c>
      <c r="I335" s="8">
        <f>IF(H335&lt;&gt;"",EDATE(StartDate,332),"")</f>
        <v/>
      </c>
      <c r="J335" s="9">
        <f>IF(H335&lt;&gt;"",MIN(MonthlyPmt,M334+K335),"")</f>
        <v/>
      </c>
      <c r="K335" s="9">
        <f>IF(H335&lt;&gt;"",ROUND(M334*AnnualRate/12,2),"")</f>
        <v/>
      </c>
      <c r="L335" s="9">
        <f>IF(H335&lt;&gt;"",MIN(M334,(J335-K335)+SUMPRODUCT(($B$21:$B$30&lt;&gt;"")*($B$21:$B$30&lt;=I335)*(($C$21:$C$30="")+($C$21:$C$30&lt;&gt;"")*($C$21:$C$30&gt;=I335))*($E$21:$E$30="Monthly")*$D$21:$D$30)+SUMPRODUCT(($B$21:$B$30&lt;&gt;"")*($B$21:$B$30&lt;=I335)*(($C$21:$C$30="")+($C$21:$C$30&lt;&gt;"")*($C$21:$C$30&gt;=I335))*($E$21:$E$30="Annual")*(MONTH($B$21:$B$30)=MONTH(I335))*$D$21:$D$30)+SUMPRODUCT(($B$34:$B$48&lt;&gt;"")*(YEAR($B$34:$B$48)=YEAR(I335))*(MONTH($B$34:$B$48)=MONTH(I335))*$C$34:$C$48)),"")</f>
        <v/>
      </c>
      <c r="M335" s="9">
        <f>IF(H335&lt;&gt;"",ROUND(M334-L335,2),"")</f>
        <v/>
      </c>
      <c r="N335" s="10">
        <f>IF(H335&lt;&gt;"",N334+L335,"")</f>
        <v/>
      </c>
      <c r="O335" s="10">
        <f>IF(H335&lt;&gt;"",O334+K335,"")</f>
        <v/>
      </c>
    </row>
    <row r="336">
      <c r="H336" s="12">
        <f>IF(AND(M335&gt;0.005,H335&lt;&gt;""),334,"")</f>
        <v/>
      </c>
      <c r="I336" s="13">
        <f>IF(H336&lt;&gt;"",EDATE(StartDate,333),"")</f>
        <v/>
      </c>
      <c r="J336" s="14">
        <f>IF(H336&lt;&gt;"",MIN(MonthlyPmt,M335+K336),"")</f>
        <v/>
      </c>
      <c r="K336" s="14">
        <f>IF(H336&lt;&gt;"",ROUND(M335*AnnualRate/12,2),"")</f>
        <v/>
      </c>
      <c r="L336" s="14">
        <f>IF(H336&lt;&gt;"",MIN(M335,(J336-K336)+SUMPRODUCT(($B$21:$B$30&lt;&gt;"")*($B$21:$B$30&lt;=I336)*(($C$21:$C$30="")+($C$21:$C$30&lt;&gt;"")*($C$21:$C$30&gt;=I336))*($E$21:$E$30="Monthly")*$D$21:$D$30)+SUMPRODUCT(($B$21:$B$30&lt;&gt;"")*($B$21:$B$30&lt;=I336)*(($C$21:$C$30="")+($C$21:$C$30&lt;&gt;"")*($C$21:$C$30&gt;=I336))*($E$21:$E$30="Annual")*(MONTH($B$21:$B$30)=MONTH(I336))*$D$21:$D$30)+SUMPRODUCT(($B$34:$B$48&lt;&gt;"")*(YEAR($B$34:$B$48)=YEAR(I336))*(MONTH($B$34:$B$48)=MONTH(I336))*$C$34:$C$48)),"")</f>
        <v/>
      </c>
      <c r="M336" s="14">
        <f>IF(H336&lt;&gt;"",ROUND(M335-L336,2),"")</f>
        <v/>
      </c>
      <c r="N336" s="10">
        <f>IF(H336&lt;&gt;"",N335+L336,"")</f>
        <v/>
      </c>
      <c r="O336" s="10">
        <f>IF(H336&lt;&gt;"",O335+K336,"")</f>
        <v/>
      </c>
    </row>
    <row r="337">
      <c r="H337" s="7">
        <f>IF(AND(M336&gt;0.005,H336&lt;&gt;""),335,"")</f>
        <v/>
      </c>
      <c r="I337" s="8">
        <f>IF(H337&lt;&gt;"",EDATE(StartDate,334),"")</f>
        <v/>
      </c>
      <c r="J337" s="9">
        <f>IF(H337&lt;&gt;"",MIN(MonthlyPmt,M336+K337),"")</f>
        <v/>
      </c>
      <c r="K337" s="9">
        <f>IF(H337&lt;&gt;"",ROUND(M336*AnnualRate/12,2),"")</f>
        <v/>
      </c>
      <c r="L337" s="9">
        <f>IF(H337&lt;&gt;"",MIN(M336,(J337-K337)+SUMPRODUCT(($B$21:$B$30&lt;&gt;"")*($B$21:$B$30&lt;=I337)*(($C$21:$C$30="")+($C$21:$C$30&lt;&gt;"")*($C$21:$C$30&gt;=I337))*($E$21:$E$30="Monthly")*$D$21:$D$30)+SUMPRODUCT(($B$21:$B$30&lt;&gt;"")*($B$21:$B$30&lt;=I337)*(($C$21:$C$30="")+($C$21:$C$30&lt;&gt;"")*($C$21:$C$30&gt;=I337))*($E$21:$E$30="Annual")*(MONTH($B$21:$B$30)=MONTH(I337))*$D$21:$D$30)+SUMPRODUCT(($B$34:$B$48&lt;&gt;"")*(YEAR($B$34:$B$48)=YEAR(I337))*(MONTH($B$34:$B$48)=MONTH(I337))*$C$34:$C$48)),"")</f>
        <v/>
      </c>
      <c r="M337" s="9">
        <f>IF(H337&lt;&gt;"",ROUND(M336-L337,2),"")</f>
        <v/>
      </c>
      <c r="N337" s="10">
        <f>IF(H337&lt;&gt;"",N336+L337,"")</f>
        <v/>
      </c>
      <c r="O337" s="10">
        <f>IF(H337&lt;&gt;"",O336+K337,"")</f>
        <v/>
      </c>
    </row>
    <row r="338">
      <c r="H338" s="12">
        <f>IF(AND(M337&gt;0.005,H337&lt;&gt;""),336,"")</f>
        <v/>
      </c>
      <c r="I338" s="13">
        <f>IF(H338&lt;&gt;"",EDATE(StartDate,335),"")</f>
        <v/>
      </c>
      <c r="J338" s="14">
        <f>IF(H338&lt;&gt;"",MIN(MonthlyPmt,M337+K338),"")</f>
        <v/>
      </c>
      <c r="K338" s="14">
        <f>IF(H338&lt;&gt;"",ROUND(M337*AnnualRate/12,2),"")</f>
        <v/>
      </c>
      <c r="L338" s="14">
        <f>IF(H338&lt;&gt;"",MIN(M337,(J338-K338)+SUMPRODUCT(($B$21:$B$30&lt;&gt;"")*($B$21:$B$30&lt;=I338)*(($C$21:$C$30="")+($C$21:$C$30&lt;&gt;"")*($C$21:$C$30&gt;=I338))*($E$21:$E$30="Monthly")*$D$21:$D$30)+SUMPRODUCT(($B$21:$B$30&lt;&gt;"")*($B$21:$B$30&lt;=I338)*(($C$21:$C$30="")+($C$21:$C$30&lt;&gt;"")*($C$21:$C$30&gt;=I338))*($E$21:$E$30="Annual")*(MONTH($B$21:$B$30)=MONTH(I338))*$D$21:$D$30)+SUMPRODUCT(($B$34:$B$48&lt;&gt;"")*(YEAR($B$34:$B$48)=YEAR(I338))*(MONTH($B$34:$B$48)=MONTH(I338))*$C$34:$C$48)),"")</f>
        <v/>
      </c>
      <c r="M338" s="14">
        <f>IF(H338&lt;&gt;"",ROUND(M337-L338,2),"")</f>
        <v/>
      </c>
      <c r="N338" s="10">
        <f>IF(H338&lt;&gt;"",N337+L338,"")</f>
        <v/>
      </c>
      <c r="O338" s="10">
        <f>IF(H338&lt;&gt;"",O337+K338,"")</f>
        <v/>
      </c>
    </row>
    <row r="339">
      <c r="H339" s="7">
        <f>IF(AND(M338&gt;0.005,H338&lt;&gt;""),337,"")</f>
        <v/>
      </c>
      <c r="I339" s="8">
        <f>IF(H339&lt;&gt;"",EDATE(StartDate,336),"")</f>
        <v/>
      </c>
      <c r="J339" s="9">
        <f>IF(H339&lt;&gt;"",MIN(MonthlyPmt,M338+K339),"")</f>
        <v/>
      </c>
      <c r="K339" s="9">
        <f>IF(H339&lt;&gt;"",ROUND(M338*AnnualRate/12,2),"")</f>
        <v/>
      </c>
      <c r="L339" s="9">
        <f>IF(H339&lt;&gt;"",MIN(M338,(J339-K339)+SUMPRODUCT(($B$21:$B$30&lt;&gt;"")*($B$21:$B$30&lt;=I339)*(($C$21:$C$30="")+($C$21:$C$30&lt;&gt;"")*($C$21:$C$30&gt;=I339))*($E$21:$E$30="Monthly")*$D$21:$D$30)+SUMPRODUCT(($B$21:$B$30&lt;&gt;"")*($B$21:$B$30&lt;=I339)*(($C$21:$C$30="")+($C$21:$C$30&lt;&gt;"")*($C$21:$C$30&gt;=I339))*($E$21:$E$30="Annual")*(MONTH($B$21:$B$30)=MONTH(I339))*$D$21:$D$30)+SUMPRODUCT(($B$34:$B$48&lt;&gt;"")*(YEAR($B$34:$B$48)=YEAR(I339))*(MONTH($B$34:$B$48)=MONTH(I339))*$C$34:$C$48)),"")</f>
        <v/>
      </c>
      <c r="M339" s="9">
        <f>IF(H339&lt;&gt;"",ROUND(M338-L339,2),"")</f>
        <v/>
      </c>
      <c r="N339" s="10">
        <f>IF(H339&lt;&gt;"",N338+L339,"")</f>
        <v/>
      </c>
      <c r="O339" s="10">
        <f>IF(H339&lt;&gt;"",O338+K339,"")</f>
        <v/>
      </c>
    </row>
    <row r="340">
      <c r="H340" s="12">
        <f>IF(AND(M339&gt;0.005,H339&lt;&gt;""),338,"")</f>
        <v/>
      </c>
      <c r="I340" s="13">
        <f>IF(H340&lt;&gt;"",EDATE(StartDate,337),"")</f>
        <v/>
      </c>
      <c r="J340" s="14">
        <f>IF(H340&lt;&gt;"",MIN(MonthlyPmt,M339+K340),"")</f>
        <v/>
      </c>
      <c r="K340" s="14">
        <f>IF(H340&lt;&gt;"",ROUND(M339*AnnualRate/12,2),"")</f>
        <v/>
      </c>
      <c r="L340" s="14">
        <f>IF(H340&lt;&gt;"",MIN(M339,(J340-K340)+SUMPRODUCT(($B$21:$B$30&lt;&gt;"")*($B$21:$B$30&lt;=I340)*(($C$21:$C$30="")+($C$21:$C$30&lt;&gt;"")*($C$21:$C$30&gt;=I340))*($E$21:$E$30="Monthly")*$D$21:$D$30)+SUMPRODUCT(($B$21:$B$30&lt;&gt;"")*($B$21:$B$30&lt;=I340)*(($C$21:$C$30="")+($C$21:$C$30&lt;&gt;"")*($C$21:$C$30&gt;=I340))*($E$21:$E$30="Annual")*(MONTH($B$21:$B$30)=MONTH(I340))*$D$21:$D$30)+SUMPRODUCT(($B$34:$B$48&lt;&gt;"")*(YEAR($B$34:$B$48)=YEAR(I340))*(MONTH($B$34:$B$48)=MONTH(I340))*$C$34:$C$48)),"")</f>
        <v/>
      </c>
      <c r="M340" s="14">
        <f>IF(H340&lt;&gt;"",ROUND(M339-L340,2),"")</f>
        <v/>
      </c>
      <c r="N340" s="10">
        <f>IF(H340&lt;&gt;"",N339+L340,"")</f>
        <v/>
      </c>
      <c r="O340" s="10">
        <f>IF(H340&lt;&gt;"",O339+K340,"")</f>
        <v/>
      </c>
    </row>
    <row r="341">
      <c r="H341" s="7">
        <f>IF(AND(M340&gt;0.005,H340&lt;&gt;""),339,"")</f>
        <v/>
      </c>
      <c r="I341" s="8">
        <f>IF(H341&lt;&gt;"",EDATE(StartDate,338),"")</f>
        <v/>
      </c>
      <c r="J341" s="9">
        <f>IF(H341&lt;&gt;"",MIN(MonthlyPmt,M340+K341),"")</f>
        <v/>
      </c>
      <c r="K341" s="9">
        <f>IF(H341&lt;&gt;"",ROUND(M340*AnnualRate/12,2),"")</f>
        <v/>
      </c>
      <c r="L341" s="9">
        <f>IF(H341&lt;&gt;"",MIN(M340,(J341-K341)+SUMPRODUCT(($B$21:$B$30&lt;&gt;"")*($B$21:$B$30&lt;=I341)*(($C$21:$C$30="")+($C$21:$C$30&lt;&gt;"")*($C$21:$C$30&gt;=I341))*($E$21:$E$30="Monthly")*$D$21:$D$30)+SUMPRODUCT(($B$21:$B$30&lt;&gt;"")*($B$21:$B$30&lt;=I341)*(($C$21:$C$30="")+($C$21:$C$30&lt;&gt;"")*($C$21:$C$30&gt;=I341))*($E$21:$E$30="Annual")*(MONTH($B$21:$B$30)=MONTH(I341))*$D$21:$D$30)+SUMPRODUCT(($B$34:$B$48&lt;&gt;"")*(YEAR($B$34:$B$48)=YEAR(I341))*(MONTH($B$34:$B$48)=MONTH(I341))*$C$34:$C$48)),"")</f>
        <v/>
      </c>
      <c r="M341" s="9">
        <f>IF(H341&lt;&gt;"",ROUND(M340-L341,2),"")</f>
        <v/>
      </c>
      <c r="N341" s="10">
        <f>IF(H341&lt;&gt;"",N340+L341,"")</f>
        <v/>
      </c>
      <c r="O341" s="10">
        <f>IF(H341&lt;&gt;"",O340+K341,"")</f>
        <v/>
      </c>
    </row>
    <row r="342">
      <c r="H342" s="12">
        <f>IF(AND(M341&gt;0.005,H341&lt;&gt;""),340,"")</f>
        <v/>
      </c>
      <c r="I342" s="13">
        <f>IF(H342&lt;&gt;"",EDATE(StartDate,339),"")</f>
        <v/>
      </c>
      <c r="J342" s="14">
        <f>IF(H342&lt;&gt;"",MIN(MonthlyPmt,M341+K342),"")</f>
        <v/>
      </c>
      <c r="K342" s="14">
        <f>IF(H342&lt;&gt;"",ROUND(M341*AnnualRate/12,2),"")</f>
        <v/>
      </c>
      <c r="L342" s="14">
        <f>IF(H342&lt;&gt;"",MIN(M341,(J342-K342)+SUMPRODUCT(($B$21:$B$30&lt;&gt;"")*($B$21:$B$30&lt;=I342)*(($C$21:$C$30="")+($C$21:$C$30&lt;&gt;"")*($C$21:$C$30&gt;=I342))*($E$21:$E$30="Monthly")*$D$21:$D$30)+SUMPRODUCT(($B$21:$B$30&lt;&gt;"")*($B$21:$B$30&lt;=I342)*(($C$21:$C$30="")+($C$21:$C$30&lt;&gt;"")*($C$21:$C$30&gt;=I342))*($E$21:$E$30="Annual")*(MONTH($B$21:$B$30)=MONTH(I342))*$D$21:$D$30)+SUMPRODUCT(($B$34:$B$48&lt;&gt;"")*(YEAR($B$34:$B$48)=YEAR(I342))*(MONTH($B$34:$B$48)=MONTH(I342))*$C$34:$C$48)),"")</f>
        <v/>
      </c>
      <c r="M342" s="14">
        <f>IF(H342&lt;&gt;"",ROUND(M341-L342,2),"")</f>
        <v/>
      </c>
      <c r="N342" s="10">
        <f>IF(H342&lt;&gt;"",N341+L342,"")</f>
        <v/>
      </c>
      <c r="O342" s="10">
        <f>IF(H342&lt;&gt;"",O341+K342,"")</f>
        <v/>
      </c>
    </row>
    <row r="343">
      <c r="H343" s="7">
        <f>IF(AND(M342&gt;0.005,H342&lt;&gt;""),341,"")</f>
        <v/>
      </c>
      <c r="I343" s="8">
        <f>IF(H343&lt;&gt;"",EDATE(StartDate,340),"")</f>
        <v/>
      </c>
      <c r="J343" s="9">
        <f>IF(H343&lt;&gt;"",MIN(MonthlyPmt,M342+K343),"")</f>
        <v/>
      </c>
      <c r="K343" s="9">
        <f>IF(H343&lt;&gt;"",ROUND(M342*AnnualRate/12,2),"")</f>
        <v/>
      </c>
      <c r="L343" s="9">
        <f>IF(H343&lt;&gt;"",MIN(M342,(J343-K343)+SUMPRODUCT(($B$21:$B$30&lt;&gt;"")*($B$21:$B$30&lt;=I343)*(($C$21:$C$30="")+($C$21:$C$30&lt;&gt;"")*($C$21:$C$30&gt;=I343))*($E$21:$E$30="Monthly")*$D$21:$D$30)+SUMPRODUCT(($B$21:$B$30&lt;&gt;"")*($B$21:$B$30&lt;=I343)*(($C$21:$C$30="")+($C$21:$C$30&lt;&gt;"")*($C$21:$C$30&gt;=I343))*($E$21:$E$30="Annual")*(MONTH($B$21:$B$30)=MONTH(I343))*$D$21:$D$30)+SUMPRODUCT(($B$34:$B$48&lt;&gt;"")*(YEAR($B$34:$B$48)=YEAR(I343))*(MONTH($B$34:$B$48)=MONTH(I343))*$C$34:$C$48)),"")</f>
        <v/>
      </c>
      <c r="M343" s="9">
        <f>IF(H343&lt;&gt;"",ROUND(M342-L343,2),"")</f>
        <v/>
      </c>
      <c r="N343" s="10">
        <f>IF(H343&lt;&gt;"",N342+L343,"")</f>
        <v/>
      </c>
      <c r="O343" s="10">
        <f>IF(H343&lt;&gt;"",O342+K343,"")</f>
        <v/>
      </c>
    </row>
    <row r="344">
      <c r="H344" s="12">
        <f>IF(AND(M343&gt;0.005,H343&lt;&gt;""),342,"")</f>
        <v/>
      </c>
      <c r="I344" s="13">
        <f>IF(H344&lt;&gt;"",EDATE(StartDate,341),"")</f>
        <v/>
      </c>
      <c r="J344" s="14">
        <f>IF(H344&lt;&gt;"",MIN(MonthlyPmt,M343+K344),"")</f>
        <v/>
      </c>
      <c r="K344" s="14">
        <f>IF(H344&lt;&gt;"",ROUND(M343*AnnualRate/12,2),"")</f>
        <v/>
      </c>
      <c r="L344" s="14">
        <f>IF(H344&lt;&gt;"",MIN(M343,(J344-K344)+SUMPRODUCT(($B$21:$B$30&lt;&gt;"")*($B$21:$B$30&lt;=I344)*(($C$21:$C$30="")+($C$21:$C$30&lt;&gt;"")*($C$21:$C$30&gt;=I344))*($E$21:$E$30="Monthly")*$D$21:$D$30)+SUMPRODUCT(($B$21:$B$30&lt;&gt;"")*($B$21:$B$30&lt;=I344)*(($C$21:$C$30="")+($C$21:$C$30&lt;&gt;"")*($C$21:$C$30&gt;=I344))*($E$21:$E$30="Annual")*(MONTH($B$21:$B$30)=MONTH(I344))*$D$21:$D$30)+SUMPRODUCT(($B$34:$B$48&lt;&gt;"")*(YEAR($B$34:$B$48)=YEAR(I344))*(MONTH($B$34:$B$48)=MONTH(I344))*$C$34:$C$48)),"")</f>
        <v/>
      </c>
      <c r="M344" s="14">
        <f>IF(H344&lt;&gt;"",ROUND(M343-L344,2),"")</f>
        <v/>
      </c>
      <c r="N344" s="10">
        <f>IF(H344&lt;&gt;"",N343+L344,"")</f>
        <v/>
      </c>
      <c r="O344" s="10">
        <f>IF(H344&lt;&gt;"",O343+K344,"")</f>
        <v/>
      </c>
    </row>
    <row r="345">
      <c r="H345" s="7">
        <f>IF(AND(M344&gt;0.005,H344&lt;&gt;""),343,"")</f>
        <v/>
      </c>
      <c r="I345" s="8">
        <f>IF(H345&lt;&gt;"",EDATE(StartDate,342),"")</f>
        <v/>
      </c>
      <c r="J345" s="9">
        <f>IF(H345&lt;&gt;"",MIN(MonthlyPmt,M344+K345),"")</f>
        <v/>
      </c>
      <c r="K345" s="9">
        <f>IF(H345&lt;&gt;"",ROUND(M344*AnnualRate/12,2),"")</f>
        <v/>
      </c>
      <c r="L345" s="9">
        <f>IF(H345&lt;&gt;"",MIN(M344,(J345-K345)+SUMPRODUCT(($B$21:$B$30&lt;&gt;"")*($B$21:$B$30&lt;=I345)*(($C$21:$C$30="")+($C$21:$C$30&lt;&gt;"")*($C$21:$C$30&gt;=I345))*($E$21:$E$30="Monthly")*$D$21:$D$30)+SUMPRODUCT(($B$21:$B$30&lt;&gt;"")*($B$21:$B$30&lt;=I345)*(($C$21:$C$30="")+($C$21:$C$30&lt;&gt;"")*($C$21:$C$30&gt;=I345))*($E$21:$E$30="Annual")*(MONTH($B$21:$B$30)=MONTH(I345))*$D$21:$D$30)+SUMPRODUCT(($B$34:$B$48&lt;&gt;"")*(YEAR($B$34:$B$48)=YEAR(I345))*(MONTH($B$34:$B$48)=MONTH(I345))*$C$34:$C$48)),"")</f>
        <v/>
      </c>
      <c r="M345" s="9">
        <f>IF(H345&lt;&gt;"",ROUND(M344-L345,2),"")</f>
        <v/>
      </c>
      <c r="N345" s="10">
        <f>IF(H345&lt;&gt;"",N344+L345,"")</f>
        <v/>
      </c>
      <c r="O345" s="10">
        <f>IF(H345&lt;&gt;"",O344+K345,"")</f>
        <v/>
      </c>
    </row>
    <row r="346">
      <c r="H346" s="12">
        <f>IF(AND(M345&gt;0.005,H345&lt;&gt;""),344,"")</f>
        <v/>
      </c>
      <c r="I346" s="13">
        <f>IF(H346&lt;&gt;"",EDATE(StartDate,343),"")</f>
        <v/>
      </c>
      <c r="J346" s="14">
        <f>IF(H346&lt;&gt;"",MIN(MonthlyPmt,M345+K346),"")</f>
        <v/>
      </c>
      <c r="K346" s="14">
        <f>IF(H346&lt;&gt;"",ROUND(M345*AnnualRate/12,2),"")</f>
        <v/>
      </c>
      <c r="L346" s="14">
        <f>IF(H346&lt;&gt;"",MIN(M345,(J346-K346)+SUMPRODUCT(($B$21:$B$30&lt;&gt;"")*($B$21:$B$30&lt;=I346)*(($C$21:$C$30="")+($C$21:$C$30&lt;&gt;"")*($C$21:$C$30&gt;=I346))*($E$21:$E$30="Monthly")*$D$21:$D$30)+SUMPRODUCT(($B$21:$B$30&lt;&gt;"")*($B$21:$B$30&lt;=I346)*(($C$21:$C$30="")+($C$21:$C$30&lt;&gt;"")*($C$21:$C$30&gt;=I346))*($E$21:$E$30="Annual")*(MONTH($B$21:$B$30)=MONTH(I346))*$D$21:$D$30)+SUMPRODUCT(($B$34:$B$48&lt;&gt;"")*(YEAR($B$34:$B$48)=YEAR(I346))*(MONTH($B$34:$B$48)=MONTH(I346))*$C$34:$C$48)),"")</f>
        <v/>
      </c>
      <c r="M346" s="14">
        <f>IF(H346&lt;&gt;"",ROUND(M345-L346,2),"")</f>
        <v/>
      </c>
      <c r="N346" s="10">
        <f>IF(H346&lt;&gt;"",N345+L346,"")</f>
        <v/>
      </c>
      <c r="O346" s="10">
        <f>IF(H346&lt;&gt;"",O345+K346,"")</f>
        <v/>
      </c>
    </row>
    <row r="347">
      <c r="H347" s="7">
        <f>IF(AND(M346&gt;0.005,H346&lt;&gt;""),345,"")</f>
        <v/>
      </c>
      <c r="I347" s="8">
        <f>IF(H347&lt;&gt;"",EDATE(StartDate,344),"")</f>
        <v/>
      </c>
      <c r="J347" s="9">
        <f>IF(H347&lt;&gt;"",MIN(MonthlyPmt,M346+K347),"")</f>
        <v/>
      </c>
      <c r="K347" s="9">
        <f>IF(H347&lt;&gt;"",ROUND(M346*AnnualRate/12,2),"")</f>
        <v/>
      </c>
      <c r="L347" s="9">
        <f>IF(H347&lt;&gt;"",MIN(M346,(J347-K347)+SUMPRODUCT(($B$21:$B$30&lt;&gt;"")*($B$21:$B$30&lt;=I347)*(($C$21:$C$30="")+($C$21:$C$30&lt;&gt;"")*($C$21:$C$30&gt;=I347))*($E$21:$E$30="Monthly")*$D$21:$D$30)+SUMPRODUCT(($B$21:$B$30&lt;&gt;"")*($B$21:$B$30&lt;=I347)*(($C$21:$C$30="")+($C$21:$C$30&lt;&gt;"")*($C$21:$C$30&gt;=I347))*($E$21:$E$30="Annual")*(MONTH($B$21:$B$30)=MONTH(I347))*$D$21:$D$30)+SUMPRODUCT(($B$34:$B$48&lt;&gt;"")*(YEAR($B$34:$B$48)=YEAR(I347))*(MONTH($B$34:$B$48)=MONTH(I347))*$C$34:$C$48)),"")</f>
        <v/>
      </c>
      <c r="M347" s="9">
        <f>IF(H347&lt;&gt;"",ROUND(M346-L347,2),"")</f>
        <v/>
      </c>
      <c r="N347" s="10">
        <f>IF(H347&lt;&gt;"",N346+L347,"")</f>
        <v/>
      </c>
      <c r="O347" s="10">
        <f>IF(H347&lt;&gt;"",O346+K347,"")</f>
        <v/>
      </c>
    </row>
    <row r="348">
      <c r="H348" s="12">
        <f>IF(AND(M347&gt;0.005,H347&lt;&gt;""),346,"")</f>
        <v/>
      </c>
      <c r="I348" s="13">
        <f>IF(H348&lt;&gt;"",EDATE(StartDate,345),"")</f>
        <v/>
      </c>
      <c r="J348" s="14">
        <f>IF(H348&lt;&gt;"",MIN(MonthlyPmt,M347+K348),"")</f>
        <v/>
      </c>
      <c r="K348" s="14">
        <f>IF(H348&lt;&gt;"",ROUND(M347*AnnualRate/12,2),"")</f>
        <v/>
      </c>
      <c r="L348" s="14">
        <f>IF(H348&lt;&gt;"",MIN(M347,(J348-K348)+SUMPRODUCT(($B$21:$B$30&lt;&gt;"")*($B$21:$B$30&lt;=I348)*(($C$21:$C$30="")+($C$21:$C$30&lt;&gt;"")*($C$21:$C$30&gt;=I348))*($E$21:$E$30="Monthly")*$D$21:$D$30)+SUMPRODUCT(($B$21:$B$30&lt;&gt;"")*($B$21:$B$30&lt;=I348)*(($C$21:$C$30="")+($C$21:$C$30&lt;&gt;"")*($C$21:$C$30&gt;=I348))*($E$21:$E$30="Annual")*(MONTH($B$21:$B$30)=MONTH(I348))*$D$21:$D$30)+SUMPRODUCT(($B$34:$B$48&lt;&gt;"")*(YEAR($B$34:$B$48)=YEAR(I348))*(MONTH($B$34:$B$48)=MONTH(I348))*$C$34:$C$48)),"")</f>
        <v/>
      </c>
      <c r="M348" s="14">
        <f>IF(H348&lt;&gt;"",ROUND(M347-L348,2),"")</f>
        <v/>
      </c>
      <c r="N348" s="10">
        <f>IF(H348&lt;&gt;"",N347+L348,"")</f>
        <v/>
      </c>
      <c r="O348" s="10">
        <f>IF(H348&lt;&gt;"",O347+K348,"")</f>
        <v/>
      </c>
    </row>
    <row r="349">
      <c r="H349" s="7">
        <f>IF(AND(M348&gt;0.005,H348&lt;&gt;""),347,"")</f>
        <v/>
      </c>
      <c r="I349" s="8">
        <f>IF(H349&lt;&gt;"",EDATE(StartDate,346),"")</f>
        <v/>
      </c>
      <c r="J349" s="9">
        <f>IF(H349&lt;&gt;"",MIN(MonthlyPmt,M348+K349),"")</f>
        <v/>
      </c>
      <c r="K349" s="9">
        <f>IF(H349&lt;&gt;"",ROUND(M348*AnnualRate/12,2),"")</f>
        <v/>
      </c>
      <c r="L349" s="9">
        <f>IF(H349&lt;&gt;"",MIN(M348,(J349-K349)+SUMPRODUCT(($B$21:$B$30&lt;&gt;"")*($B$21:$B$30&lt;=I349)*(($C$21:$C$30="")+($C$21:$C$30&lt;&gt;"")*($C$21:$C$30&gt;=I349))*($E$21:$E$30="Monthly")*$D$21:$D$30)+SUMPRODUCT(($B$21:$B$30&lt;&gt;"")*($B$21:$B$30&lt;=I349)*(($C$21:$C$30="")+($C$21:$C$30&lt;&gt;"")*($C$21:$C$30&gt;=I349))*($E$21:$E$30="Annual")*(MONTH($B$21:$B$30)=MONTH(I349))*$D$21:$D$30)+SUMPRODUCT(($B$34:$B$48&lt;&gt;"")*(YEAR($B$34:$B$48)=YEAR(I349))*(MONTH($B$34:$B$48)=MONTH(I349))*$C$34:$C$48)),"")</f>
        <v/>
      </c>
      <c r="M349" s="9">
        <f>IF(H349&lt;&gt;"",ROUND(M348-L349,2),"")</f>
        <v/>
      </c>
      <c r="N349" s="10">
        <f>IF(H349&lt;&gt;"",N348+L349,"")</f>
        <v/>
      </c>
      <c r="O349" s="10">
        <f>IF(H349&lt;&gt;"",O348+K349,"")</f>
        <v/>
      </c>
    </row>
    <row r="350">
      <c r="H350" s="12">
        <f>IF(AND(M349&gt;0.005,H349&lt;&gt;""),348,"")</f>
        <v/>
      </c>
      <c r="I350" s="13">
        <f>IF(H350&lt;&gt;"",EDATE(StartDate,347),"")</f>
        <v/>
      </c>
      <c r="J350" s="14">
        <f>IF(H350&lt;&gt;"",MIN(MonthlyPmt,M349+K350),"")</f>
        <v/>
      </c>
      <c r="K350" s="14">
        <f>IF(H350&lt;&gt;"",ROUND(M349*AnnualRate/12,2),"")</f>
        <v/>
      </c>
      <c r="L350" s="14">
        <f>IF(H350&lt;&gt;"",MIN(M349,(J350-K350)+SUMPRODUCT(($B$21:$B$30&lt;&gt;"")*($B$21:$B$30&lt;=I350)*(($C$21:$C$30="")+($C$21:$C$30&lt;&gt;"")*($C$21:$C$30&gt;=I350))*($E$21:$E$30="Monthly")*$D$21:$D$30)+SUMPRODUCT(($B$21:$B$30&lt;&gt;"")*($B$21:$B$30&lt;=I350)*(($C$21:$C$30="")+($C$21:$C$30&lt;&gt;"")*($C$21:$C$30&gt;=I350))*($E$21:$E$30="Annual")*(MONTH($B$21:$B$30)=MONTH(I350))*$D$21:$D$30)+SUMPRODUCT(($B$34:$B$48&lt;&gt;"")*(YEAR($B$34:$B$48)=YEAR(I350))*(MONTH($B$34:$B$48)=MONTH(I350))*$C$34:$C$48)),"")</f>
        <v/>
      </c>
      <c r="M350" s="14">
        <f>IF(H350&lt;&gt;"",ROUND(M349-L350,2),"")</f>
        <v/>
      </c>
      <c r="N350" s="10">
        <f>IF(H350&lt;&gt;"",N349+L350,"")</f>
        <v/>
      </c>
      <c r="O350" s="10">
        <f>IF(H350&lt;&gt;"",O349+K350,"")</f>
        <v/>
      </c>
    </row>
    <row r="351">
      <c r="H351" s="7">
        <f>IF(AND(M350&gt;0.005,H350&lt;&gt;""),349,"")</f>
        <v/>
      </c>
      <c r="I351" s="8">
        <f>IF(H351&lt;&gt;"",EDATE(StartDate,348),"")</f>
        <v/>
      </c>
      <c r="J351" s="9">
        <f>IF(H351&lt;&gt;"",MIN(MonthlyPmt,M350+K351),"")</f>
        <v/>
      </c>
      <c r="K351" s="9">
        <f>IF(H351&lt;&gt;"",ROUND(M350*AnnualRate/12,2),"")</f>
        <v/>
      </c>
      <c r="L351" s="9">
        <f>IF(H351&lt;&gt;"",MIN(M350,(J351-K351)+SUMPRODUCT(($B$21:$B$30&lt;&gt;"")*($B$21:$B$30&lt;=I351)*(($C$21:$C$30="")+($C$21:$C$30&lt;&gt;"")*($C$21:$C$30&gt;=I351))*($E$21:$E$30="Monthly")*$D$21:$D$30)+SUMPRODUCT(($B$21:$B$30&lt;&gt;"")*($B$21:$B$30&lt;=I351)*(($C$21:$C$30="")+($C$21:$C$30&lt;&gt;"")*($C$21:$C$30&gt;=I351))*($E$21:$E$30="Annual")*(MONTH($B$21:$B$30)=MONTH(I351))*$D$21:$D$30)+SUMPRODUCT(($B$34:$B$48&lt;&gt;"")*(YEAR($B$34:$B$48)=YEAR(I351))*(MONTH($B$34:$B$48)=MONTH(I351))*$C$34:$C$48)),"")</f>
        <v/>
      </c>
      <c r="M351" s="9">
        <f>IF(H351&lt;&gt;"",ROUND(M350-L351,2),"")</f>
        <v/>
      </c>
      <c r="N351" s="10">
        <f>IF(H351&lt;&gt;"",N350+L351,"")</f>
        <v/>
      </c>
      <c r="O351" s="10">
        <f>IF(H351&lt;&gt;"",O350+K351,"")</f>
        <v/>
      </c>
    </row>
    <row r="352">
      <c r="H352" s="12">
        <f>IF(AND(M351&gt;0.005,H351&lt;&gt;""),350,"")</f>
        <v/>
      </c>
      <c r="I352" s="13">
        <f>IF(H352&lt;&gt;"",EDATE(StartDate,349),"")</f>
        <v/>
      </c>
      <c r="J352" s="14">
        <f>IF(H352&lt;&gt;"",MIN(MonthlyPmt,M351+K352),"")</f>
        <v/>
      </c>
      <c r="K352" s="14">
        <f>IF(H352&lt;&gt;"",ROUND(M351*AnnualRate/12,2),"")</f>
        <v/>
      </c>
      <c r="L352" s="14">
        <f>IF(H352&lt;&gt;"",MIN(M351,(J352-K352)+SUMPRODUCT(($B$21:$B$30&lt;&gt;"")*($B$21:$B$30&lt;=I352)*(($C$21:$C$30="")+($C$21:$C$30&lt;&gt;"")*($C$21:$C$30&gt;=I352))*($E$21:$E$30="Monthly")*$D$21:$D$30)+SUMPRODUCT(($B$21:$B$30&lt;&gt;"")*($B$21:$B$30&lt;=I352)*(($C$21:$C$30="")+($C$21:$C$30&lt;&gt;"")*($C$21:$C$30&gt;=I352))*($E$21:$E$30="Annual")*(MONTH($B$21:$B$30)=MONTH(I352))*$D$21:$D$30)+SUMPRODUCT(($B$34:$B$48&lt;&gt;"")*(YEAR($B$34:$B$48)=YEAR(I352))*(MONTH($B$34:$B$48)=MONTH(I352))*$C$34:$C$48)),"")</f>
        <v/>
      </c>
      <c r="M352" s="14">
        <f>IF(H352&lt;&gt;"",ROUND(M351-L352,2),"")</f>
        <v/>
      </c>
      <c r="N352" s="10">
        <f>IF(H352&lt;&gt;"",N351+L352,"")</f>
        <v/>
      </c>
      <c r="O352" s="10">
        <f>IF(H352&lt;&gt;"",O351+K352,"")</f>
        <v/>
      </c>
    </row>
    <row r="353">
      <c r="H353" s="7">
        <f>IF(AND(M352&gt;0.005,H352&lt;&gt;""),351,"")</f>
        <v/>
      </c>
      <c r="I353" s="8">
        <f>IF(H353&lt;&gt;"",EDATE(StartDate,350),"")</f>
        <v/>
      </c>
      <c r="J353" s="9">
        <f>IF(H353&lt;&gt;"",MIN(MonthlyPmt,M352+K353),"")</f>
        <v/>
      </c>
      <c r="K353" s="9">
        <f>IF(H353&lt;&gt;"",ROUND(M352*AnnualRate/12,2),"")</f>
        <v/>
      </c>
      <c r="L353" s="9">
        <f>IF(H353&lt;&gt;"",MIN(M352,(J353-K353)+SUMPRODUCT(($B$21:$B$30&lt;&gt;"")*($B$21:$B$30&lt;=I353)*(($C$21:$C$30="")+($C$21:$C$30&lt;&gt;"")*($C$21:$C$30&gt;=I353))*($E$21:$E$30="Monthly")*$D$21:$D$30)+SUMPRODUCT(($B$21:$B$30&lt;&gt;"")*($B$21:$B$30&lt;=I353)*(($C$21:$C$30="")+($C$21:$C$30&lt;&gt;"")*($C$21:$C$30&gt;=I353))*($E$21:$E$30="Annual")*(MONTH($B$21:$B$30)=MONTH(I353))*$D$21:$D$30)+SUMPRODUCT(($B$34:$B$48&lt;&gt;"")*(YEAR($B$34:$B$48)=YEAR(I353))*(MONTH($B$34:$B$48)=MONTH(I353))*$C$34:$C$48)),"")</f>
        <v/>
      </c>
      <c r="M353" s="9">
        <f>IF(H353&lt;&gt;"",ROUND(M352-L353,2),"")</f>
        <v/>
      </c>
      <c r="N353" s="10">
        <f>IF(H353&lt;&gt;"",N352+L353,"")</f>
        <v/>
      </c>
      <c r="O353" s="10">
        <f>IF(H353&lt;&gt;"",O352+K353,"")</f>
        <v/>
      </c>
    </row>
    <row r="354">
      <c r="H354" s="12">
        <f>IF(AND(M353&gt;0.005,H353&lt;&gt;""),352,"")</f>
        <v/>
      </c>
      <c r="I354" s="13">
        <f>IF(H354&lt;&gt;"",EDATE(StartDate,351),"")</f>
        <v/>
      </c>
      <c r="J354" s="14">
        <f>IF(H354&lt;&gt;"",MIN(MonthlyPmt,M353+K354),"")</f>
        <v/>
      </c>
      <c r="K354" s="14">
        <f>IF(H354&lt;&gt;"",ROUND(M353*AnnualRate/12,2),"")</f>
        <v/>
      </c>
      <c r="L354" s="14">
        <f>IF(H354&lt;&gt;"",MIN(M353,(J354-K354)+SUMPRODUCT(($B$21:$B$30&lt;&gt;"")*($B$21:$B$30&lt;=I354)*(($C$21:$C$30="")+($C$21:$C$30&lt;&gt;"")*($C$21:$C$30&gt;=I354))*($E$21:$E$30="Monthly")*$D$21:$D$30)+SUMPRODUCT(($B$21:$B$30&lt;&gt;"")*($B$21:$B$30&lt;=I354)*(($C$21:$C$30="")+($C$21:$C$30&lt;&gt;"")*($C$21:$C$30&gt;=I354))*($E$21:$E$30="Annual")*(MONTH($B$21:$B$30)=MONTH(I354))*$D$21:$D$30)+SUMPRODUCT(($B$34:$B$48&lt;&gt;"")*(YEAR($B$34:$B$48)=YEAR(I354))*(MONTH($B$34:$B$48)=MONTH(I354))*$C$34:$C$48)),"")</f>
        <v/>
      </c>
      <c r="M354" s="14">
        <f>IF(H354&lt;&gt;"",ROUND(M353-L354,2),"")</f>
        <v/>
      </c>
      <c r="N354" s="10">
        <f>IF(H354&lt;&gt;"",N353+L354,"")</f>
        <v/>
      </c>
      <c r="O354" s="10">
        <f>IF(H354&lt;&gt;"",O353+K354,"")</f>
        <v/>
      </c>
    </row>
    <row r="355">
      <c r="H355" s="7">
        <f>IF(AND(M354&gt;0.005,H354&lt;&gt;""),353,"")</f>
        <v/>
      </c>
      <c r="I355" s="8">
        <f>IF(H355&lt;&gt;"",EDATE(StartDate,352),"")</f>
        <v/>
      </c>
      <c r="J355" s="9">
        <f>IF(H355&lt;&gt;"",MIN(MonthlyPmt,M354+K355),"")</f>
        <v/>
      </c>
      <c r="K355" s="9">
        <f>IF(H355&lt;&gt;"",ROUND(M354*AnnualRate/12,2),"")</f>
        <v/>
      </c>
      <c r="L355" s="9">
        <f>IF(H355&lt;&gt;"",MIN(M354,(J355-K355)+SUMPRODUCT(($B$21:$B$30&lt;&gt;"")*($B$21:$B$30&lt;=I355)*(($C$21:$C$30="")+($C$21:$C$30&lt;&gt;"")*($C$21:$C$30&gt;=I355))*($E$21:$E$30="Monthly")*$D$21:$D$30)+SUMPRODUCT(($B$21:$B$30&lt;&gt;"")*($B$21:$B$30&lt;=I355)*(($C$21:$C$30="")+($C$21:$C$30&lt;&gt;"")*($C$21:$C$30&gt;=I355))*($E$21:$E$30="Annual")*(MONTH($B$21:$B$30)=MONTH(I355))*$D$21:$D$30)+SUMPRODUCT(($B$34:$B$48&lt;&gt;"")*(YEAR($B$34:$B$48)=YEAR(I355))*(MONTH($B$34:$B$48)=MONTH(I355))*$C$34:$C$48)),"")</f>
        <v/>
      </c>
      <c r="M355" s="9">
        <f>IF(H355&lt;&gt;"",ROUND(M354-L355,2),"")</f>
        <v/>
      </c>
      <c r="N355" s="10">
        <f>IF(H355&lt;&gt;"",N354+L355,"")</f>
        <v/>
      </c>
      <c r="O355" s="10">
        <f>IF(H355&lt;&gt;"",O354+K355,"")</f>
        <v/>
      </c>
    </row>
    <row r="356">
      <c r="H356" s="12">
        <f>IF(AND(M355&gt;0.005,H355&lt;&gt;""),354,"")</f>
        <v/>
      </c>
      <c r="I356" s="13">
        <f>IF(H356&lt;&gt;"",EDATE(StartDate,353),"")</f>
        <v/>
      </c>
      <c r="J356" s="14">
        <f>IF(H356&lt;&gt;"",MIN(MonthlyPmt,M355+K356),"")</f>
        <v/>
      </c>
      <c r="K356" s="14">
        <f>IF(H356&lt;&gt;"",ROUND(M355*AnnualRate/12,2),"")</f>
        <v/>
      </c>
      <c r="L356" s="14">
        <f>IF(H356&lt;&gt;"",MIN(M355,(J356-K356)+SUMPRODUCT(($B$21:$B$30&lt;&gt;"")*($B$21:$B$30&lt;=I356)*(($C$21:$C$30="")+($C$21:$C$30&lt;&gt;"")*($C$21:$C$30&gt;=I356))*($E$21:$E$30="Monthly")*$D$21:$D$30)+SUMPRODUCT(($B$21:$B$30&lt;&gt;"")*($B$21:$B$30&lt;=I356)*(($C$21:$C$30="")+($C$21:$C$30&lt;&gt;"")*($C$21:$C$30&gt;=I356))*($E$21:$E$30="Annual")*(MONTH($B$21:$B$30)=MONTH(I356))*$D$21:$D$30)+SUMPRODUCT(($B$34:$B$48&lt;&gt;"")*(YEAR($B$34:$B$48)=YEAR(I356))*(MONTH($B$34:$B$48)=MONTH(I356))*$C$34:$C$48)),"")</f>
        <v/>
      </c>
      <c r="M356" s="14">
        <f>IF(H356&lt;&gt;"",ROUND(M355-L356,2),"")</f>
        <v/>
      </c>
      <c r="N356" s="10">
        <f>IF(H356&lt;&gt;"",N355+L356,"")</f>
        <v/>
      </c>
      <c r="O356" s="10">
        <f>IF(H356&lt;&gt;"",O355+K356,"")</f>
        <v/>
      </c>
    </row>
    <row r="357">
      <c r="H357" s="7">
        <f>IF(AND(M356&gt;0.005,H356&lt;&gt;""),355,"")</f>
        <v/>
      </c>
      <c r="I357" s="8">
        <f>IF(H357&lt;&gt;"",EDATE(StartDate,354),"")</f>
        <v/>
      </c>
      <c r="J357" s="9">
        <f>IF(H357&lt;&gt;"",MIN(MonthlyPmt,M356+K357),"")</f>
        <v/>
      </c>
      <c r="K357" s="9">
        <f>IF(H357&lt;&gt;"",ROUND(M356*AnnualRate/12,2),"")</f>
        <v/>
      </c>
      <c r="L357" s="9">
        <f>IF(H357&lt;&gt;"",MIN(M356,(J357-K357)+SUMPRODUCT(($B$21:$B$30&lt;&gt;"")*($B$21:$B$30&lt;=I357)*(($C$21:$C$30="")+($C$21:$C$30&lt;&gt;"")*($C$21:$C$30&gt;=I357))*($E$21:$E$30="Monthly")*$D$21:$D$30)+SUMPRODUCT(($B$21:$B$30&lt;&gt;"")*($B$21:$B$30&lt;=I357)*(($C$21:$C$30="")+($C$21:$C$30&lt;&gt;"")*($C$21:$C$30&gt;=I357))*($E$21:$E$30="Annual")*(MONTH($B$21:$B$30)=MONTH(I357))*$D$21:$D$30)+SUMPRODUCT(($B$34:$B$48&lt;&gt;"")*(YEAR($B$34:$B$48)=YEAR(I357))*(MONTH($B$34:$B$48)=MONTH(I357))*$C$34:$C$48)),"")</f>
        <v/>
      </c>
      <c r="M357" s="9">
        <f>IF(H357&lt;&gt;"",ROUND(M356-L357,2),"")</f>
        <v/>
      </c>
      <c r="N357" s="10">
        <f>IF(H357&lt;&gt;"",N356+L357,"")</f>
        <v/>
      </c>
      <c r="O357" s="10">
        <f>IF(H357&lt;&gt;"",O356+K357,"")</f>
        <v/>
      </c>
    </row>
    <row r="358">
      <c r="H358" s="12">
        <f>IF(AND(M357&gt;0.005,H357&lt;&gt;""),356,"")</f>
        <v/>
      </c>
      <c r="I358" s="13">
        <f>IF(H358&lt;&gt;"",EDATE(StartDate,355),"")</f>
        <v/>
      </c>
      <c r="J358" s="14">
        <f>IF(H358&lt;&gt;"",MIN(MonthlyPmt,M357+K358),"")</f>
        <v/>
      </c>
      <c r="K358" s="14">
        <f>IF(H358&lt;&gt;"",ROUND(M357*AnnualRate/12,2),"")</f>
        <v/>
      </c>
      <c r="L358" s="14">
        <f>IF(H358&lt;&gt;"",MIN(M357,(J358-K358)+SUMPRODUCT(($B$21:$B$30&lt;&gt;"")*($B$21:$B$30&lt;=I358)*(($C$21:$C$30="")+($C$21:$C$30&lt;&gt;"")*($C$21:$C$30&gt;=I358))*($E$21:$E$30="Monthly")*$D$21:$D$30)+SUMPRODUCT(($B$21:$B$30&lt;&gt;"")*($B$21:$B$30&lt;=I358)*(($C$21:$C$30="")+($C$21:$C$30&lt;&gt;"")*($C$21:$C$30&gt;=I358))*($E$21:$E$30="Annual")*(MONTH($B$21:$B$30)=MONTH(I358))*$D$21:$D$30)+SUMPRODUCT(($B$34:$B$48&lt;&gt;"")*(YEAR($B$34:$B$48)=YEAR(I358))*(MONTH($B$34:$B$48)=MONTH(I358))*$C$34:$C$48)),"")</f>
        <v/>
      </c>
      <c r="M358" s="14">
        <f>IF(H358&lt;&gt;"",ROUND(M357-L358,2),"")</f>
        <v/>
      </c>
      <c r="N358" s="10">
        <f>IF(H358&lt;&gt;"",N357+L358,"")</f>
        <v/>
      </c>
      <c r="O358" s="10">
        <f>IF(H358&lt;&gt;"",O357+K358,"")</f>
        <v/>
      </c>
    </row>
    <row r="359">
      <c r="H359" s="7">
        <f>IF(AND(M358&gt;0.005,H358&lt;&gt;""),357,"")</f>
        <v/>
      </c>
      <c r="I359" s="8">
        <f>IF(H359&lt;&gt;"",EDATE(StartDate,356),"")</f>
        <v/>
      </c>
      <c r="J359" s="9">
        <f>IF(H359&lt;&gt;"",MIN(MonthlyPmt,M358+K359),"")</f>
        <v/>
      </c>
      <c r="K359" s="9">
        <f>IF(H359&lt;&gt;"",ROUND(M358*AnnualRate/12,2),"")</f>
        <v/>
      </c>
      <c r="L359" s="9">
        <f>IF(H359&lt;&gt;"",MIN(M358,(J359-K359)+SUMPRODUCT(($B$21:$B$30&lt;&gt;"")*($B$21:$B$30&lt;=I359)*(($C$21:$C$30="")+($C$21:$C$30&lt;&gt;"")*($C$21:$C$30&gt;=I359))*($E$21:$E$30="Monthly")*$D$21:$D$30)+SUMPRODUCT(($B$21:$B$30&lt;&gt;"")*($B$21:$B$30&lt;=I359)*(($C$21:$C$30="")+($C$21:$C$30&lt;&gt;"")*($C$21:$C$30&gt;=I359))*($E$21:$E$30="Annual")*(MONTH($B$21:$B$30)=MONTH(I359))*$D$21:$D$30)+SUMPRODUCT(($B$34:$B$48&lt;&gt;"")*(YEAR($B$34:$B$48)=YEAR(I359))*(MONTH($B$34:$B$48)=MONTH(I359))*$C$34:$C$48)),"")</f>
        <v/>
      </c>
      <c r="M359" s="9">
        <f>IF(H359&lt;&gt;"",ROUND(M358-L359,2),"")</f>
        <v/>
      </c>
      <c r="N359" s="10">
        <f>IF(H359&lt;&gt;"",N358+L359,"")</f>
        <v/>
      </c>
      <c r="O359" s="10">
        <f>IF(H359&lt;&gt;"",O358+K359,"")</f>
        <v/>
      </c>
    </row>
    <row r="360">
      <c r="H360" s="12">
        <f>IF(AND(M359&gt;0.005,H359&lt;&gt;""),358,"")</f>
        <v/>
      </c>
      <c r="I360" s="13">
        <f>IF(H360&lt;&gt;"",EDATE(StartDate,357),"")</f>
        <v/>
      </c>
      <c r="J360" s="14">
        <f>IF(H360&lt;&gt;"",MIN(MonthlyPmt,M359+K360),"")</f>
        <v/>
      </c>
      <c r="K360" s="14">
        <f>IF(H360&lt;&gt;"",ROUND(M359*AnnualRate/12,2),"")</f>
        <v/>
      </c>
      <c r="L360" s="14">
        <f>IF(H360&lt;&gt;"",MIN(M359,(J360-K360)+SUMPRODUCT(($B$21:$B$30&lt;&gt;"")*($B$21:$B$30&lt;=I360)*(($C$21:$C$30="")+($C$21:$C$30&lt;&gt;"")*($C$21:$C$30&gt;=I360))*($E$21:$E$30="Monthly")*$D$21:$D$30)+SUMPRODUCT(($B$21:$B$30&lt;&gt;"")*($B$21:$B$30&lt;=I360)*(($C$21:$C$30="")+($C$21:$C$30&lt;&gt;"")*($C$21:$C$30&gt;=I360))*($E$21:$E$30="Annual")*(MONTH($B$21:$B$30)=MONTH(I360))*$D$21:$D$30)+SUMPRODUCT(($B$34:$B$48&lt;&gt;"")*(YEAR($B$34:$B$48)=YEAR(I360))*(MONTH($B$34:$B$48)=MONTH(I360))*$C$34:$C$48)),"")</f>
        <v/>
      </c>
      <c r="M360" s="14">
        <f>IF(H360&lt;&gt;"",ROUND(M359-L360,2),"")</f>
        <v/>
      </c>
      <c r="N360" s="10">
        <f>IF(H360&lt;&gt;"",N359+L360,"")</f>
        <v/>
      </c>
      <c r="O360" s="10">
        <f>IF(H360&lt;&gt;"",O359+K360,"")</f>
        <v/>
      </c>
    </row>
    <row r="361">
      <c r="H361" s="7">
        <f>IF(AND(M360&gt;0.005,H360&lt;&gt;""),359,"")</f>
        <v/>
      </c>
      <c r="I361" s="8">
        <f>IF(H361&lt;&gt;"",EDATE(StartDate,358),"")</f>
        <v/>
      </c>
      <c r="J361" s="9">
        <f>IF(H361&lt;&gt;"",MIN(MonthlyPmt,M360+K361),"")</f>
        <v/>
      </c>
      <c r="K361" s="9">
        <f>IF(H361&lt;&gt;"",ROUND(M360*AnnualRate/12,2),"")</f>
        <v/>
      </c>
      <c r="L361" s="9">
        <f>IF(H361&lt;&gt;"",MIN(M360,(J361-K361)+SUMPRODUCT(($B$21:$B$30&lt;&gt;"")*($B$21:$B$30&lt;=I361)*(($C$21:$C$30="")+($C$21:$C$30&lt;&gt;"")*($C$21:$C$30&gt;=I361))*($E$21:$E$30="Monthly")*$D$21:$D$30)+SUMPRODUCT(($B$21:$B$30&lt;&gt;"")*($B$21:$B$30&lt;=I361)*(($C$21:$C$30="")+($C$21:$C$30&lt;&gt;"")*($C$21:$C$30&gt;=I361))*($E$21:$E$30="Annual")*(MONTH($B$21:$B$30)=MONTH(I361))*$D$21:$D$30)+SUMPRODUCT(($B$34:$B$48&lt;&gt;"")*(YEAR($B$34:$B$48)=YEAR(I361))*(MONTH($B$34:$B$48)=MONTH(I361))*$C$34:$C$48)),"")</f>
        <v/>
      </c>
      <c r="M361" s="9">
        <f>IF(H361&lt;&gt;"",ROUND(M360-L361,2),"")</f>
        <v/>
      </c>
      <c r="N361" s="10">
        <f>IF(H361&lt;&gt;"",N360+L361,"")</f>
        <v/>
      </c>
      <c r="O361" s="10">
        <f>IF(H361&lt;&gt;"",O360+K361,"")</f>
        <v/>
      </c>
    </row>
    <row r="362">
      <c r="H362" s="12">
        <f>IF(AND(M361&gt;0.005,H361&lt;&gt;""),360,"")</f>
        <v/>
      </c>
      <c r="I362" s="13">
        <f>IF(H362&lt;&gt;"",EDATE(StartDate,359),"")</f>
        <v/>
      </c>
      <c r="J362" s="14">
        <f>IF(H362&lt;&gt;"",MIN(MonthlyPmt,M361+K362),"")</f>
        <v/>
      </c>
      <c r="K362" s="14">
        <f>IF(H362&lt;&gt;"",ROUND(M361*AnnualRate/12,2),"")</f>
        <v/>
      </c>
      <c r="L362" s="14">
        <f>IF(H362&lt;&gt;"",MIN(M361,(J362-K362)+SUMPRODUCT(($B$21:$B$30&lt;&gt;"")*($B$21:$B$30&lt;=I362)*(($C$21:$C$30="")+($C$21:$C$30&lt;&gt;"")*($C$21:$C$30&gt;=I362))*($E$21:$E$30="Monthly")*$D$21:$D$30)+SUMPRODUCT(($B$21:$B$30&lt;&gt;"")*($B$21:$B$30&lt;=I362)*(($C$21:$C$30="")+($C$21:$C$30&lt;&gt;"")*($C$21:$C$30&gt;=I362))*($E$21:$E$30="Annual")*(MONTH($B$21:$B$30)=MONTH(I362))*$D$21:$D$30)+SUMPRODUCT(($B$34:$B$48&lt;&gt;"")*(YEAR($B$34:$B$48)=YEAR(I362))*(MONTH($B$34:$B$48)=MONTH(I362))*$C$34:$C$48)),"")</f>
        <v/>
      </c>
      <c r="M362" s="14">
        <f>IF(H362&lt;&gt;"",ROUND(M361-L362,2),"")</f>
        <v/>
      </c>
      <c r="N362" s="10">
        <f>IF(H362&lt;&gt;"",N361+L362,"")</f>
        <v/>
      </c>
      <c r="O362" s="10">
        <f>IF(H362&lt;&gt;"",O361+K362,"")</f>
        <v/>
      </c>
    </row>
  </sheetData>
  <mergeCells count="5">
    <mergeCell ref="H1:M1"/>
    <mergeCell ref="A32:C32"/>
    <mergeCell ref="A19:E19"/>
    <mergeCell ref="A1:B1"/>
    <mergeCell ref="A8:B8"/>
  </mergeCells>
  <dataValidations count="1">
    <dataValidation sqref="E21:E30" showDropDown="0" showInputMessage="0" showErrorMessage="1" allowBlank="1" errorTitle="Invalid Frequency" error="Please select Monthly or Annual" type="list">
      <formula1>"Monthly,Annual"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2026-05-15T20:40:55Z</dcterms:created>
  <dcterms:modified xsi:type="dcterms:W3CDTF">2026-05-15T20:40:55Z</dcterms:modified>
</cp:coreProperties>
</file>