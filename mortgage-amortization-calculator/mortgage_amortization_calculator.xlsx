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singhn38/coding_nsinghphd/spreadsheet-calculators/mortgage-amortization-calculator/"/>
    </mc:Choice>
  </mc:AlternateContent>
  <xr:revisionPtr revIDLastSave="0" documentId="13_ncr:1_{3937786E-ED19-4643-A1DB-229890DF0EE4}" xr6:coauthVersionLast="47" xr6:coauthVersionMax="47" xr10:uidLastSave="{00000000-0000-0000-0000-000000000000}"/>
  <bookViews>
    <workbookView xWindow="0" yWindow="660" windowWidth="34560" windowHeight="21600" xr2:uid="{00000000-000D-0000-FFFF-FFFF00000000}"/>
  </bookViews>
  <sheets>
    <sheet name="Calculator" sheetId="1" r:id="rId1"/>
  </sheets>
  <definedNames>
    <definedName name="AnnualRate">Calculator!$B$3</definedName>
    <definedName name="LoanAmount">Calculator!$B$2</definedName>
    <definedName name="MonthlyPmt">Calculator!$B$6</definedName>
    <definedName name="StartDate">Calculator!$B$5</definedName>
    <definedName name="TermYears">Calculator!$B$4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6" i="1"/>
  <c r="B7" i="1" s="1"/>
  <c r="H3" i="1"/>
  <c r="I3" i="1" s="1"/>
  <c r="Q2" i="1"/>
  <c r="B13" i="1" l="1"/>
  <c r="J3" i="1"/>
  <c r="O3" i="1" l="1"/>
  <c r="M3" i="1"/>
  <c r="K3" i="1" l="1"/>
  <c r="N3" i="1" l="1"/>
  <c r="L3" i="1"/>
  <c r="H4" i="1" s="1"/>
  <c r="J4" i="1" l="1"/>
  <c r="I4" i="1"/>
  <c r="M4" i="1" l="1"/>
  <c r="O4" i="1"/>
  <c r="K4" i="1" l="1"/>
  <c r="N4" i="1" l="1"/>
  <c r="L4" i="1"/>
  <c r="H5" i="1" s="1"/>
  <c r="I5" i="1" l="1"/>
  <c r="J5" i="1"/>
  <c r="M5" i="1" l="1"/>
  <c r="O5" i="1"/>
  <c r="K5" i="1" l="1"/>
  <c r="L5" i="1" l="1"/>
  <c r="H6" i="1" s="1"/>
  <c r="N5" i="1"/>
  <c r="J6" i="1" l="1"/>
  <c r="O6" i="1" s="1"/>
  <c r="I6" i="1"/>
  <c r="M6" i="1" l="1"/>
  <c r="K6" i="1" l="1"/>
  <c r="N6" i="1" l="1"/>
  <c r="L6" i="1"/>
  <c r="H7" i="1" s="1"/>
  <c r="J7" i="1" l="1"/>
  <c r="O7" i="1" s="1"/>
  <c r="I7" i="1"/>
  <c r="M7" i="1"/>
  <c r="K7" i="1" l="1"/>
  <c r="N7" i="1" l="1"/>
  <c r="L7" i="1"/>
  <c r="H8" i="1" s="1"/>
  <c r="J8" i="1" l="1"/>
  <c r="M8" i="1" s="1"/>
  <c r="I8" i="1"/>
  <c r="K8" i="1" l="1"/>
  <c r="L8" i="1" s="1"/>
  <c r="H9" i="1" s="1"/>
  <c r="O8" i="1"/>
  <c r="N8" i="1" l="1"/>
  <c r="J9" i="1"/>
  <c r="O9" i="1" s="1"/>
  <c r="I9" i="1"/>
  <c r="M9" i="1" l="1"/>
  <c r="K9" i="1" s="1"/>
  <c r="N9" i="1" l="1"/>
  <c r="L9" i="1"/>
  <c r="H10" i="1" s="1"/>
  <c r="J10" i="1" l="1"/>
  <c r="O10" i="1" s="1"/>
  <c r="I10" i="1"/>
  <c r="M10" i="1"/>
  <c r="K10" i="1" l="1"/>
  <c r="N10" i="1" s="1"/>
  <c r="L10" i="1" l="1"/>
  <c r="H11" i="1" s="1"/>
  <c r="I11" i="1" s="1"/>
  <c r="J11" i="1" l="1"/>
  <c r="M11" i="1" s="1"/>
  <c r="K11" i="1" s="1"/>
  <c r="L11" i="1" s="1"/>
  <c r="H12" i="1" s="1"/>
  <c r="O11" i="1"/>
  <c r="N11" i="1" l="1"/>
  <c r="I12" i="1"/>
  <c r="J12" i="1"/>
  <c r="O12" i="1" s="1"/>
  <c r="M12" i="1" l="1"/>
  <c r="K12" i="1" s="1"/>
  <c r="N12" i="1" l="1"/>
  <c r="L12" i="1"/>
  <c r="H13" i="1" s="1"/>
  <c r="J13" i="1" l="1"/>
  <c r="O13" i="1" s="1"/>
  <c r="I13" i="1"/>
  <c r="M13" i="1" l="1"/>
  <c r="K13" i="1" s="1"/>
  <c r="N13" i="1" l="1"/>
  <c r="L13" i="1"/>
  <c r="H14" i="1" s="1"/>
  <c r="J14" i="1" l="1"/>
  <c r="O14" i="1" s="1"/>
  <c r="I14" i="1"/>
  <c r="M14" i="1" l="1"/>
  <c r="K14" i="1" s="1"/>
  <c r="N14" i="1" s="1"/>
  <c r="L14" i="1" l="1"/>
  <c r="H15" i="1" s="1"/>
  <c r="I15" i="1" s="1"/>
  <c r="J15" i="1" l="1"/>
  <c r="O15" i="1" s="1"/>
  <c r="M15" i="1" l="1"/>
  <c r="K15" i="1" s="1"/>
  <c r="N15" i="1" s="1"/>
  <c r="L15" i="1" l="1"/>
  <c r="H16" i="1" s="1"/>
  <c r="J16" i="1" s="1"/>
  <c r="M16" i="1" s="1"/>
  <c r="I16" i="1" l="1"/>
  <c r="K16" i="1" s="1"/>
  <c r="L16" i="1" s="1"/>
  <c r="H17" i="1" s="1"/>
  <c r="O16" i="1"/>
  <c r="N16" i="1" l="1"/>
  <c r="J17" i="1"/>
  <c r="M17" i="1" s="1"/>
  <c r="I17" i="1"/>
  <c r="O17" i="1" l="1"/>
  <c r="K17" i="1"/>
  <c r="N17" i="1" s="1"/>
  <c r="L17" i="1" l="1"/>
  <c r="H18" i="1" s="1"/>
  <c r="J18" i="1" s="1"/>
  <c r="M18" i="1" s="1"/>
  <c r="I18" i="1" l="1"/>
  <c r="K18" i="1"/>
  <c r="N18" i="1" s="1"/>
  <c r="O18" i="1"/>
  <c r="L18" i="1" l="1"/>
  <c r="H19" i="1" s="1"/>
  <c r="J19" i="1" s="1"/>
  <c r="O19" i="1" l="1"/>
  <c r="M19" i="1"/>
  <c r="I19" i="1"/>
  <c r="K19" i="1" l="1"/>
  <c r="L19" i="1" l="1"/>
  <c r="H20" i="1" s="1"/>
  <c r="N19" i="1"/>
  <c r="J20" i="1" l="1"/>
  <c r="O20" i="1" s="1"/>
  <c r="I20" i="1"/>
  <c r="M20" i="1" l="1"/>
  <c r="K20" i="1" s="1"/>
  <c r="N20" i="1" s="1"/>
  <c r="L20" i="1" l="1"/>
  <c r="H21" i="1" s="1"/>
  <c r="J21" i="1" s="1"/>
  <c r="I21" i="1" l="1"/>
  <c r="O21" i="1"/>
  <c r="M21" i="1"/>
  <c r="K21" i="1" s="1"/>
  <c r="N21" i="1" s="1"/>
  <c r="L21" i="1" l="1"/>
  <c r="H22" i="1" s="1"/>
  <c r="J22" i="1" s="1"/>
  <c r="O22" i="1" s="1"/>
  <c r="I22" i="1" l="1"/>
  <c r="M22" i="1"/>
  <c r="K22" i="1" s="1"/>
  <c r="L22" i="1" l="1"/>
  <c r="H23" i="1" s="1"/>
  <c r="N22" i="1"/>
  <c r="J23" i="1" l="1"/>
  <c r="M23" i="1" s="1"/>
  <c r="I23" i="1"/>
  <c r="O23" i="1"/>
  <c r="K23" i="1" l="1"/>
  <c r="L23" i="1" s="1"/>
  <c r="H24" i="1" s="1"/>
  <c r="N23" i="1" l="1"/>
  <c r="J24" i="1"/>
  <c r="O24" i="1" s="1"/>
  <c r="I24" i="1"/>
  <c r="M24" i="1" l="1"/>
  <c r="K24" i="1" s="1"/>
  <c r="N24" i="1" s="1"/>
  <c r="L24" i="1" l="1"/>
  <c r="H25" i="1" s="1"/>
  <c r="I25" i="1" s="1"/>
  <c r="J25" i="1" l="1"/>
  <c r="M25" i="1" s="1"/>
  <c r="K25" i="1" s="1"/>
  <c r="L25" i="1" l="1"/>
  <c r="H26" i="1" s="1"/>
  <c r="J26" i="1" s="1"/>
  <c r="N25" i="1"/>
  <c r="O25" i="1"/>
  <c r="I26" i="1" l="1"/>
  <c r="O26" i="1"/>
  <c r="M26" i="1"/>
  <c r="K26" i="1" l="1"/>
  <c r="N26" i="1" s="1"/>
  <c r="L26" i="1" l="1"/>
  <c r="H27" i="1" s="1"/>
  <c r="J27" i="1" s="1"/>
  <c r="I27" i="1" l="1"/>
  <c r="O27" i="1"/>
  <c r="M27" i="1"/>
  <c r="K27" i="1" s="1"/>
  <c r="N27" i="1" s="1"/>
  <c r="L27" i="1" l="1"/>
  <c r="H28" i="1" s="1"/>
  <c r="J28" i="1" s="1"/>
  <c r="I28" i="1" l="1"/>
  <c r="O28" i="1"/>
  <c r="M28" i="1"/>
  <c r="K28" i="1" s="1"/>
  <c r="N28" i="1" s="1"/>
  <c r="L28" i="1" l="1"/>
  <c r="H29" i="1" s="1"/>
  <c r="J29" i="1" s="1"/>
  <c r="I29" i="1" l="1"/>
  <c r="M29" i="1"/>
  <c r="K29" i="1" s="1"/>
  <c r="N29" i="1" s="1"/>
  <c r="O29" i="1"/>
  <c r="L29" i="1" l="1"/>
  <c r="H30" i="1" s="1"/>
  <c r="I30" i="1" s="1"/>
  <c r="J30" i="1" l="1"/>
  <c r="O30" i="1" s="1"/>
  <c r="M30" i="1" l="1"/>
  <c r="K30" i="1" s="1"/>
  <c r="N30" i="1" s="1"/>
  <c r="L30" i="1" l="1"/>
  <c r="H31" i="1" s="1"/>
  <c r="J31" i="1" s="1"/>
  <c r="O31" i="1" s="1"/>
  <c r="M31" i="1" l="1"/>
  <c r="I31" i="1"/>
  <c r="K31" i="1" s="1"/>
  <c r="L31" i="1" l="1"/>
  <c r="H32" i="1" s="1"/>
  <c r="N31" i="1"/>
  <c r="J32" i="1" l="1"/>
  <c r="O32" i="1" s="1"/>
  <c r="I32" i="1"/>
  <c r="M32" i="1"/>
  <c r="K32" i="1" s="1"/>
  <c r="N32" i="1" l="1"/>
  <c r="L32" i="1"/>
  <c r="H33" i="1" s="1"/>
  <c r="I33" i="1" l="1"/>
  <c r="J33" i="1"/>
  <c r="M33" i="1" l="1"/>
  <c r="K33" i="1" s="1"/>
  <c r="O33" i="1"/>
  <c r="L33" i="1" l="1"/>
  <c r="H34" i="1" s="1"/>
  <c r="N33" i="1"/>
  <c r="I34" i="1" l="1"/>
  <c r="J34" i="1"/>
  <c r="M34" i="1" s="1"/>
  <c r="K34" i="1" s="1"/>
  <c r="L34" i="1" s="1"/>
  <c r="H35" i="1" s="1"/>
  <c r="N34" i="1" l="1"/>
  <c r="I35" i="1"/>
  <c r="J35" i="1"/>
  <c r="M35" i="1" s="1"/>
  <c r="O34" i="1"/>
  <c r="O35" i="1" l="1"/>
  <c r="K35" i="1"/>
  <c r="L35" i="1" s="1"/>
  <c r="H36" i="1" s="1"/>
  <c r="J36" i="1" s="1"/>
  <c r="O36" i="1" s="1"/>
  <c r="I36" i="1" l="1"/>
  <c r="M36" i="1"/>
  <c r="N35" i="1"/>
  <c r="K36" i="1" l="1"/>
  <c r="N36" i="1" s="1"/>
  <c r="L36" i="1" l="1"/>
  <c r="H37" i="1" s="1"/>
  <c r="J37" i="1" l="1"/>
  <c r="O37" i="1" s="1"/>
  <c r="I37" i="1"/>
  <c r="M37" i="1" l="1"/>
  <c r="K37" i="1" s="1"/>
  <c r="N37" i="1" l="1"/>
  <c r="L37" i="1"/>
  <c r="H38" i="1" s="1"/>
  <c r="J38" i="1" l="1"/>
  <c r="I38" i="1"/>
  <c r="O38" i="1"/>
  <c r="M38" i="1"/>
  <c r="K38" i="1" l="1"/>
  <c r="N38" i="1" s="1"/>
  <c r="L38" i="1" l="1"/>
  <c r="H39" i="1" s="1"/>
  <c r="I39" i="1" s="1"/>
  <c r="J39" i="1" l="1"/>
  <c r="M39" i="1" s="1"/>
  <c r="K39" i="1"/>
  <c r="O39" i="1"/>
  <c r="N39" i="1" l="1"/>
  <c r="L39" i="1"/>
  <c r="H40" i="1" s="1"/>
  <c r="J40" i="1" l="1"/>
  <c r="M40" i="1" s="1"/>
  <c r="I40" i="1"/>
  <c r="K40" i="1" l="1"/>
  <c r="N40" i="1" s="1"/>
  <c r="O40" i="1"/>
  <c r="L40" i="1" l="1"/>
  <c r="H41" i="1" s="1"/>
  <c r="J41" i="1" s="1"/>
  <c r="O41" i="1" s="1"/>
  <c r="I41" i="1" l="1"/>
  <c r="M41" i="1"/>
  <c r="K41" i="1" s="1"/>
  <c r="N41" i="1" l="1"/>
  <c r="L41" i="1"/>
  <c r="H42" i="1" s="1"/>
  <c r="J42" i="1" l="1"/>
  <c r="O42" i="1" s="1"/>
  <c r="I42" i="1"/>
  <c r="M42" i="1"/>
  <c r="K42" i="1" s="1"/>
  <c r="N42" i="1" s="1"/>
  <c r="L42" i="1" l="1"/>
  <c r="H43" i="1" s="1"/>
  <c r="J43" i="1" l="1"/>
  <c r="O43" i="1" s="1"/>
  <c r="I43" i="1"/>
  <c r="M43" i="1"/>
  <c r="K43" i="1" s="1"/>
  <c r="L43" i="1" s="1"/>
  <c r="H44" i="1" s="1"/>
  <c r="N43" i="1" l="1"/>
  <c r="J44" i="1"/>
  <c r="M44" i="1" s="1"/>
  <c r="I44" i="1"/>
  <c r="O44" i="1"/>
  <c r="K44" i="1" l="1"/>
  <c r="N44" i="1" s="1"/>
  <c r="L44" i="1" l="1"/>
  <c r="H45" i="1" s="1"/>
  <c r="J45" i="1" s="1"/>
  <c r="I45" i="1" l="1"/>
  <c r="O45" i="1"/>
  <c r="M45" i="1"/>
  <c r="K45" i="1" s="1"/>
  <c r="N45" i="1" s="1"/>
  <c r="L45" i="1" l="1"/>
  <c r="H46" i="1" s="1"/>
  <c r="J46" i="1" s="1"/>
  <c r="I46" i="1" l="1"/>
  <c r="M46" i="1"/>
  <c r="K46" i="1" s="1"/>
  <c r="N46" i="1" s="1"/>
  <c r="O46" i="1"/>
  <c r="L46" i="1" l="1"/>
  <c r="H47" i="1" s="1"/>
  <c r="I47" i="1" s="1"/>
  <c r="J47" i="1" l="1"/>
  <c r="O47" i="1" s="1"/>
  <c r="M47" i="1" l="1"/>
  <c r="K47" i="1" s="1"/>
  <c r="N47" i="1" s="1"/>
  <c r="L47" i="1" l="1"/>
  <c r="H48" i="1" s="1"/>
  <c r="I48" i="1" l="1"/>
  <c r="J48" i="1"/>
  <c r="O48" i="1" l="1"/>
  <c r="M48" i="1"/>
  <c r="K48" i="1" s="1"/>
  <c r="N48" i="1" l="1"/>
  <c r="L48" i="1"/>
  <c r="H49" i="1" s="1"/>
  <c r="J49" i="1" l="1"/>
  <c r="I49" i="1"/>
  <c r="O49" i="1"/>
  <c r="M49" i="1"/>
  <c r="K49" i="1" s="1"/>
  <c r="N49" i="1" s="1"/>
  <c r="L49" i="1" l="1"/>
  <c r="H50" i="1" s="1"/>
  <c r="I50" i="1" l="1"/>
  <c r="J50" i="1"/>
  <c r="O50" i="1" s="1"/>
  <c r="M50" i="1"/>
  <c r="K50" i="1" s="1"/>
  <c r="N50" i="1" s="1"/>
  <c r="L50" i="1" l="1"/>
  <c r="H51" i="1" s="1"/>
  <c r="I51" i="1" l="1"/>
  <c r="J51" i="1"/>
  <c r="M51" i="1" s="1"/>
  <c r="K51" i="1" s="1"/>
  <c r="L51" i="1" s="1"/>
  <c r="H52" i="1" s="1"/>
  <c r="N51" i="1" l="1"/>
  <c r="O51" i="1"/>
  <c r="J52" i="1"/>
  <c r="I52" i="1"/>
  <c r="O52" i="1" l="1"/>
  <c r="M52" i="1"/>
  <c r="K52" i="1" s="1"/>
  <c r="N52" i="1" l="1"/>
  <c r="L52" i="1"/>
  <c r="H53" i="1" s="1"/>
  <c r="I53" i="1" l="1"/>
  <c r="J53" i="1"/>
  <c r="M53" i="1" s="1"/>
  <c r="K53" i="1" s="1"/>
  <c r="N53" i="1" l="1"/>
  <c r="L53" i="1"/>
  <c r="H54" i="1" s="1"/>
  <c r="O53" i="1"/>
  <c r="I54" i="1" l="1"/>
  <c r="J54" i="1"/>
  <c r="O54" i="1" l="1"/>
  <c r="M54" i="1"/>
  <c r="K54" i="1" s="1"/>
  <c r="N54" i="1" l="1"/>
  <c r="L54" i="1"/>
  <c r="H55" i="1" s="1"/>
  <c r="I55" i="1" l="1"/>
  <c r="J55" i="1"/>
  <c r="M55" i="1" s="1"/>
  <c r="K55" i="1" s="1"/>
  <c r="N55" i="1" l="1"/>
  <c r="L55" i="1"/>
  <c r="H56" i="1" s="1"/>
  <c r="O55" i="1"/>
  <c r="I56" i="1" l="1"/>
  <c r="J56" i="1"/>
  <c r="M56" i="1" s="1"/>
  <c r="K56" i="1" s="1"/>
  <c r="L56" i="1" s="1"/>
  <c r="H57" i="1" s="1"/>
  <c r="O56" i="1" l="1"/>
  <c r="I57" i="1"/>
  <c r="J57" i="1"/>
  <c r="M57" i="1" s="1"/>
  <c r="K57" i="1" s="1"/>
  <c r="L57" i="1" s="1"/>
  <c r="H58" i="1" s="1"/>
  <c r="N56" i="1"/>
  <c r="N57" i="1" l="1"/>
  <c r="J58" i="1"/>
  <c r="I58" i="1"/>
  <c r="O57" i="1"/>
  <c r="M58" i="1"/>
  <c r="K58" i="1" s="1"/>
  <c r="O58" i="1" l="1"/>
  <c r="N58" i="1"/>
  <c r="L58" i="1"/>
  <c r="H59" i="1" s="1"/>
  <c r="J59" i="1" l="1"/>
  <c r="O59" i="1" s="1"/>
  <c r="I59" i="1"/>
  <c r="M59" i="1" l="1"/>
  <c r="K59" i="1"/>
  <c r="N59" i="1" s="1"/>
  <c r="L59" i="1" l="1"/>
  <c r="H60" i="1" s="1"/>
  <c r="I60" i="1" s="1"/>
  <c r="J60" i="1" l="1"/>
  <c r="O60" i="1" s="1"/>
  <c r="M60" i="1" l="1"/>
  <c r="K60" i="1" s="1"/>
  <c r="N60" i="1" s="1"/>
  <c r="L60" i="1" l="1"/>
  <c r="H61" i="1" s="1"/>
  <c r="J61" i="1" s="1"/>
  <c r="O61" i="1" s="1"/>
  <c r="M61" i="1" l="1"/>
  <c r="I61" i="1"/>
  <c r="K61" i="1" s="1"/>
  <c r="L61" i="1" l="1"/>
  <c r="H62" i="1" s="1"/>
  <c r="N61" i="1"/>
  <c r="J62" i="1" l="1"/>
  <c r="O62" i="1" s="1"/>
  <c r="I62" i="1"/>
  <c r="M62" i="1"/>
  <c r="K62" i="1" s="1"/>
  <c r="L62" i="1" l="1"/>
  <c r="H63" i="1" s="1"/>
  <c r="N62" i="1"/>
  <c r="I63" i="1" l="1"/>
  <c r="J63" i="1"/>
  <c r="M63" i="1" l="1"/>
  <c r="K63" i="1" s="1"/>
  <c r="O63" i="1"/>
  <c r="N63" i="1" l="1"/>
  <c r="L63" i="1"/>
  <c r="H64" i="1" s="1"/>
  <c r="J64" i="1" l="1"/>
  <c r="O64" i="1" s="1"/>
  <c r="I64" i="1"/>
  <c r="M64" i="1"/>
  <c r="K64" i="1" l="1"/>
  <c r="N64" i="1" s="1"/>
  <c r="L64" i="1" l="1"/>
  <c r="H65" i="1" s="1"/>
  <c r="I65" i="1" s="1"/>
  <c r="J65" i="1" l="1"/>
  <c r="M65" i="1" s="1"/>
  <c r="K65" i="1" s="1"/>
  <c r="N65" i="1" s="1"/>
  <c r="O65" i="1"/>
  <c r="L65" i="1" l="1"/>
  <c r="H66" i="1" s="1"/>
  <c r="J66" i="1" s="1"/>
  <c r="M66" i="1" s="1"/>
  <c r="O66" i="1" l="1"/>
  <c r="I66" i="1"/>
  <c r="K66" i="1" s="1"/>
  <c r="L66" i="1" s="1"/>
  <c r="H67" i="1" s="1"/>
  <c r="J67" i="1" s="1"/>
  <c r="M67" i="1" l="1"/>
  <c r="N66" i="1"/>
  <c r="O67" i="1"/>
  <c r="I67" i="1"/>
  <c r="K67" i="1" l="1"/>
  <c r="L67" i="1" l="1"/>
  <c r="H68" i="1" s="1"/>
  <c r="N67" i="1"/>
  <c r="J68" i="1" l="1"/>
  <c r="O68" i="1" s="1"/>
  <c r="I68" i="1"/>
  <c r="M68" i="1"/>
  <c r="K68" i="1" s="1"/>
  <c r="L68" i="1" s="1"/>
  <c r="H69" i="1" s="1"/>
  <c r="I69" i="1" l="1"/>
  <c r="J69" i="1"/>
  <c r="M69" i="1" s="1"/>
  <c r="K69" i="1" s="1"/>
  <c r="N68" i="1"/>
  <c r="O69" i="1" l="1"/>
  <c r="L69" i="1"/>
  <c r="H70" i="1" s="1"/>
  <c r="N69" i="1"/>
  <c r="I70" i="1" l="1"/>
  <c r="J70" i="1"/>
  <c r="M70" i="1" l="1"/>
  <c r="K70" i="1" s="1"/>
  <c r="O70" i="1"/>
  <c r="L70" i="1" l="1"/>
  <c r="H71" i="1" s="1"/>
  <c r="N70" i="1"/>
  <c r="J71" i="1" l="1"/>
  <c r="M71" i="1" s="1"/>
  <c r="I71" i="1"/>
  <c r="O71" i="1"/>
  <c r="K71" i="1" l="1"/>
  <c r="N71" i="1" s="1"/>
  <c r="L71" i="1" l="1"/>
  <c r="H72" i="1" s="1"/>
  <c r="I72" i="1" s="1"/>
  <c r="J72" i="1" l="1"/>
  <c r="O72" i="1" s="1"/>
  <c r="M72" i="1" l="1"/>
  <c r="K72" i="1" s="1"/>
  <c r="L72" i="1" s="1"/>
  <c r="H73" i="1" s="1"/>
  <c r="N72" i="1" l="1"/>
  <c r="J73" i="1"/>
  <c r="M73" i="1" s="1"/>
  <c r="I73" i="1"/>
  <c r="O73" i="1"/>
  <c r="K73" i="1"/>
  <c r="L73" i="1" s="1"/>
  <c r="H74" i="1" s="1"/>
  <c r="N73" i="1" l="1"/>
  <c r="J74" i="1"/>
  <c r="M74" i="1" s="1"/>
  <c r="I74" i="1"/>
  <c r="O74" i="1"/>
  <c r="K74" i="1" l="1"/>
  <c r="N74" i="1" s="1"/>
  <c r="L74" i="1" l="1"/>
  <c r="H75" i="1" s="1"/>
  <c r="J75" i="1" s="1"/>
  <c r="I75" i="1" l="1"/>
  <c r="O75" i="1"/>
  <c r="M75" i="1"/>
  <c r="K75" i="1" s="1"/>
  <c r="L75" i="1" s="1"/>
  <c r="H76" i="1" s="1"/>
  <c r="N75" i="1" l="1"/>
  <c r="I76" i="1"/>
  <c r="J76" i="1"/>
  <c r="M76" i="1" l="1"/>
  <c r="K76" i="1" s="1"/>
  <c r="O76" i="1"/>
  <c r="N76" i="1" l="1"/>
  <c r="L76" i="1"/>
  <c r="H77" i="1" s="1"/>
  <c r="I77" i="1" l="1"/>
  <c r="J77" i="1"/>
  <c r="M77" i="1" s="1"/>
  <c r="K77" i="1" s="1"/>
  <c r="L77" i="1" s="1"/>
  <c r="H78" i="1" s="1"/>
  <c r="J78" i="1" l="1"/>
  <c r="M78" i="1" s="1"/>
  <c r="I78" i="1"/>
  <c r="N77" i="1"/>
  <c r="O77" i="1"/>
  <c r="O78" i="1" s="1"/>
  <c r="K78" i="1" l="1"/>
  <c r="L78" i="1" s="1"/>
  <c r="H79" i="1" s="1"/>
  <c r="J79" i="1" s="1"/>
  <c r="M79" i="1" s="1"/>
  <c r="I79" i="1" l="1"/>
  <c r="O79" i="1"/>
  <c r="N78" i="1"/>
  <c r="K79" i="1"/>
  <c r="L79" i="1" s="1"/>
  <c r="H80" i="1" s="1"/>
  <c r="J80" i="1" s="1"/>
  <c r="M80" i="1" s="1"/>
  <c r="I80" i="1" l="1"/>
  <c r="N79" i="1"/>
  <c r="K80" i="1"/>
  <c r="N80" i="1" s="1"/>
  <c r="O80" i="1"/>
  <c r="L80" i="1" l="1"/>
  <c r="H81" i="1" s="1"/>
  <c r="J81" i="1" s="1"/>
  <c r="M81" i="1" s="1"/>
  <c r="I81" i="1" l="1"/>
  <c r="K81" i="1" s="1"/>
  <c r="N81" i="1" s="1"/>
  <c r="O81" i="1"/>
  <c r="L81" i="1" l="1"/>
  <c r="H82" i="1" s="1"/>
  <c r="I82" i="1" s="1"/>
  <c r="J82" i="1" l="1"/>
  <c r="O82" i="1" s="1"/>
  <c r="M82" i="1" l="1"/>
  <c r="K82" i="1" s="1"/>
  <c r="N82" i="1" s="1"/>
  <c r="L82" i="1" l="1"/>
  <c r="H83" i="1" s="1"/>
  <c r="J83" i="1" s="1"/>
  <c r="O83" i="1" l="1"/>
  <c r="M83" i="1"/>
  <c r="I83" i="1"/>
  <c r="K83" i="1" s="1"/>
  <c r="N83" i="1" l="1"/>
  <c r="L83" i="1"/>
  <c r="H84" i="1" s="1"/>
  <c r="J84" i="1" s="1"/>
  <c r="M84" i="1" s="1"/>
  <c r="O84" i="1" l="1"/>
  <c r="I84" i="1"/>
  <c r="K84" i="1" s="1"/>
  <c r="N84" i="1" l="1"/>
  <c r="L84" i="1"/>
  <c r="H85" i="1" s="1"/>
  <c r="J85" i="1" s="1"/>
  <c r="M85" i="1" s="1"/>
  <c r="O85" i="1" l="1"/>
  <c r="I85" i="1"/>
  <c r="K85" i="1" s="1"/>
  <c r="L85" i="1" s="1"/>
  <c r="H86" i="1" s="1"/>
  <c r="J86" i="1" s="1"/>
  <c r="M86" i="1" l="1"/>
  <c r="O86" i="1"/>
  <c r="I86" i="1"/>
  <c r="N85" i="1"/>
  <c r="K86" i="1" l="1"/>
  <c r="N86" i="1" l="1"/>
  <c r="L86" i="1"/>
  <c r="H87" i="1" s="1"/>
  <c r="J87" i="1" l="1"/>
  <c r="I87" i="1"/>
  <c r="M87" i="1" l="1"/>
  <c r="K87" i="1" s="1"/>
  <c r="O87" i="1"/>
  <c r="N87" i="1" l="1"/>
  <c r="L87" i="1"/>
  <c r="H88" i="1" s="1"/>
  <c r="J88" i="1" l="1"/>
  <c r="M88" i="1" s="1"/>
  <c r="I88" i="1"/>
  <c r="K88" i="1" l="1"/>
  <c r="L88" i="1" s="1"/>
  <c r="H89" i="1" s="1"/>
  <c r="J89" i="1" s="1"/>
  <c r="O89" i="1" s="1"/>
  <c r="O88" i="1"/>
  <c r="I89" i="1" l="1"/>
  <c r="N88" i="1"/>
  <c r="M89" i="1"/>
  <c r="K89" i="1" s="1"/>
  <c r="N89" i="1" l="1"/>
  <c r="L89" i="1"/>
  <c r="H90" i="1" s="1"/>
  <c r="I90" i="1" l="1"/>
  <c r="J90" i="1"/>
  <c r="O90" i="1" s="1"/>
  <c r="M90" i="1" l="1"/>
  <c r="K90" i="1" s="1"/>
  <c r="L90" i="1" l="1"/>
  <c r="H91" i="1" s="1"/>
  <c r="N90" i="1"/>
  <c r="I91" i="1" l="1"/>
  <c r="J91" i="1"/>
  <c r="O91" i="1" s="1"/>
  <c r="M91" i="1" l="1"/>
  <c r="K91" i="1" s="1"/>
  <c r="L91" i="1" l="1"/>
  <c r="H92" i="1" s="1"/>
  <c r="N91" i="1"/>
  <c r="I92" i="1" l="1"/>
  <c r="J92" i="1"/>
  <c r="M92" i="1" s="1"/>
  <c r="K92" i="1" s="1"/>
  <c r="N92" i="1" s="1"/>
  <c r="O92" i="1" l="1"/>
  <c r="L92" i="1"/>
  <c r="H93" i="1" s="1"/>
  <c r="J93" i="1" l="1"/>
  <c r="O93" i="1" s="1"/>
  <c r="I93" i="1"/>
  <c r="M93" i="1"/>
  <c r="K93" i="1" s="1"/>
  <c r="L93" i="1" s="1"/>
  <c r="H94" i="1" s="1"/>
  <c r="I94" i="1" l="1"/>
  <c r="J94" i="1"/>
  <c r="O94" i="1" s="1"/>
  <c r="N93" i="1"/>
  <c r="M94" i="1" l="1"/>
  <c r="K94" i="1" s="1"/>
  <c r="L94" i="1" s="1"/>
  <c r="H95" i="1" s="1"/>
  <c r="J95" i="1" l="1"/>
  <c r="O95" i="1" s="1"/>
  <c r="I95" i="1"/>
  <c r="N94" i="1"/>
  <c r="M95" i="1" l="1"/>
  <c r="K95" i="1" s="1"/>
  <c r="L95" i="1" s="1"/>
  <c r="H96" i="1" s="1"/>
  <c r="J96" i="1" s="1"/>
  <c r="O96" i="1" s="1"/>
  <c r="I96" i="1" l="1"/>
  <c r="M96" i="1"/>
  <c r="K96" i="1" s="1"/>
  <c r="N96" i="1" s="1"/>
  <c r="N95" i="1"/>
  <c r="L96" i="1" l="1"/>
  <c r="H97" i="1" s="1"/>
  <c r="I97" i="1" s="1"/>
  <c r="J97" i="1" l="1"/>
  <c r="O97" i="1" s="1"/>
  <c r="M97" i="1"/>
  <c r="K97" i="1" s="1"/>
  <c r="N97" i="1" l="1"/>
  <c r="L97" i="1"/>
  <c r="H98" i="1" s="1"/>
  <c r="J98" i="1" l="1"/>
  <c r="M98" i="1" s="1"/>
  <c r="I98" i="1"/>
  <c r="K98" i="1" l="1"/>
  <c r="L98" i="1" s="1"/>
  <c r="H99" i="1" s="1"/>
  <c r="O98" i="1"/>
  <c r="N98" i="1" l="1"/>
  <c r="J99" i="1"/>
  <c r="O99" i="1" s="1"/>
  <c r="I99" i="1"/>
  <c r="M99" i="1" l="1"/>
  <c r="K99" i="1" s="1"/>
  <c r="N99" i="1" l="1"/>
  <c r="L99" i="1"/>
  <c r="H100" i="1" s="1"/>
  <c r="J100" i="1" l="1"/>
  <c r="M100" i="1" s="1"/>
  <c r="I100" i="1"/>
  <c r="K100" i="1" l="1"/>
  <c r="N100" i="1" s="1"/>
  <c r="O100" i="1"/>
  <c r="L100" i="1" l="1"/>
  <c r="H101" i="1" s="1"/>
  <c r="I101" i="1" s="1"/>
  <c r="J101" i="1" l="1"/>
  <c r="O101" i="1" s="1"/>
  <c r="M101" i="1" l="1"/>
  <c r="K101" i="1" s="1"/>
  <c r="N101" i="1" s="1"/>
  <c r="L101" i="1" l="1"/>
  <c r="H102" i="1" s="1"/>
  <c r="J102" i="1" s="1"/>
  <c r="O102" i="1" s="1"/>
  <c r="I102" i="1" l="1"/>
  <c r="M102" i="1"/>
  <c r="K102" i="1" s="1"/>
  <c r="L102" i="1" l="1"/>
  <c r="H103" i="1" s="1"/>
  <c r="N102" i="1"/>
  <c r="J103" i="1" l="1"/>
  <c r="O103" i="1" s="1"/>
  <c r="I103" i="1"/>
  <c r="M103" i="1" l="1"/>
  <c r="K103" i="1" s="1"/>
  <c r="N103" i="1" l="1"/>
  <c r="L103" i="1"/>
  <c r="H104" i="1" s="1"/>
  <c r="J104" i="1" l="1"/>
  <c r="O104" i="1" s="1"/>
  <c r="M104" i="1"/>
  <c r="I104" i="1"/>
  <c r="K104" i="1" l="1"/>
  <c r="L104" i="1" s="1"/>
  <c r="H105" i="1" s="1"/>
  <c r="N104" i="1" l="1"/>
  <c r="J105" i="1"/>
  <c r="O105" i="1" s="1"/>
  <c r="I105" i="1"/>
  <c r="M105" i="1" l="1"/>
  <c r="K105" i="1" s="1"/>
  <c r="L105" i="1" l="1"/>
  <c r="H106" i="1" s="1"/>
  <c r="N105" i="1"/>
  <c r="J106" i="1" l="1"/>
  <c r="O106" i="1" s="1"/>
  <c r="I106" i="1"/>
  <c r="M106" i="1" l="1"/>
  <c r="K106" i="1" s="1"/>
  <c r="N106" i="1" s="1"/>
  <c r="L106" i="1" l="1"/>
  <c r="H107" i="1" s="1"/>
  <c r="J107" i="1" s="1"/>
  <c r="I107" i="1" l="1"/>
  <c r="O107" i="1"/>
  <c r="M107" i="1"/>
  <c r="K107" i="1" s="1"/>
  <c r="N107" i="1" s="1"/>
  <c r="L107" i="1" l="1"/>
  <c r="H108" i="1" s="1"/>
  <c r="I108" i="1" s="1"/>
  <c r="J108" i="1" l="1"/>
  <c r="O108" i="1" s="1"/>
  <c r="M108" i="1" l="1"/>
  <c r="K108" i="1" s="1"/>
  <c r="N108" i="1" s="1"/>
  <c r="L108" i="1" l="1"/>
  <c r="H109" i="1" s="1"/>
  <c r="J109" i="1" s="1"/>
  <c r="O109" i="1" s="1"/>
  <c r="I109" i="1" l="1"/>
  <c r="M109" i="1"/>
  <c r="K109" i="1" s="1"/>
  <c r="N109" i="1" l="1"/>
  <c r="L109" i="1"/>
  <c r="H110" i="1" s="1"/>
  <c r="I110" i="1" l="1"/>
  <c r="J110" i="1"/>
  <c r="O110" i="1" s="1"/>
  <c r="M110" i="1" l="1"/>
  <c r="K110" i="1" s="1"/>
  <c r="N110" i="1" l="1"/>
  <c r="L110" i="1"/>
  <c r="H111" i="1" s="1"/>
  <c r="J111" i="1" l="1"/>
  <c r="O111" i="1" s="1"/>
  <c r="I111" i="1"/>
  <c r="M111" i="1" l="1"/>
  <c r="K111" i="1" s="1"/>
  <c r="N111" i="1" l="1"/>
  <c r="L111" i="1"/>
  <c r="H112" i="1" s="1"/>
  <c r="I112" i="1" l="1"/>
  <c r="J112" i="1"/>
  <c r="M112" i="1" s="1"/>
  <c r="K112" i="1" s="1"/>
  <c r="L112" i="1" l="1"/>
  <c r="H113" i="1" s="1"/>
  <c r="N112" i="1"/>
  <c r="O112" i="1"/>
  <c r="J113" i="1" l="1"/>
  <c r="O113" i="1" s="1"/>
  <c r="I113" i="1"/>
  <c r="M113" i="1" l="1"/>
  <c r="K113" i="1" s="1"/>
  <c r="N113" i="1" l="1"/>
  <c r="L113" i="1"/>
  <c r="H114" i="1" s="1"/>
  <c r="J114" i="1" l="1"/>
  <c r="I114" i="1"/>
  <c r="O114" i="1"/>
  <c r="M114" i="1"/>
  <c r="K114" i="1" s="1"/>
  <c r="L114" i="1" l="1"/>
  <c r="H115" i="1" s="1"/>
  <c r="N114" i="1"/>
  <c r="J115" i="1" l="1"/>
  <c r="M115" i="1" s="1"/>
  <c r="I115" i="1"/>
  <c r="K115" i="1" l="1"/>
  <c r="N115" i="1" s="1"/>
  <c r="O115" i="1"/>
  <c r="L115" i="1" l="1"/>
  <c r="H116" i="1" s="1"/>
  <c r="J116" i="1" s="1"/>
  <c r="I116" i="1" l="1"/>
  <c r="O116" i="1"/>
  <c r="M116" i="1"/>
  <c r="K116" i="1" s="1"/>
  <c r="N116" i="1" s="1"/>
  <c r="L116" i="1" l="1"/>
  <c r="H117" i="1" s="1"/>
  <c r="I117" i="1" s="1"/>
  <c r="J117" i="1" l="1"/>
  <c r="O117" i="1" s="1"/>
  <c r="M117" i="1" l="1"/>
  <c r="K117" i="1" s="1"/>
  <c r="N117" i="1" s="1"/>
  <c r="L117" i="1" l="1"/>
  <c r="H118" i="1" s="1"/>
  <c r="J118" i="1" s="1"/>
  <c r="I118" i="1" l="1"/>
  <c r="O118" i="1"/>
  <c r="M118" i="1"/>
  <c r="K118" i="1" s="1"/>
  <c r="L118" i="1" s="1"/>
  <c r="H119" i="1" s="1"/>
  <c r="N118" i="1" l="1"/>
  <c r="J119" i="1"/>
  <c r="O119" i="1" s="1"/>
  <c r="I119" i="1"/>
  <c r="M119" i="1" l="1"/>
  <c r="K119" i="1" s="1"/>
  <c r="L119" i="1" l="1"/>
  <c r="H120" i="1" s="1"/>
  <c r="N119" i="1"/>
  <c r="J120" i="1" l="1"/>
  <c r="M120" i="1" s="1"/>
  <c r="I120" i="1"/>
  <c r="K120" i="1" l="1"/>
  <c r="N120" i="1" s="1"/>
  <c r="O120" i="1"/>
  <c r="L120" i="1" l="1"/>
  <c r="H121" i="1" s="1"/>
  <c r="J121" i="1" s="1"/>
  <c r="O121" i="1" l="1"/>
  <c r="M121" i="1"/>
  <c r="I121" i="1"/>
  <c r="K121" i="1" l="1"/>
  <c r="N121" i="1" l="1"/>
  <c r="L121" i="1"/>
  <c r="H122" i="1" s="1"/>
  <c r="J122" i="1" l="1"/>
  <c r="M122" i="1" s="1"/>
  <c r="I122" i="1"/>
  <c r="O122" i="1"/>
  <c r="K122" i="1" l="1"/>
  <c r="N122" i="1" l="1"/>
  <c r="L122" i="1"/>
  <c r="H123" i="1" s="1"/>
  <c r="J123" i="1" l="1"/>
  <c r="O123" i="1" s="1"/>
  <c r="I123" i="1"/>
  <c r="M123" i="1"/>
  <c r="K123" i="1" l="1"/>
  <c r="N123" i="1" l="1"/>
  <c r="L123" i="1"/>
  <c r="H124" i="1" s="1"/>
  <c r="J124" i="1" l="1"/>
  <c r="O124" i="1" s="1"/>
  <c r="I124" i="1"/>
  <c r="M124" i="1" l="1"/>
  <c r="K124" i="1" s="1"/>
  <c r="N124" i="1" s="1"/>
  <c r="L124" i="1" l="1"/>
  <c r="H125" i="1" s="1"/>
  <c r="I125" i="1" s="1"/>
  <c r="J125" i="1" l="1"/>
  <c r="M125" i="1" s="1"/>
  <c r="K125" i="1"/>
  <c r="L125" i="1" s="1"/>
  <c r="H126" i="1" s="1"/>
  <c r="J126" i="1" s="1"/>
  <c r="O125" i="1"/>
  <c r="I126" i="1" l="1"/>
  <c r="N125" i="1"/>
  <c r="O126" i="1"/>
  <c r="M126" i="1"/>
  <c r="K126" i="1" s="1"/>
  <c r="L126" i="1" s="1"/>
  <c r="H127" i="1" s="1"/>
  <c r="I127" i="1" s="1"/>
  <c r="N126" i="1" l="1"/>
  <c r="J127" i="1"/>
  <c r="O127" i="1" s="1"/>
  <c r="M127" i="1" l="1"/>
  <c r="K127" i="1" s="1"/>
  <c r="N127" i="1" s="1"/>
  <c r="L127" i="1" l="1"/>
  <c r="H128" i="1" s="1"/>
  <c r="J128" i="1"/>
  <c r="O128" i="1" s="1"/>
  <c r="I128" i="1"/>
  <c r="M128" i="1"/>
  <c r="K128" i="1" s="1"/>
  <c r="N128" i="1" s="1"/>
  <c r="L128" i="1" l="1"/>
  <c r="H129" i="1" s="1"/>
  <c r="I129" i="1" l="1"/>
  <c r="J129" i="1"/>
  <c r="O129" i="1" l="1"/>
  <c r="M129" i="1"/>
  <c r="K129" i="1" s="1"/>
  <c r="N129" i="1" l="1"/>
  <c r="L129" i="1"/>
  <c r="H130" i="1" s="1"/>
  <c r="J130" i="1" l="1"/>
  <c r="O130" i="1" s="1"/>
  <c r="I130" i="1"/>
  <c r="M130" i="1"/>
  <c r="K130" i="1" s="1"/>
  <c r="N130" i="1" s="1"/>
  <c r="L130" i="1" l="1"/>
  <c r="H131" i="1" s="1"/>
  <c r="J131" i="1" s="1"/>
  <c r="M131" i="1" s="1"/>
  <c r="O131" i="1" l="1"/>
  <c r="I131" i="1"/>
  <c r="K131" i="1" s="1"/>
  <c r="N131" i="1" s="1"/>
  <c r="L131" i="1" l="1"/>
  <c r="H132" i="1" s="1"/>
  <c r="J132" i="1" s="1"/>
  <c r="M132" i="1" s="1"/>
  <c r="I132" i="1"/>
  <c r="O132" i="1"/>
  <c r="K132" i="1" l="1"/>
  <c r="L132" i="1" s="1"/>
  <c r="H133" i="1" s="1"/>
  <c r="I133" i="1" l="1"/>
  <c r="J133" i="1"/>
  <c r="M133" i="1" s="1"/>
  <c r="K133" i="1" s="1"/>
  <c r="L133" i="1" s="1"/>
  <c r="H134" i="1" s="1"/>
  <c r="N132" i="1"/>
  <c r="O133" i="1" l="1"/>
  <c r="N133" i="1"/>
  <c r="J134" i="1"/>
  <c r="M134" i="1" s="1"/>
  <c r="I134" i="1"/>
  <c r="K134" i="1" l="1"/>
  <c r="L134" i="1" s="1"/>
  <c r="H135" i="1" s="1"/>
  <c r="O134" i="1"/>
  <c r="N134" i="1" l="1"/>
  <c r="J135" i="1"/>
  <c r="M135" i="1" s="1"/>
  <c r="I135" i="1"/>
  <c r="O135" i="1"/>
  <c r="K135" i="1" l="1"/>
  <c r="L135" i="1" s="1"/>
  <c r="H136" i="1" s="1"/>
  <c r="J136" i="1" s="1"/>
  <c r="O136" i="1" s="1"/>
  <c r="N135" i="1" l="1"/>
  <c r="I136" i="1"/>
  <c r="M136" i="1"/>
  <c r="K136" i="1" s="1"/>
  <c r="L136" i="1" s="1"/>
  <c r="H137" i="1" s="1"/>
  <c r="J137" i="1" s="1"/>
  <c r="M137" i="1" l="1"/>
  <c r="O137" i="1"/>
  <c r="I137" i="1"/>
  <c r="N136" i="1"/>
  <c r="K137" i="1" l="1"/>
  <c r="N137" i="1" l="1"/>
  <c r="L137" i="1"/>
  <c r="H138" i="1" s="1"/>
  <c r="J138" i="1" l="1"/>
  <c r="M138" i="1" s="1"/>
  <c r="I138" i="1"/>
  <c r="K138" i="1" l="1"/>
  <c r="N138" i="1" s="1"/>
  <c r="O138" i="1"/>
  <c r="L138" i="1" l="1"/>
  <c r="H139" i="1" s="1"/>
  <c r="J139" i="1" s="1"/>
  <c r="O139" i="1" s="1"/>
  <c r="I139" i="1" l="1"/>
  <c r="M139" i="1"/>
  <c r="K139" i="1" s="1"/>
  <c r="L139" i="1" s="1"/>
  <c r="H140" i="1" s="1"/>
  <c r="J140" i="1" s="1"/>
  <c r="M140" i="1" s="1"/>
  <c r="O140" i="1" l="1"/>
  <c r="N139" i="1"/>
  <c r="I140" i="1"/>
  <c r="K140" i="1" s="1"/>
  <c r="L140" i="1" s="1"/>
  <c r="H141" i="1" s="1"/>
  <c r="J141" i="1" s="1"/>
  <c r="O141" i="1" s="1"/>
  <c r="M141" i="1" l="1"/>
  <c r="I141" i="1"/>
  <c r="N140" i="1"/>
  <c r="K141" i="1" l="1"/>
  <c r="N141" i="1" l="1"/>
  <c r="L141" i="1"/>
  <c r="H142" i="1" s="1"/>
  <c r="J142" i="1" l="1"/>
  <c r="O142" i="1" s="1"/>
  <c r="I142" i="1"/>
  <c r="M142" i="1"/>
  <c r="K142" i="1" s="1"/>
  <c r="L142" i="1" s="1"/>
  <c r="H143" i="1" s="1"/>
  <c r="I143" i="1" l="1"/>
  <c r="J143" i="1"/>
  <c r="O143" i="1" s="1"/>
  <c r="N142" i="1"/>
  <c r="M143" i="1" l="1"/>
  <c r="K143" i="1" s="1"/>
  <c r="N143" i="1" s="1"/>
  <c r="L143" i="1" l="1"/>
  <c r="H144" i="1" s="1"/>
  <c r="J144" i="1" s="1"/>
  <c r="M144" i="1" s="1"/>
  <c r="I144" i="1" l="1"/>
  <c r="K144" i="1"/>
  <c r="N144" i="1" s="1"/>
  <c r="O144" i="1"/>
  <c r="L144" i="1" l="1"/>
  <c r="H145" i="1" s="1"/>
  <c r="J145" i="1" s="1"/>
  <c r="O145" i="1" s="1"/>
  <c r="I145" i="1" l="1"/>
  <c r="M145" i="1"/>
  <c r="K145" i="1" s="1"/>
  <c r="N145" i="1" l="1"/>
  <c r="L145" i="1"/>
  <c r="H146" i="1" s="1"/>
  <c r="J146" i="1" l="1"/>
  <c r="M146" i="1" s="1"/>
  <c r="I146" i="1"/>
  <c r="O146" i="1"/>
  <c r="K146" i="1" l="1"/>
  <c r="L146" i="1" s="1"/>
  <c r="H147" i="1" s="1"/>
  <c r="N146" i="1" l="1"/>
  <c r="J147" i="1"/>
  <c r="M147" i="1" s="1"/>
  <c r="I147" i="1"/>
  <c r="K147" i="1" l="1"/>
  <c r="L147" i="1" s="1"/>
  <c r="H148" i="1" s="1"/>
  <c r="O147" i="1"/>
  <c r="N147" i="1" l="1"/>
  <c r="J148" i="1"/>
  <c r="O148" i="1" s="1"/>
  <c r="I148" i="1"/>
  <c r="M148" i="1" l="1"/>
  <c r="K148" i="1" s="1"/>
  <c r="N148" i="1" s="1"/>
  <c r="L148" i="1" l="1"/>
  <c r="H149" i="1" s="1"/>
  <c r="J149" i="1" s="1"/>
  <c r="I149" i="1" l="1"/>
  <c r="M149" i="1"/>
  <c r="K149" i="1" s="1"/>
  <c r="L149" i="1" s="1"/>
  <c r="H150" i="1" s="1"/>
  <c r="O149" i="1"/>
  <c r="N149" i="1" l="1"/>
  <c r="I150" i="1"/>
  <c r="J150" i="1"/>
  <c r="O150" i="1" s="1"/>
  <c r="M150" i="1" l="1"/>
  <c r="K150" i="1" s="1"/>
  <c r="N150" i="1" l="1"/>
  <c r="L150" i="1"/>
  <c r="H151" i="1" s="1"/>
  <c r="J151" i="1" l="1"/>
  <c r="O151" i="1" s="1"/>
  <c r="I151" i="1"/>
  <c r="M151" i="1" l="1"/>
  <c r="K151" i="1" s="1"/>
  <c r="L151" i="1" l="1"/>
  <c r="H152" i="1" s="1"/>
  <c r="N151" i="1"/>
  <c r="J152" i="1" l="1"/>
  <c r="I152" i="1"/>
  <c r="O152" i="1"/>
  <c r="M152" i="1"/>
  <c r="K152" i="1" s="1"/>
  <c r="N152" i="1" s="1"/>
  <c r="L152" i="1" l="1"/>
  <c r="H153" i="1" s="1"/>
  <c r="J153" i="1" l="1"/>
  <c r="O153" i="1" s="1"/>
  <c r="I153" i="1"/>
  <c r="M153" i="1" l="1"/>
  <c r="K153" i="1" s="1"/>
  <c r="N153" i="1" s="1"/>
  <c r="L153" i="1" l="1"/>
  <c r="H154" i="1" s="1"/>
  <c r="J154" i="1" s="1"/>
  <c r="O154" i="1" l="1"/>
  <c r="M154" i="1"/>
  <c r="I154" i="1"/>
  <c r="K154" i="1" l="1"/>
  <c r="N154" i="1" s="1"/>
  <c r="L154" i="1" l="1"/>
  <c r="H155" i="1" s="1"/>
  <c r="J155" i="1" l="1"/>
  <c r="O155" i="1" s="1"/>
  <c r="I155" i="1"/>
  <c r="M155" i="1"/>
  <c r="K155" i="1" s="1"/>
  <c r="L155" i="1" l="1"/>
  <c r="H156" i="1" s="1"/>
  <c r="N155" i="1"/>
  <c r="J156" i="1" l="1"/>
  <c r="I156" i="1"/>
  <c r="O156" i="1"/>
  <c r="M156" i="1"/>
  <c r="K156" i="1" l="1"/>
  <c r="L156" i="1" l="1"/>
  <c r="H157" i="1" s="1"/>
  <c r="N156" i="1"/>
  <c r="I157" i="1" l="1"/>
  <c r="J157" i="1"/>
  <c r="O157" i="1" s="1"/>
  <c r="M157" i="1" l="1"/>
  <c r="K157" i="1" s="1"/>
  <c r="N157" i="1" s="1"/>
  <c r="L157" i="1" l="1"/>
  <c r="H158" i="1" s="1"/>
  <c r="J158" i="1" s="1"/>
  <c r="O158" i="1" s="1"/>
  <c r="I158" i="1" l="1"/>
  <c r="M158" i="1"/>
  <c r="K158" i="1" s="1"/>
  <c r="L158" i="1" s="1"/>
  <c r="H159" i="1" s="1"/>
  <c r="N158" i="1" l="1"/>
  <c r="J159" i="1"/>
  <c r="I159" i="1"/>
  <c r="M159" i="1"/>
  <c r="O159" i="1"/>
  <c r="K159" i="1" l="1"/>
  <c r="L159" i="1" s="1"/>
  <c r="H160" i="1" s="1"/>
  <c r="I160" i="1" s="1"/>
  <c r="N159" i="1" l="1"/>
  <c r="J160" i="1"/>
  <c r="O160" i="1" s="1"/>
  <c r="M160" i="1" l="1"/>
  <c r="K160" i="1" s="1"/>
  <c r="N160" i="1" l="1"/>
  <c r="L160" i="1"/>
  <c r="H161" i="1" s="1"/>
  <c r="J161" i="1" l="1"/>
  <c r="I161" i="1"/>
  <c r="O161" i="1" l="1"/>
  <c r="M161" i="1"/>
  <c r="K161" i="1" s="1"/>
  <c r="L161" i="1" l="1"/>
  <c r="H162" i="1" s="1"/>
  <c r="N161" i="1"/>
  <c r="I162" i="1" l="1"/>
  <c r="J162" i="1"/>
  <c r="M162" i="1" s="1"/>
  <c r="K162" i="1" s="1"/>
  <c r="L162" i="1" s="1"/>
  <c r="H163" i="1" s="1"/>
  <c r="O162" i="1"/>
  <c r="N162" i="1" l="1"/>
  <c r="J163" i="1"/>
  <c r="M163" i="1" s="1"/>
  <c r="I163" i="1"/>
  <c r="K163" i="1" s="1"/>
  <c r="N163" i="1" l="1"/>
  <c r="L163" i="1"/>
  <c r="H164" i="1" s="1"/>
  <c r="O163" i="1"/>
  <c r="J164" i="1" l="1"/>
  <c r="M164" i="1" s="1"/>
  <c r="O164" i="1"/>
  <c r="I164" i="1"/>
  <c r="K164" i="1" s="1"/>
  <c r="N164" i="1" s="1"/>
  <c r="L164" i="1" l="1"/>
  <c r="H165" i="1" s="1"/>
  <c r="J165" i="1" l="1"/>
  <c r="O165" i="1" s="1"/>
  <c r="I165" i="1"/>
  <c r="M165" i="1"/>
  <c r="K165" i="1"/>
  <c r="N165" i="1" s="1"/>
  <c r="L165" i="1" l="1"/>
  <c r="H166" i="1" s="1"/>
  <c r="J166" i="1" l="1"/>
  <c r="I166" i="1"/>
  <c r="O166" i="1"/>
  <c r="M166" i="1"/>
  <c r="K166" i="1" s="1"/>
  <c r="N166" i="1" s="1"/>
  <c r="L166" i="1" l="1"/>
  <c r="H167" i="1" s="1"/>
  <c r="I167" i="1" l="1"/>
  <c r="J167" i="1"/>
  <c r="O167" i="1" s="1"/>
  <c r="M167" i="1" l="1"/>
  <c r="K167" i="1" s="1"/>
  <c r="N167" i="1" l="1"/>
  <c r="L167" i="1"/>
  <c r="H168" i="1" s="1"/>
  <c r="J168" i="1" l="1"/>
  <c r="I168" i="1"/>
  <c r="M168" i="1"/>
  <c r="K168" i="1" s="1"/>
  <c r="L168" i="1" s="1"/>
  <c r="H169" i="1" s="1"/>
  <c r="O168" i="1"/>
  <c r="I169" i="1" l="1"/>
  <c r="J169" i="1"/>
  <c r="M169" i="1" s="1"/>
  <c r="K169" i="1" s="1"/>
  <c r="L169" i="1" s="1"/>
  <c r="H170" i="1" s="1"/>
  <c r="N168" i="1"/>
  <c r="N169" i="1" s="1"/>
  <c r="J170" i="1" l="1"/>
  <c r="M170" i="1"/>
  <c r="K170" i="1" s="1"/>
  <c r="L170" i="1" s="1"/>
  <c r="H171" i="1" s="1"/>
  <c r="I170" i="1"/>
  <c r="O169" i="1"/>
  <c r="O170" i="1" s="1"/>
  <c r="N170" i="1" l="1"/>
  <c r="I171" i="1"/>
  <c r="J171" i="1"/>
  <c r="O171" i="1" s="1"/>
  <c r="M171" i="1" l="1"/>
  <c r="K171" i="1" s="1"/>
  <c r="L171" i="1" l="1"/>
  <c r="H172" i="1" s="1"/>
  <c r="N171" i="1"/>
  <c r="J172" i="1" l="1"/>
  <c r="M172" i="1" s="1"/>
  <c r="I172" i="1"/>
  <c r="K172" i="1" l="1"/>
  <c r="N172" i="1" s="1"/>
  <c r="O172" i="1"/>
  <c r="L172" i="1" l="1"/>
  <c r="H173" i="1" s="1"/>
  <c r="I173" i="1" s="1"/>
  <c r="J173" i="1" l="1"/>
  <c r="O173" i="1" s="1"/>
  <c r="M173" i="1" l="1"/>
  <c r="K173" i="1" s="1"/>
  <c r="N173" i="1" s="1"/>
  <c r="L173" i="1" l="1"/>
  <c r="H174" i="1" s="1"/>
  <c r="I174" i="1" s="1"/>
  <c r="J174" i="1" l="1"/>
  <c r="O174" i="1" s="1"/>
  <c r="M174" i="1"/>
  <c r="K174" i="1" s="1"/>
  <c r="N174" i="1" s="1"/>
  <c r="L174" i="1" l="1"/>
  <c r="H175" i="1" s="1"/>
  <c r="J175" i="1" s="1"/>
  <c r="O175" i="1" s="1"/>
  <c r="I175" i="1" l="1"/>
  <c r="M175" i="1"/>
  <c r="K175" i="1" s="1"/>
  <c r="L175" i="1" l="1"/>
  <c r="H176" i="1" s="1"/>
  <c r="N175" i="1"/>
  <c r="I176" i="1" l="1"/>
  <c r="J176" i="1"/>
  <c r="O176" i="1" s="1"/>
  <c r="M176" i="1" l="1"/>
  <c r="K176" i="1" s="1"/>
  <c r="N176" i="1" l="1"/>
  <c r="L176" i="1"/>
  <c r="H177" i="1" s="1"/>
  <c r="J177" i="1" l="1"/>
  <c r="O177" i="1" s="1"/>
  <c r="I177" i="1"/>
  <c r="M177" i="1" l="1"/>
  <c r="K177" i="1"/>
  <c r="N177" i="1" s="1"/>
  <c r="L177" i="1" l="1"/>
  <c r="H178" i="1" s="1"/>
  <c r="I178" i="1" s="1"/>
  <c r="J178" i="1" l="1"/>
  <c r="O178" i="1" s="1"/>
  <c r="M178" i="1" l="1"/>
  <c r="K178" i="1" s="1"/>
  <c r="N178" i="1" s="1"/>
  <c r="L178" i="1" l="1"/>
  <c r="H179" i="1" s="1"/>
  <c r="J179" i="1" s="1"/>
  <c r="I179" i="1" l="1"/>
  <c r="M179" i="1"/>
  <c r="K179" i="1" s="1"/>
  <c r="N179" i="1" s="1"/>
  <c r="O179" i="1"/>
  <c r="L179" i="1" l="1"/>
  <c r="H180" i="1" s="1"/>
  <c r="J180" i="1" s="1"/>
  <c r="I180" i="1" l="1"/>
  <c r="O180" i="1"/>
  <c r="M180" i="1"/>
  <c r="K180" i="1" s="1"/>
  <c r="N180" i="1" s="1"/>
  <c r="L180" i="1" l="1"/>
  <c r="H181" i="1" s="1"/>
  <c r="I181" i="1" s="1"/>
  <c r="J181" i="1" l="1"/>
  <c r="M181" i="1" s="1"/>
  <c r="K181" i="1" s="1"/>
  <c r="L181" i="1" s="1"/>
  <c r="H182" i="1" s="1"/>
  <c r="O181" i="1" l="1"/>
  <c r="N181" i="1"/>
  <c r="I182" i="1"/>
  <c r="J182" i="1"/>
  <c r="O182" i="1" s="1"/>
  <c r="M182" i="1" l="1"/>
  <c r="K182" i="1" s="1"/>
  <c r="L182" i="1" l="1"/>
  <c r="H183" i="1" s="1"/>
  <c r="N182" i="1"/>
  <c r="J183" i="1" l="1"/>
  <c r="O183" i="1" s="1"/>
  <c r="I183" i="1"/>
  <c r="M183" i="1" l="1"/>
  <c r="K183" i="1" s="1"/>
  <c r="L183" i="1" l="1"/>
  <c r="H184" i="1" s="1"/>
  <c r="N183" i="1"/>
  <c r="J184" i="1" l="1"/>
  <c r="O184" i="1" s="1"/>
  <c r="I184" i="1"/>
  <c r="M184" i="1"/>
  <c r="K184" i="1" s="1"/>
  <c r="L184" i="1" s="1"/>
  <c r="H185" i="1" s="1"/>
  <c r="J185" i="1" l="1"/>
  <c r="M185" i="1" s="1"/>
  <c r="I185" i="1"/>
  <c r="N184" i="1"/>
  <c r="O185" i="1" l="1"/>
  <c r="K185" i="1"/>
  <c r="L185" i="1" s="1"/>
  <c r="H186" i="1" s="1"/>
  <c r="J186" i="1" s="1"/>
  <c r="M186" i="1" l="1"/>
  <c r="O186" i="1"/>
  <c r="I186" i="1"/>
  <c r="N185" i="1"/>
  <c r="K186" i="1" l="1"/>
  <c r="L186" i="1" s="1"/>
  <c r="H187" i="1" s="1"/>
  <c r="J187" i="1" s="1"/>
  <c r="O187" i="1" s="1"/>
  <c r="I187" i="1" l="1"/>
  <c r="N186" i="1"/>
  <c r="M187" i="1"/>
  <c r="K187" i="1" s="1"/>
  <c r="N187" i="1" l="1"/>
  <c r="L187" i="1"/>
  <c r="H188" i="1" s="1"/>
  <c r="J188" i="1" l="1"/>
  <c r="I188" i="1"/>
  <c r="O188" i="1"/>
  <c r="M188" i="1"/>
  <c r="K188" i="1" s="1"/>
  <c r="L188" i="1" l="1"/>
  <c r="H189" i="1" s="1"/>
  <c r="N188" i="1"/>
  <c r="J189" i="1" l="1"/>
  <c r="M189" i="1" s="1"/>
  <c r="I189" i="1"/>
  <c r="K189" i="1" l="1"/>
  <c r="L189" i="1" s="1"/>
  <c r="H190" i="1" s="1"/>
  <c r="J190" i="1" s="1"/>
  <c r="O190" i="1" s="1"/>
  <c r="O189" i="1"/>
  <c r="I190" i="1" l="1"/>
  <c r="N189" i="1"/>
  <c r="M190" i="1"/>
  <c r="K190" i="1" s="1"/>
  <c r="L190" i="1" s="1"/>
  <c r="H191" i="1" s="1"/>
  <c r="J191" i="1" l="1"/>
  <c r="O191" i="1" s="1"/>
  <c r="I191" i="1"/>
  <c r="N190" i="1"/>
  <c r="M191" i="1" l="1"/>
  <c r="K191" i="1" s="1"/>
  <c r="L191" i="1" l="1"/>
  <c r="H192" i="1" s="1"/>
  <c r="N191" i="1"/>
  <c r="I192" i="1" l="1"/>
  <c r="J192" i="1"/>
  <c r="O192" i="1" l="1"/>
  <c r="M192" i="1"/>
  <c r="K192" i="1" s="1"/>
  <c r="N192" i="1" l="1"/>
  <c r="L192" i="1"/>
  <c r="H193" i="1" s="1"/>
  <c r="J193" i="1" l="1"/>
  <c r="I193" i="1"/>
  <c r="M193" i="1" l="1"/>
  <c r="K193" i="1" s="1"/>
  <c r="O193" i="1"/>
  <c r="N193" i="1" l="1"/>
  <c r="L193" i="1"/>
  <c r="H194" i="1" s="1"/>
  <c r="J194" i="1" l="1"/>
  <c r="M194" i="1" s="1"/>
  <c r="I194" i="1"/>
  <c r="K194" i="1" l="1"/>
  <c r="N194" i="1" s="1"/>
  <c r="O194" i="1"/>
  <c r="L194" i="1" l="1"/>
  <c r="H195" i="1" s="1"/>
  <c r="I195" i="1" s="1"/>
  <c r="J195" i="1" l="1"/>
  <c r="O195" i="1" s="1"/>
  <c r="M195" i="1" l="1"/>
  <c r="K195" i="1" s="1"/>
  <c r="L195" i="1" s="1"/>
  <c r="H196" i="1" s="1"/>
  <c r="J196" i="1" s="1"/>
  <c r="O196" i="1" s="1"/>
  <c r="I196" i="1" l="1"/>
  <c r="N195" i="1"/>
  <c r="M196" i="1"/>
  <c r="K196" i="1" s="1"/>
  <c r="L196" i="1" l="1"/>
  <c r="H197" i="1" s="1"/>
  <c r="N196" i="1"/>
  <c r="J197" i="1" l="1"/>
  <c r="O197" i="1" s="1"/>
  <c r="I197" i="1"/>
  <c r="M197" i="1"/>
  <c r="K197" i="1" s="1"/>
  <c r="L197" i="1" l="1"/>
  <c r="H198" i="1" s="1"/>
  <c r="N197" i="1"/>
  <c r="J198" i="1" l="1"/>
  <c r="M198" i="1" s="1"/>
  <c r="I198" i="1"/>
  <c r="O198" i="1"/>
  <c r="K198" i="1" l="1"/>
  <c r="L198" i="1" s="1"/>
  <c r="H199" i="1" s="1"/>
  <c r="N198" i="1" l="1"/>
  <c r="I199" i="1"/>
  <c r="J199" i="1"/>
  <c r="O199" i="1" s="1"/>
  <c r="M199" i="1" l="1"/>
  <c r="K199" i="1" s="1"/>
  <c r="N199" i="1" l="1"/>
  <c r="L199" i="1"/>
  <c r="H200" i="1" s="1"/>
  <c r="J200" i="1" l="1"/>
  <c r="O200" i="1" s="1"/>
  <c r="I200" i="1"/>
  <c r="M200" i="1"/>
  <c r="K200" i="1" s="1"/>
  <c r="L200" i="1" s="1"/>
  <c r="H201" i="1" s="1"/>
  <c r="I201" i="1" l="1"/>
  <c r="J201" i="1"/>
  <c r="M201" i="1" s="1"/>
  <c r="K201" i="1" s="1"/>
  <c r="L201" i="1" s="1"/>
  <c r="H202" i="1" s="1"/>
  <c r="N200" i="1"/>
  <c r="N201" i="1" l="1"/>
  <c r="I202" i="1"/>
  <c r="J202" i="1"/>
  <c r="M202" i="1" s="1"/>
  <c r="K202" i="1" s="1"/>
  <c r="L202" i="1" s="1"/>
  <c r="H203" i="1" s="1"/>
  <c r="O201" i="1"/>
  <c r="J203" i="1" l="1"/>
  <c r="M203" i="1" s="1"/>
  <c r="I203" i="1"/>
  <c r="N202" i="1"/>
  <c r="O202" i="1"/>
  <c r="O203" i="1" s="1"/>
  <c r="K203" i="1" l="1"/>
  <c r="L203" i="1" s="1"/>
  <c r="H204" i="1" s="1"/>
  <c r="J204" i="1" s="1"/>
  <c r="O204" i="1" s="1"/>
  <c r="I204" i="1" l="1"/>
  <c r="N203" i="1"/>
  <c r="M204" i="1"/>
  <c r="K204" i="1" s="1"/>
  <c r="N204" i="1" s="1"/>
  <c r="L204" i="1" l="1"/>
  <c r="H205" i="1" s="1"/>
  <c r="J205" i="1" s="1"/>
  <c r="I205" i="1" l="1"/>
  <c r="O205" i="1"/>
  <c r="M205" i="1"/>
  <c r="K205" i="1" s="1"/>
  <c r="L205" i="1" s="1"/>
  <c r="H206" i="1" s="1"/>
  <c r="I206" i="1" s="1"/>
  <c r="N205" i="1" l="1"/>
  <c r="J206" i="1"/>
  <c r="O206" i="1" s="1"/>
  <c r="M206" i="1" l="1"/>
  <c r="K206" i="1" s="1"/>
  <c r="L206" i="1" s="1"/>
  <c r="H207" i="1" s="1"/>
  <c r="I207" i="1" s="1"/>
  <c r="N206" i="1" l="1"/>
  <c r="J207" i="1"/>
  <c r="O207" i="1" s="1"/>
  <c r="M207" i="1"/>
  <c r="K207" i="1" s="1"/>
  <c r="L207" i="1" s="1"/>
  <c r="H208" i="1" s="1"/>
  <c r="J208" i="1" l="1"/>
  <c r="M208" i="1" s="1"/>
  <c r="I208" i="1"/>
  <c r="N207" i="1"/>
  <c r="K208" i="1" l="1"/>
  <c r="L208" i="1" s="1"/>
  <c r="H209" i="1" s="1"/>
  <c r="J209" i="1" s="1"/>
  <c r="O208" i="1"/>
  <c r="O209" i="1" l="1"/>
  <c r="M209" i="1"/>
  <c r="I209" i="1"/>
  <c r="N208" i="1"/>
  <c r="K209" i="1" l="1"/>
  <c r="N209" i="1" l="1"/>
  <c r="L209" i="1"/>
  <c r="H210" i="1" s="1"/>
  <c r="J210" i="1" l="1"/>
  <c r="I210" i="1"/>
  <c r="O210" i="1"/>
  <c r="M210" i="1"/>
  <c r="K210" i="1" s="1"/>
  <c r="N210" i="1" l="1"/>
  <c r="L210" i="1"/>
  <c r="H211" i="1" s="1"/>
  <c r="I211" i="1" l="1"/>
  <c r="J211" i="1"/>
  <c r="O211" i="1" s="1"/>
  <c r="M211" i="1" l="1"/>
  <c r="K211" i="1" s="1"/>
  <c r="N211" i="1" l="1"/>
  <c r="L211" i="1"/>
  <c r="H212" i="1" s="1"/>
  <c r="J212" i="1" l="1"/>
  <c r="I212" i="1"/>
  <c r="O212" i="1"/>
  <c r="M212" i="1"/>
  <c r="K212" i="1" s="1"/>
  <c r="N212" i="1" l="1"/>
  <c r="L212" i="1"/>
  <c r="H213" i="1" s="1"/>
  <c r="J213" i="1" l="1"/>
  <c r="I213" i="1"/>
  <c r="O213" i="1" l="1"/>
  <c r="M213" i="1"/>
  <c r="K213" i="1" s="1"/>
  <c r="N213" i="1" l="1"/>
  <c r="L213" i="1"/>
  <c r="H214" i="1" s="1"/>
  <c r="J214" i="1" l="1"/>
  <c r="I214" i="1"/>
  <c r="O214" i="1"/>
  <c r="M214" i="1"/>
  <c r="K214" i="1" s="1"/>
  <c r="L214" i="1" l="1"/>
  <c r="H215" i="1" s="1"/>
  <c r="N214" i="1"/>
  <c r="I215" i="1" l="1"/>
  <c r="J215" i="1"/>
  <c r="O215" i="1" l="1"/>
  <c r="M215" i="1"/>
  <c r="K215" i="1" s="1"/>
  <c r="N215" i="1" l="1"/>
  <c r="L215" i="1"/>
  <c r="H216" i="1" s="1"/>
  <c r="J216" i="1" l="1"/>
  <c r="M216" i="1" s="1"/>
  <c r="O216" i="1"/>
  <c r="I216" i="1"/>
  <c r="K216" i="1" l="1"/>
  <c r="N216" i="1" l="1"/>
  <c r="L216" i="1"/>
  <c r="H217" i="1" s="1"/>
  <c r="J217" i="1" l="1"/>
  <c r="M217" i="1" s="1"/>
  <c r="I217" i="1"/>
  <c r="K217" i="1" l="1"/>
  <c r="N217" i="1" s="1"/>
  <c r="O217" i="1"/>
  <c r="L217" i="1" l="1"/>
  <c r="H218" i="1" s="1"/>
  <c r="J218" i="1" s="1"/>
  <c r="O218" i="1" s="1"/>
  <c r="I218" i="1" l="1"/>
  <c r="M218" i="1"/>
  <c r="K218" i="1" s="1"/>
  <c r="N218" i="1" s="1"/>
  <c r="L218" i="1" l="1"/>
  <c r="H219" i="1" s="1"/>
  <c r="J219" i="1" s="1"/>
  <c r="I219" i="1" l="1"/>
  <c r="M219" i="1"/>
  <c r="K219" i="1" s="1"/>
  <c r="O219" i="1"/>
  <c r="L219" i="1" l="1"/>
  <c r="H220" i="1" s="1"/>
  <c r="N219" i="1"/>
  <c r="J220" i="1" l="1"/>
  <c r="M220" i="1" s="1"/>
  <c r="I220" i="1"/>
  <c r="O220" i="1"/>
  <c r="K220" i="1" l="1"/>
  <c r="L220" i="1" l="1"/>
  <c r="H221" i="1" s="1"/>
  <c r="N220" i="1"/>
  <c r="J221" i="1" l="1"/>
  <c r="O221" i="1" s="1"/>
  <c r="I221" i="1"/>
  <c r="M221" i="1"/>
  <c r="K221" i="1" s="1"/>
  <c r="L221" i="1" s="1"/>
  <c r="H222" i="1" s="1"/>
  <c r="I222" i="1" l="1"/>
  <c r="J222" i="1"/>
  <c r="O222" i="1" s="1"/>
  <c r="N221" i="1"/>
  <c r="M222" i="1" l="1"/>
  <c r="K222" i="1" s="1"/>
  <c r="L222" i="1" s="1"/>
  <c r="H223" i="1" s="1"/>
  <c r="I223" i="1" l="1"/>
  <c r="J223" i="1"/>
  <c r="M223" i="1" s="1"/>
  <c r="K223" i="1" s="1"/>
  <c r="L223" i="1" s="1"/>
  <c r="H224" i="1" s="1"/>
  <c r="N222" i="1"/>
  <c r="N223" i="1" l="1"/>
  <c r="J224" i="1"/>
  <c r="M224" i="1" s="1"/>
  <c r="I224" i="1"/>
  <c r="O223" i="1"/>
  <c r="O224" i="1" s="1"/>
  <c r="K224" i="1" l="1"/>
  <c r="L224" i="1" s="1"/>
  <c r="H225" i="1" s="1"/>
  <c r="J225" i="1" s="1"/>
  <c r="I225" i="1" l="1"/>
  <c r="M225" i="1"/>
  <c r="K225" i="1" s="1"/>
  <c r="L225" i="1" s="1"/>
  <c r="H226" i="1" s="1"/>
  <c r="O225" i="1"/>
  <c r="N224" i="1"/>
  <c r="N225" i="1" l="1"/>
  <c r="J226" i="1"/>
  <c r="O226" i="1" s="1"/>
  <c r="I226" i="1"/>
  <c r="M226" i="1" l="1"/>
  <c r="K226" i="1" s="1"/>
  <c r="N226" i="1" l="1"/>
  <c r="L226" i="1"/>
  <c r="H227" i="1" s="1"/>
  <c r="I227" i="1" l="1"/>
  <c r="J227" i="1"/>
  <c r="O227" i="1" s="1"/>
  <c r="M227" i="1" l="1"/>
  <c r="K227" i="1" s="1"/>
  <c r="L227" i="1" s="1"/>
  <c r="H228" i="1" s="1"/>
  <c r="N227" i="1" l="1"/>
  <c r="I228" i="1"/>
  <c r="J228" i="1"/>
  <c r="O228" i="1" s="1"/>
  <c r="M228" i="1" l="1"/>
  <c r="K228" i="1" s="1"/>
  <c r="N228" i="1" l="1"/>
  <c r="L228" i="1"/>
  <c r="H229" i="1" s="1"/>
  <c r="J229" i="1" l="1"/>
  <c r="O229" i="1" s="1"/>
  <c r="I229" i="1"/>
  <c r="M229" i="1" l="1"/>
  <c r="K229" i="1" s="1"/>
  <c r="N229" i="1" l="1"/>
  <c r="L229" i="1"/>
  <c r="H230" i="1" s="1"/>
  <c r="J230" i="1" l="1"/>
  <c r="O230" i="1" s="1"/>
  <c r="I230" i="1"/>
  <c r="M230" i="1" l="1"/>
  <c r="K230" i="1" s="1"/>
  <c r="N230" i="1" l="1"/>
  <c r="L230" i="1"/>
  <c r="H231" i="1" s="1"/>
  <c r="I231" i="1" l="1"/>
  <c r="J231" i="1"/>
  <c r="M231" i="1" s="1"/>
  <c r="K231" i="1" s="1"/>
  <c r="O231" i="1" l="1"/>
  <c r="N231" i="1"/>
  <c r="L231" i="1"/>
  <c r="H232" i="1" s="1"/>
  <c r="J232" i="1" l="1"/>
  <c r="M232" i="1" s="1"/>
  <c r="I232" i="1"/>
  <c r="K232" i="1" l="1"/>
  <c r="N232" i="1" s="1"/>
  <c r="O232" i="1"/>
  <c r="L232" i="1" l="1"/>
  <c r="H233" i="1" s="1"/>
  <c r="I233" i="1" s="1"/>
  <c r="J233" i="1" l="1"/>
  <c r="M233" i="1" s="1"/>
  <c r="K233" i="1"/>
  <c r="N233" i="1" s="1"/>
  <c r="O233" i="1"/>
  <c r="L233" i="1" l="1"/>
  <c r="H234" i="1" s="1"/>
  <c r="J234" i="1" s="1"/>
  <c r="M234" i="1" s="1"/>
  <c r="I234" i="1" l="1"/>
  <c r="K234" i="1"/>
  <c r="L234" i="1" s="1"/>
  <c r="H235" i="1" s="1"/>
  <c r="O234" i="1"/>
  <c r="N234" i="1" l="1"/>
  <c r="I235" i="1"/>
  <c r="J235" i="1"/>
  <c r="O235" i="1" s="1"/>
  <c r="M235" i="1" l="1"/>
  <c r="K235" i="1" s="1"/>
  <c r="L235" i="1" s="1"/>
  <c r="H236" i="1" s="1"/>
  <c r="N235" i="1" l="1"/>
  <c r="J236" i="1"/>
  <c r="O236" i="1" s="1"/>
  <c r="I236" i="1"/>
  <c r="M236" i="1"/>
  <c r="K236" i="1" s="1"/>
  <c r="N236" i="1" l="1"/>
  <c r="L236" i="1"/>
  <c r="H237" i="1" s="1"/>
  <c r="J237" i="1" l="1"/>
  <c r="M237" i="1" s="1"/>
  <c r="I237" i="1"/>
  <c r="K237" i="1" l="1"/>
  <c r="N237" i="1" s="1"/>
  <c r="O237" i="1"/>
  <c r="L237" i="1" l="1"/>
  <c r="H238" i="1" s="1"/>
  <c r="J238" i="1" s="1"/>
  <c r="M238" i="1" l="1"/>
  <c r="O238" i="1"/>
  <c r="I238" i="1"/>
  <c r="K238" i="1" l="1"/>
  <c r="L238" i="1" l="1"/>
  <c r="H239" i="1" s="1"/>
  <c r="N238" i="1"/>
  <c r="J239" i="1" l="1"/>
  <c r="O239" i="1" s="1"/>
  <c r="I239" i="1"/>
  <c r="M239" i="1" l="1"/>
  <c r="K239" i="1" s="1"/>
  <c r="N239" i="1" l="1"/>
  <c r="L239" i="1"/>
  <c r="H240" i="1" s="1"/>
  <c r="J240" i="1" l="1"/>
  <c r="I240" i="1"/>
  <c r="M240" i="1"/>
  <c r="K240" i="1" s="1"/>
  <c r="O240" i="1"/>
  <c r="N240" i="1" l="1"/>
  <c r="L240" i="1"/>
  <c r="H241" i="1" s="1"/>
  <c r="J241" i="1" l="1"/>
  <c r="O241" i="1" s="1"/>
  <c r="I241" i="1"/>
  <c r="M241" i="1"/>
  <c r="K241" i="1" s="1"/>
  <c r="N241" i="1" l="1"/>
  <c r="L241" i="1"/>
  <c r="H242" i="1" s="1"/>
  <c r="J242" i="1" l="1"/>
  <c r="M242" i="1" s="1"/>
  <c r="I242" i="1"/>
  <c r="O242" i="1"/>
  <c r="K242" i="1" l="1"/>
  <c r="L242" i="1" l="1"/>
  <c r="H243" i="1" s="1"/>
  <c r="N242" i="1"/>
  <c r="I243" i="1" l="1"/>
  <c r="J243" i="1"/>
  <c r="O243" i="1" s="1"/>
  <c r="M243" i="1" l="1"/>
  <c r="K243" i="1" s="1"/>
  <c r="L243" i="1" s="1"/>
  <c r="H244" i="1" s="1"/>
  <c r="I244" i="1" s="1"/>
  <c r="N243" i="1" l="1"/>
  <c r="J244" i="1"/>
  <c r="O244" i="1" s="1"/>
  <c r="M244" i="1" l="1"/>
  <c r="K244" i="1" s="1"/>
  <c r="N244" i="1" l="1"/>
  <c r="L244" i="1"/>
  <c r="H245" i="1" s="1"/>
  <c r="J245" i="1" l="1"/>
  <c r="I245" i="1"/>
  <c r="M245" i="1" l="1"/>
  <c r="K245" i="1" s="1"/>
  <c r="O245" i="1"/>
  <c r="L245" i="1" l="1"/>
  <c r="H246" i="1" s="1"/>
  <c r="N245" i="1"/>
  <c r="I246" i="1" l="1"/>
  <c r="J246" i="1"/>
  <c r="M246" i="1" s="1"/>
  <c r="K246" i="1" s="1"/>
  <c r="N246" i="1" s="1"/>
  <c r="O246" i="1" l="1"/>
  <c r="L246" i="1"/>
  <c r="H247" i="1" s="1"/>
  <c r="I247" i="1" l="1"/>
  <c r="J247" i="1"/>
  <c r="O247" i="1" s="1"/>
  <c r="M247" i="1"/>
  <c r="K247" i="1" s="1"/>
  <c r="N247" i="1" l="1"/>
  <c r="L247" i="1"/>
  <c r="H248" i="1" s="1"/>
  <c r="I248" i="1" l="1"/>
  <c r="J248" i="1"/>
  <c r="O248" i="1" l="1"/>
  <c r="M248" i="1"/>
  <c r="K248" i="1" s="1"/>
  <c r="N248" i="1" l="1"/>
  <c r="L248" i="1"/>
  <c r="H249" i="1" s="1"/>
  <c r="I249" i="1" l="1"/>
  <c r="J249" i="1"/>
  <c r="O249" i="1" l="1"/>
  <c r="M249" i="1"/>
  <c r="K249" i="1" s="1"/>
  <c r="N249" i="1" l="1"/>
  <c r="L249" i="1"/>
  <c r="H250" i="1" s="1"/>
  <c r="I250" i="1" l="1"/>
  <c r="J250" i="1"/>
  <c r="O250" i="1" s="1"/>
  <c r="M250" i="1" l="1"/>
  <c r="K250" i="1" s="1"/>
  <c r="N250" i="1" l="1"/>
  <c r="L250" i="1"/>
  <c r="H251" i="1" s="1"/>
  <c r="I251" i="1" l="1"/>
  <c r="J251" i="1"/>
  <c r="O251" i="1" s="1"/>
  <c r="M251" i="1" l="1"/>
  <c r="K251" i="1" s="1"/>
  <c r="L251" i="1" l="1"/>
  <c r="H252" i="1" s="1"/>
  <c r="N251" i="1"/>
  <c r="I252" i="1" l="1"/>
  <c r="J252" i="1"/>
  <c r="M252" i="1" s="1"/>
  <c r="K252" i="1" s="1"/>
  <c r="N252" i="1" s="1"/>
  <c r="L252" i="1" l="1"/>
  <c r="H253" i="1" s="1"/>
  <c r="O252" i="1"/>
  <c r="I253" i="1" l="1"/>
  <c r="J253" i="1"/>
  <c r="O253" i="1" s="1"/>
  <c r="M253" i="1" l="1"/>
  <c r="K253" i="1" s="1"/>
  <c r="N253" i="1" l="1"/>
  <c r="L253" i="1"/>
  <c r="H254" i="1" s="1"/>
  <c r="J254" i="1" l="1"/>
  <c r="I254" i="1"/>
  <c r="M254" i="1"/>
  <c r="K254" i="1" s="1"/>
  <c r="L254" i="1" s="1"/>
  <c r="H255" i="1" s="1"/>
  <c r="O254" i="1"/>
  <c r="J255" i="1" l="1"/>
  <c r="O255" i="1" s="1"/>
  <c r="I255" i="1"/>
  <c r="N254" i="1"/>
  <c r="M255" i="1" l="1"/>
  <c r="K255" i="1" s="1"/>
  <c r="L255" i="1" s="1"/>
  <c r="H256" i="1" s="1"/>
  <c r="J256" i="1" s="1"/>
  <c r="M256" i="1" s="1"/>
  <c r="I256" i="1" l="1"/>
  <c r="N255" i="1"/>
  <c r="K256" i="1"/>
  <c r="O256" i="1"/>
  <c r="L256" i="1" l="1"/>
  <c r="H257" i="1" s="1"/>
  <c r="N256" i="1"/>
  <c r="J257" i="1" l="1"/>
  <c r="O257" i="1" s="1"/>
  <c r="I257" i="1"/>
  <c r="M257" i="1"/>
  <c r="K257" i="1" s="1"/>
  <c r="L257" i="1" s="1"/>
  <c r="H258" i="1" s="1"/>
  <c r="I258" i="1" s="1"/>
  <c r="J258" i="1" l="1"/>
  <c r="M258" i="1" s="1"/>
  <c r="K258" i="1" s="1"/>
  <c r="N258" i="1" s="1"/>
  <c r="N257" i="1"/>
  <c r="O258" i="1"/>
  <c r="L258" i="1" l="1"/>
  <c r="H259" i="1" s="1"/>
  <c r="J259" i="1" s="1"/>
  <c r="M259" i="1" s="1"/>
  <c r="I259" i="1" l="1"/>
  <c r="O259" i="1"/>
  <c r="K259" i="1"/>
  <c r="L259" i="1" s="1"/>
  <c r="H260" i="1" s="1"/>
  <c r="N259" i="1" l="1"/>
  <c r="J260" i="1"/>
  <c r="O260" i="1" s="1"/>
  <c r="I260" i="1"/>
  <c r="M260" i="1" l="1"/>
  <c r="K260" i="1" s="1"/>
  <c r="N260" i="1" l="1"/>
  <c r="L260" i="1"/>
  <c r="H261" i="1" s="1"/>
  <c r="J261" i="1" l="1"/>
  <c r="M261" i="1" s="1"/>
  <c r="I261" i="1"/>
  <c r="K261" i="1" l="1"/>
  <c r="N261" i="1" s="1"/>
  <c r="O261" i="1"/>
  <c r="L261" i="1" l="1"/>
  <c r="H262" i="1" s="1"/>
  <c r="J262" i="1" s="1"/>
  <c r="O262" i="1" s="1"/>
  <c r="I262" i="1" l="1"/>
  <c r="M262" i="1"/>
  <c r="K262" i="1" s="1"/>
  <c r="N262" i="1" l="1"/>
  <c r="L262" i="1"/>
  <c r="H263" i="1" s="1"/>
  <c r="I263" i="1" l="1"/>
  <c r="J263" i="1"/>
  <c r="O263" i="1" s="1"/>
  <c r="M263" i="1" l="1"/>
  <c r="K263" i="1" s="1"/>
  <c r="N263" i="1" s="1"/>
  <c r="L263" i="1" l="1"/>
  <c r="H264" i="1" s="1"/>
  <c r="I264" i="1" s="1"/>
  <c r="J264" i="1" l="1"/>
  <c r="O264" i="1" s="1"/>
  <c r="M264" i="1" l="1"/>
  <c r="K264" i="1" s="1"/>
  <c r="N264" i="1" s="1"/>
  <c r="L264" i="1" l="1"/>
  <c r="H265" i="1" s="1"/>
  <c r="J265" i="1" s="1"/>
  <c r="I265" i="1" l="1"/>
  <c r="O265" i="1"/>
  <c r="M265" i="1"/>
  <c r="K265" i="1" s="1"/>
  <c r="L265" i="1" s="1"/>
  <c r="H266" i="1" s="1"/>
  <c r="N265" i="1" l="1"/>
  <c r="J266" i="1"/>
  <c r="M266" i="1" s="1"/>
  <c r="O266" i="1"/>
  <c r="I266" i="1"/>
  <c r="K266" i="1" l="1"/>
  <c r="N266" i="1" s="1"/>
  <c r="L266" i="1" l="1"/>
  <c r="H267" i="1" s="1"/>
  <c r="J267" i="1" s="1"/>
  <c r="M267" i="1" s="1"/>
  <c r="I267" i="1" l="1"/>
  <c r="O267" i="1"/>
  <c r="K267" i="1"/>
  <c r="L267" i="1" s="1"/>
  <c r="H268" i="1" s="1"/>
  <c r="N267" i="1" l="1"/>
  <c r="J268" i="1"/>
  <c r="I268" i="1"/>
  <c r="O268" i="1"/>
  <c r="M268" i="1"/>
  <c r="K268" i="1" s="1"/>
  <c r="N268" i="1" l="1"/>
  <c r="L268" i="1"/>
  <c r="H269" i="1" s="1"/>
  <c r="J269" i="1" l="1"/>
  <c r="O269" i="1" s="1"/>
  <c r="I269" i="1"/>
  <c r="M269" i="1" l="1"/>
  <c r="K269" i="1" s="1"/>
  <c r="N269" i="1" l="1"/>
  <c r="L269" i="1"/>
  <c r="H270" i="1" s="1"/>
  <c r="I270" i="1" l="1"/>
  <c r="J270" i="1"/>
  <c r="O270" i="1" s="1"/>
  <c r="M270" i="1" l="1"/>
  <c r="K270" i="1" s="1"/>
  <c r="N270" i="1" l="1"/>
  <c r="L270" i="1"/>
  <c r="H271" i="1" s="1"/>
  <c r="J271" i="1" l="1"/>
  <c r="O271" i="1" s="1"/>
  <c r="I271" i="1"/>
  <c r="M271" i="1" l="1"/>
  <c r="K271" i="1" s="1"/>
  <c r="L271" i="1" l="1"/>
  <c r="H272" i="1" s="1"/>
  <c r="N271" i="1"/>
  <c r="J272" i="1" l="1"/>
  <c r="I272" i="1"/>
  <c r="O272" i="1"/>
  <c r="M272" i="1"/>
  <c r="K272" i="1" s="1"/>
  <c r="L272" i="1" l="1"/>
  <c r="H273" i="1" s="1"/>
  <c r="N272" i="1"/>
  <c r="I273" i="1" l="1"/>
  <c r="J273" i="1"/>
  <c r="M273" i="1" s="1"/>
  <c r="K273" i="1" s="1"/>
  <c r="N273" i="1" l="1"/>
  <c r="L273" i="1"/>
  <c r="H274" i="1" s="1"/>
  <c r="O273" i="1"/>
  <c r="J274" i="1" l="1"/>
  <c r="O274" i="1" s="1"/>
  <c r="I274" i="1"/>
  <c r="M274" i="1" l="1"/>
  <c r="K274" i="1" s="1"/>
  <c r="L274" i="1" s="1"/>
  <c r="H275" i="1" s="1"/>
  <c r="N274" i="1" l="1"/>
  <c r="J275" i="1"/>
  <c r="I275" i="1"/>
  <c r="M275" i="1"/>
  <c r="K275" i="1" s="1"/>
  <c r="O275" i="1"/>
  <c r="N275" i="1" l="1"/>
  <c r="L275" i="1"/>
  <c r="H276" i="1" s="1"/>
  <c r="J276" i="1" l="1"/>
  <c r="O276" i="1" s="1"/>
  <c r="I276" i="1"/>
  <c r="M276" i="1" l="1"/>
  <c r="K276" i="1" s="1"/>
  <c r="N276" i="1" l="1"/>
  <c r="L276" i="1"/>
  <c r="H277" i="1" s="1"/>
  <c r="I277" i="1" l="1"/>
  <c r="J277" i="1"/>
  <c r="O277" i="1" s="1"/>
  <c r="M277" i="1" l="1"/>
  <c r="K277" i="1" s="1"/>
  <c r="L277" i="1" l="1"/>
  <c r="H278" i="1" s="1"/>
  <c r="N277" i="1"/>
  <c r="I278" i="1" l="1"/>
  <c r="J278" i="1"/>
  <c r="O278" i="1" s="1"/>
  <c r="M278" i="1" l="1"/>
  <c r="K278" i="1" s="1"/>
  <c r="N278" i="1" l="1"/>
  <c r="L278" i="1"/>
  <c r="H279" i="1" s="1"/>
  <c r="J279" i="1" l="1"/>
  <c r="M279" i="1" s="1"/>
  <c r="I279" i="1"/>
  <c r="K279" i="1" l="1"/>
  <c r="L279" i="1" s="1"/>
  <c r="H280" i="1" s="1"/>
  <c r="O279" i="1"/>
  <c r="N279" i="1" l="1"/>
  <c r="J280" i="1"/>
  <c r="M280" i="1" s="1"/>
  <c r="I280" i="1"/>
  <c r="O280" i="1"/>
  <c r="K280" i="1" l="1"/>
  <c r="L280" i="1" s="1"/>
  <c r="H281" i="1" s="1"/>
  <c r="N280" i="1" l="1"/>
  <c r="J281" i="1"/>
  <c r="M281" i="1" s="1"/>
  <c r="I281" i="1"/>
  <c r="K281" i="1" l="1"/>
  <c r="L281" i="1" s="1"/>
  <c r="H282" i="1" s="1"/>
  <c r="O281" i="1"/>
  <c r="N281" i="1" l="1"/>
  <c r="J282" i="1"/>
  <c r="I282" i="1"/>
  <c r="O282" i="1"/>
  <c r="M282" i="1"/>
  <c r="K282" i="1" s="1"/>
  <c r="L282" i="1" l="1"/>
  <c r="H283" i="1" s="1"/>
  <c r="N282" i="1"/>
  <c r="J283" i="1" l="1"/>
  <c r="O283" i="1" s="1"/>
  <c r="I283" i="1"/>
  <c r="M283" i="1" l="1"/>
  <c r="K283" i="1" s="1"/>
  <c r="N283" i="1" l="1"/>
  <c r="L283" i="1"/>
  <c r="H284" i="1" s="1"/>
  <c r="I284" i="1" l="1"/>
  <c r="J284" i="1"/>
  <c r="M284" i="1" s="1"/>
  <c r="K284" i="1" s="1"/>
  <c r="O284" i="1" l="1"/>
  <c r="L284" i="1"/>
  <c r="H285" i="1" s="1"/>
  <c r="N284" i="1"/>
  <c r="I285" i="1" l="1"/>
  <c r="J285" i="1"/>
  <c r="O285" i="1" s="1"/>
  <c r="M285" i="1" l="1"/>
  <c r="K285" i="1" s="1"/>
  <c r="N285" i="1" l="1"/>
  <c r="L285" i="1"/>
  <c r="H286" i="1" s="1"/>
  <c r="J286" i="1" l="1"/>
  <c r="M286" i="1" s="1"/>
  <c r="I286" i="1"/>
  <c r="K286" i="1" l="1"/>
  <c r="L286" i="1" s="1"/>
  <c r="H287" i="1" s="1"/>
  <c r="O286" i="1"/>
  <c r="N286" i="1" l="1"/>
  <c r="J287" i="1"/>
  <c r="M287" i="1" s="1"/>
  <c r="I287" i="1"/>
  <c r="O287" i="1" l="1"/>
  <c r="K287" i="1"/>
  <c r="L287" i="1" s="1"/>
  <c r="H288" i="1" s="1"/>
  <c r="N287" i="1" l="1"/>
  <c r="I288" i="1"/>
  <c r="J288" i="1"/>
  <c r="O288" i="1" s="1"/>
  <c r="M288" i="1" l="1"/>
  <c r="K288" i="1" s="1"/>
  <c r="N288" i="1" l="1"/>
  <c r="L288" i="1"/>
  <c r="H289" i="1" s="1"/>
  <c r="J289" i="1" l="1"/>
  <c r="M289" i="1" s="1"/>
  <c r="K289" i="1" s="1"/>
  <c r="I289" i="1"/>
  <c r="O289" i="1" l="1"/>
  <c r="N289" i="1"/>
  <c r="L289" i="1"/>
  <c r="H290" i="1" s="1"/>
  <c r="I290" i="1" l="1"/>
  <c r="J290" i="1"/>
  <c r="O290" i="1" s="1"/>
  <c r="M290" i="1" l="1"/>
  <c r="K290" i="1" s="1"/>
  <c r="N290" i="1" l="1"/>
  <c r="L290" i="1"/>
  <c r="H291" i="1" s="1"/>
  <c r="I291" i="1" l="1"/>
  <c r="J291" i="1"/>
  <c r="O291" i="1" s="1"/>
  <c r="M291" i="1" l="1"/>
  <c r="K291" i="1" s="1"/>
  <c r="N291" i="1" l="1"/>
  <c r="L291" i="1"/>
  <c r="H292" i="1" s="1"/>
  <c r="I292" i="1" l="1"/>
  <c r="J292" i="1"/>
  <c r="O292" i="1" s="1"/>
  <c r="M292" i="1" l="1"/>
  <c r="K292" i="1" s="1"/>
  <c r="N292" i="1" l="1"/>
  <c r="L292" i="1"/>
  <c r="H293" i="1" s="1"/>
  <c r="J293" i="1" l="1"/>
  <c r="O293" i="1" s="1"/>
  <c r="I293" i="1"/>
  <c r="M293" i="1" l="1"/>
  <c r="K293" i="1" s="1"/>
  <c r="N293" i="1" l="1"/>
  <c r="L293" i="1"/>
  <c r="H294" i="1" s="1"/>
  <c r="J294" i="1" l="1"/>
  <c r="M294" i="1" s="1"/>
  <c r="I294" i="1"/>
  <c r="K294" i="1" l="1"/>
  <c r="L294" i="1" s="1"/>
  <c r="H295" i="1" s="1"/>
  <c r="O294" i="1"/>
  <c r="N294" i="1" l="1"/>
  <c r="I295" i="1"/>
  <c r="J295" i="1"/>
  <c r="O295" i="1" s="1"/>
  <c r="M295" i="1" l="1"/>
  <c r="K295" i="1" s="1"/>
  <c r="N295" i="1" l="1"/>
  <c r="L295" i="1"/>
  <c r="H296" i="1" s="1"/>
  <c r="J296" i="1" l="1"/>
  <c r="I296" i="1"/>
  <c r="M296" i="1"/>
  <c r="K296" i="1" s="1"/>
  <c r="O296" i="1"/>
  <c r="L296" i="1" l="1"/>
  <c r="H297" i="1" s="1"/>
  <c r="N296" i="1"/>
  <c r="J297" i="1" l="1"/>
  <c r="O297" i="1" s="1"/>
  <c r="I297" i="1"/>
  <c r="M297" i="1" l="1"/>
  <c r="K297" i="1" s="1"/>
  <c r="N297" i="1" s="1"/>
  <c r="L297" i="1" l="1"/>
  <c r="H298" i="1" s="1"/>
  <c r="I298" i="1" s="1"/>
  <c r="J298" i="1" l="1"/>
  <c r="O298" i="1" s="1"/>
  <c r="M298" i="1" l="1"/>
  <c r="K298" i="1" s="1"/>
  <c r="L298" i="1" s="1"/>
  <c r="H299" i="1" s="1"/>
  <c r="N298" i="1" l="1"/>
  <c r="J299" i="1"/>
  <c r="O299" i="1" s="1"/>
  <c r="I299" i="1"/>
  <c r="M299" i="1" l="1"/>
  <c r="K299" i="1" s="1"/>
  <c r="L299" i="1" l="1"/>
  <c r="H300" i="1" s="1"/>
  <c r="N299" i="1"/>
  <c r="I300" i="1" l="1"/>
  <c r="J300" i="1"/>
  <c r="O300" i="1" s="1"/>
  <c r="M300" i="1" l="1"/>
  <c r="K300" i="1" s="1"/>
  <c r="N300" i="1" l="1"/>
  <c r="L300" i="1"/>
  <c r="H301" i="1" s="1"/>
  <c r="J301" i="1" l="1"/>
  <c r="M301" i="1" s="1"/>
  <c r="I301" i="1"/>
  <c r="K301" i="1" l="1"/>
  <c r="L301" i="1" s="1"/>
  <c r="H302" i="1" s="1"/>
  <c r="O301" i="1"/>
  <c r="N301" i="1" l="1"/>
  <c r="J302" i="1"/>
  <c r="M302" i="1" s="1"/>
  <c r="O302" i="1"/>
  <c r="I302" i="1"/>
  <c r="K302" i="1" l="1"/>
  <c r="N302" i="1" s="1"/>
  <c r="L302" i="1" l="1"/>
  <c r="H303" i="1" s="1"/>
  <c r="J303" i="1" s="1"/>
  <c r="O303" i="1" l="1"/>
  <c r="M303" i="1"/>
  <c r="K303" i="1" s="1"/>
  <c r="N303" i="1" s="1"/>
  <c r="I303" i="1"/>
  <c r="L303" i="1" l="1"/>
  <c r="H304" i="1" s="1"/>
  <c r="J304" i="1" s="1"/>
  <c r="O304" i="1" s="1"/>
  <c r="I304" i="1" l="1"/>
  <c r="M304" i="1"/>
  <c r="K304" i="1" s="1"/>
  <c r="L304" i="1" l="1"/>
  <c r="H305" i="1" s="1"/>
  <c r="N304" i="1"/>
  <c r="I305" i="1" l="1"/>
  <c r="J305" i="1"/>
  <c r="O305" i="1" s="1"/>
  <c r="M305" i="1" l="1"/>
  <c r="K305" i="1" s="1"/>
  <c r="N305" i="1" s="1"/>
  <c r="L305" i="1" l="1"/>
  <c r="H306" i="1" s="1"/>
  <c r="I306" i="1" s="1"/>
  <c r="J306" i="1" l="1"/>
  <c r="O306" i="1" s="1"/>
  <c r="M306" i="1"/>
  <c r="K306" i="1" s="1"/>
  <c r="N306" i="1" l="1"/>
  <c r="L306" i="1"/>
  <c r="H307" i="1" s="1"/>
  <c r="J307" i="1" l="1"/>
  <c r="O307" i="1" s="1"/>
  <c r="I307" i="1"/>
  <c r="M307" i="1" l="1"/>
  <c r="K307" i="1" s="1"/>
  <c r="N307" i="1" l="1"/>
  <c r="L307" i="1"/>
  <c r="H308" i="1" s="1"/>
  <c r="J308" i="1" l="1"/>
  <c r="M308" i="1" s="1"/>
  <c r="I308" i="1"/>
  <c r="O308" i="1" l="1"/>
  <c r="K308" i="1"/>
  <c r="L308" i="1" s="1"/>
  <c r="H309" i="1" s="1"/>
  <c r="N308" i="1" l="1"/>
  <c r="I309" i="1"/>
  <c r="J309" i="1"/>
  <c r="M309" i="1" s="1"/>
  <c r="K309" i="1" s="1"/>
  <c r="O309" i="1" l="1"/>
  <c r="N309" i="1"/>
  <c r="L309" i="1"/>
  <c r="H310" i="1" s="1"/>
  <c r="J310" i="1" l="1"/>
  <c r="I310" i="1"/>
  <c r="O310" i="1"/>
  <c r="M310" i="1"/>
  <c r="K310" i="1" s="1"/>
  <c r="N310" i="1" l="1"/>
  <c r="L310" i="1"/>
  <c r="H311" i="1" s="1"/>
  <c r="I311" i="1" l="1"/>
  <c r="J311" i="1"/>
  <c r="O311" i="1" s="1"/>
  <c r="M311" i="1" l="1"/>
  <c r="K311" i="1" s="1"/>
  <c r="N311" i="1" l="1"/>
  <c r="L311" i="1"/>
  <c r="H312" i="1" s="1"/>
  <c r="I312" i="1" l="1"/>
  <c r="J312" i="1"/>
  <c r="M312" i="1" s="1"/>
  <c r="K312" i="1" s="1"/>
  <c r="L312" i="1" l="1"/>
  <c r="H313" i="1" s="1"/>
  <c r="N312" i="1"/>
  <c r="O312" i="1"/>
  <c r="J313" i="1" l="1"/>
  <c r="O313" i="1" s="1"/>
  <c r="I313" i="1"/>
  <c r="M313" i="1" l="1"/>
  <c r="K313" i="1" s="1"/>
  <c r="N313" i="1" l="1"/>
  <c r="L313" i="1"/>
  <c r="H314" i="1" s="1"/>
  <c r="J314" i="1" l="1"/>
  <c r="M314" i="1" s="1"/>
  <c r="I314" i="1"/>
  <c r="O314" i="1" l="1"/>
  <c r="K314" i="1"/>
  <c r="N314" i="1" s="1"/>
  <c r="L314" i="1" l="1"/>
  <c r="H315" i="1" s="1"/>
  <c r="J315" i="1" s="1"/>
  <c r="M315" i="1" s="1"/>
  <c r="I315" i="1" l="1"/>
  <c r="O315" i="1"/>
  <c r="K315" i="1"/>
  <c r="L315" i="1" s="1"/>
  <c r="H316" i="1" s="1"/>
  <c r="N315" i="1" l="1"/>
  <c r="I316" i="1"/>
  <c r="J316" i="1"/>
  <c r="O316" i="1" s="1"/>
  <c r="M316" i="1" l="1"/>
  <c r="K316" i="1" s="1"/>
  <c r="L316" i="1" l="1"/>
  <c r="H317" i="1" s="1"/>
  <c r="N316" i="1"/>
  <c r="J317" i="1" l="1"/>
  <c r="I317" i="1"/>
  <c r="O317" i="1"/>
  <c r="M317" i="1"/>
  <c r="K317" i="1" s="1"/>
  <c r="N317" i="1" l="1"/>
  <c r="L317" i="1"/>
  <c r="H318" i="1" s="1"/>
  <c r="J318" i="1" l="1"/>
  <c r="O318" i="1" s="1"/>
  <c r="I318" i="1"/>
  <c r="M318" i="1"/>
  <c r="K318" i="1" s="1"/>
  <c r="N318" i="1" l="1"/>
  <c r="L318" i="1"/>
  <c r="H319" i="1" s="1"/>
  <c r="I319" i="1" l="1"/>
  <c r="J319" i="1"/>
  <c r="M319" i="1" s="1"/>
  <c r="K319" i="1" s="1"/>
  <c r="N319" i="1" l="1"/>
  <c r="L319" i="1"/>
  <c r="H320" i="1" s="1"/>
  <c r="O319" i="1"/>
  <c r="J320" i="1" l="1"/>
  <c r="O320" i="1" s="1"/>
  <c r="I320" i="1"/>
  <c r="M320" i="1" l="1"/>
  <c r="K320" i="1" s="1"/>
  <c r="N320" i="1" l="1"/>
  <c r="L320" i="1"/>
  <c r="H321" i="1" s="1"/>
  <c r="I321" i="1" l="1"/>
  <c r="J321" i="1"/>
  <c r="O321" i="1" s="1"/>
  <c r="M321" i="1" l="1"/>
  <c r="K321" i="1" s="1"/>
  <c r="N321" i="1" s="1"/>
  <c r="L321" i="1" l="1"/>
  <c r="H322" i="1" s="1"/>
  <c r="J322" i="1" s="1"/>
  <c r="M322" i="1" s="1"/>
  <c r="O322" i="1" l="1"/>
  <c r="I322" i="1"/>
  <c r="K322" i="1"/>
  <c r="L322" i="1" s="1"/>
  <c r="H323" i="1" s="1"/>
  <c r="N322" i="1" l="1"/>
  <c r="J323" i="1"/>
  <c r="I323" i="1"/>
  <c r="O323" i="1"/>
  <c r="M323" i="1"/>
  <c r="K323" i="1" s="1"/>
  <c r="N323" i="1" l="1"/>
  <c r="L323" i="1"/>
  <c r="H324" i="1" s="1"/>
  <c r="J324" i="1" l="1"/>
  <c r="I324" i="1"/>
  <c r="M324" i="1"/>
  <c r="K324" i="1" s="1"/>
  <c r="O324" i="1"/>
  <c r="N324" i="1" l="1"/>
  <c r="L324" i="1"/>
  <c r="H325" i="1" s="1"/>
  <c r="J325" i="1" l="1"/>
  <c r="O325" i="1" s="1"/>
  <c r="I325" i="1"/>
  <c r="M325" i="1" l="1"/>
  <c r="K325" i="1" s="1"/>
  <c r="N325" i="1" l="1"/>
  <c r="L325" i="1"/>
  <c r="H326" i="1" s="1"/>
  <c r="I326" i="1" l="1"/>
  <c r="J326" i="1"/>
  <c r="O326" i="1" s="1"/>
  <c r="M326" i="1" l="1"/>
  <c r="K326" i="1" s="1"/>
  <c r="N326" i="1" s="1"/>
  <c r="L326" i="1" l="1"/>
  <c r="H327" i="1" s="1"/>
  <c r="J327" i="1" s="1"/>
  <c r="O327" i="1" s="1"/>
  <c r="I327" i="1" l="1"/>
  <c r="M327" i="1"/>
  <c r="K327" i="1" l="1"/>
  <c r="N327" i="1" s="1"/>
  <c r="L327" i="1" l="1"/>
  <c r="H328" i="1" s="1"/>
  <c r="J328" i="1" s="1"/>
  <c r="O328" i="1" l="1"/>
  <c r="M328" i="1"/>
  <c r="K328" i="1" s="1"/>
  <c r="I328" i="1"/>
  <c r="N328" i="1"/>
  <c r="L328" i="1"/>
  <c r="H329" i="1" s="1"/>
  <c r="J329" i="1" l="1"/>
  <c r="M329" i="1" s="1"/>
  <c r="I329" i="1"/>
  <c r="O329" i="1"/>
  <c r="K329" i="1" l="1"/>
  <c r="L329" i="1" s="1"/>
  <c r="H330" i="1" s="1"/>
  <c r="N329" i="1" l="1"/>
  <c r="J330" i="1"/>
  <c r="M330" i="1" s="1"/>
  <c r="I330" i="1"/>
  <c r="K330" i="1" l="1"/>
  <c r="L330" i="1" s="1"/>
  <c r="H331" i="1" s="1"/>
  <c r="O330" i="1"/>
  <c r="N330" i="1" l="1"/>
  <c r="J331" i="1"/>
  <c r="I331" i="1"/>
  <c r="O331" i="1"/>
  <c r="M331" i="1"/>
  <c r="K331" i="1" s="1"/>
  <c r="N331" i="1" l="1"/>
  <c r="L331" i="1"/>
  <c r="H332" i="1" s="1"/>
  <c r="I332" i="1" l="1"/>
  <c r="J332" i="1"/>
  <c r="O332" i="1" s="1"/>
  <c r="M332" i="1" l="1"/>
  <c r="K332" i="1" s="1"/>
  <c r="N332" i="1" l="1"/>
  <c r="L332" i="1"/>
  <c r="H333" i="1" s="1"/>
  <c r="I333" i="1" l="1"/>
  <c r="J333" i="1"/>
  <c r="M333" i="1" s="1"/>
  <c r="K333" i="1" s="1"/>
  <c r="O333" i="1" l="1"/>
  <c r="L333" i="1"/>
  <c r="H334" i="1" s="1"/>
  <c r="N333" i="1"/>
  <c r="I334" i="1" l="1"/>
  <c r="J334" i="1"/>
  <c r="O334" i="1" s="1"/>
  <c r="M334" i="1" l="1"/>
  <c r="K334" i="1" s="1"/>
  <c r="N334" i="1" l="1"/>
  <c r="L334" i="1"/>
  <c r="H335" i="1" s="1"/>
  <c r="J335" i="1" l="1"/>
  <c r="M335" i="1" s="1"/>
  <c r="I335" i="1"/>
  <c r="O335" i="1"/>
  <c r="K335" i="1" l="1"/>
  <c r="L335" i="1" s="1"/>
  <c r="H336" i="1" s="1"/>
  <c r="N335" i="1" l="1"/>
  <c r="J336" i="1"/>
  <c r="M336" i="1" s="1"/>
  <c r="I336" i="1"/>
  <c r="K336" i="1" l="1"/>
  <c r="L336" i="1" s="1"/>
  <c r="H337" i="1" s="1"/>
  <c r="O336" i="1"/>
  <c r="N336" i="1" l="1"/>
  <c r="I337" i="1"/>
  <c r="J337" i="1"/>
  <c r="O337" i="1" s="1"/>
  <c r="M337" i="1" l="1"/>
  <c r="K337" i="1" s="1"/>
  <c r="N337" i="1" l="1"/>
  <c r="L337" i="1"/>
  <c r="H338" i="1" s="1"/>
  <c r="J338" i="1" l="1"/>
  <c r="I338" i="1"/>
  <c r="O338" i="1"/>
  <c r="M338" i="1"/>
  <c r="K338" i="1" s="1"/>
  <c r="L338" i="1" l="1"/>
  <c r="H339" i="1" s="1"/>
  <c r="N338" i="1"/>
  <c r="I339" i="1" l="1"/>
  <c r="J339" i="1"/>
  <c r="O339" i="1" s="1"/>
  <c r="M339" i="1" l="1"/>
  <c r="K339" i="1" s="1"/>
  <c r="N339" i="1" s="1"/>
  <c r="L339" i="1" l="1"/>
  <c r="H340" i="1" s="1"/>
  <c r="I340" i="1" s="1"/>
  <c r="J340" i="1" l="1"/>
  <c r="M340" i="1" s="1"/>
  <c r="K340" i="1" s="1"/>
  <c r="L340" i="1"/>
  <c r="H341" i="1" s="1"/>
  <c r="N340" i="1"/>
  <c r="O340" i="1"/>
  <c r="J341" i="1" l="1"/>
  <c r="O341" i="1" s="1"/>
  <c r="I341" i="1"/>
  <c r="M341" i="1" l="1"/>
  <c r="K341" i="1" s="1"/>
  <c r="N341" i="1" l="1"/>
  <c r="L341" i="1"/>
  <c r="H342" i="1" s="1"/>
  <c r="J342" i="1" l="1"/>
  <c r="O342" i="1" s="1"/>
  <c r="I342" i="1"/>
  <c r="M342" i="1" l="1"/>
  <c r="K342" i="1" s="1"/>
  <c r="N342" i="1" l="1"/>
  <c r="L342" i="1"/>
  <c r="H343" i="1" s="1"/>
  <c r="J343" i="1" l="1"/>
  <c r="M343" i="1" s="1"/>
  <c r="I343" i="1"/>
  <c r="O343" i="1"/>
  <c r="K343" i="1" l="1"/>
  <c r="L343" i="1" s="1"/>
  <c r="H344" i="1" s="1"/>
  <c r="N343" i="1" l="1"/>
  <c r="I344" i="1"/>
  <c r="J344" i="1"/>
  <c r="O344" i="1" s="1"/>
  <c r="M344" i="1"/>
  <c r="K344" i="1" s="1"/>
  <c r="N344" i="1" l="1"/>
  <c r="L344" i="1"/>
  <c r="H345" i="1" s="1"/>
  <c r="J345" i="1" l="1"/>
  <c r="I345" i="1"/>
  <c r="M345" i="1"/>
  <c r="K345" i="1" s="1"/>
  <c r="O345" i="1"/>
  <c r="L345" i="1" l="1"/>
  <c r="H346" i="1" s="1"/>
  <c r="N345" i="1"/>
  <c r="J346" i="1" l="1"/>
  <c r="O346" i="1" s="1"/>
  <c r="I346" i="1"/>
  <c r="M346" i="1" l="1"/>
  <c r="K346" i="1" s="1"/>
  <c r="N346" i="1" l="1"/>
  <c r="L346" i="1"/>
  <c r="H347" i="1" s="1"/>
  <c r="I347" i="1" l="1"/>
  <c r="J347" i="1"/>
  <c r="O347" i="1" s="1"/>
  <c r="M347" i="1" l="1"/>
  <c r="K347" i="1" s="1"/>
  <c r="N347" i="1" l="1"/>
  <c r="L347" i="1"/>
  <c r="H348" i="1" s="1"/>
  <c r="J348" i="1" l="1"/>
  <c r="O348" i="1" s="1"/>
  <c r="I348" i="1"/>
  <c r="M348" i="1" l="1"/>
  <c r="K348" i="1" s="1"/>
  <c r="N348" i="1" l="1"/>
  <c r="L348" i="1"/>
  <c r="H349" i="1" s="1"/>
  <c r="I349" i="1" l="1"/>
  <c r="J349" i="1"/>
  <c r="O349" i="1" s="1"/>
  <c r="M349" i="1" l="1"/>
  <c r="K349" i="1" s="1"/>
  <c r="N349" i="1" l="1"/>
  <c r="L349" i="1"/>
  <c r="H350" i="1" s="1"/>
  <c r="J350" i="1" l="1"/>
  <c r="M350" i="1" s="1"/>
  <c r="I350" i="1"/>
  <c r="K350" i="1" l="1"/>
  <c r="N350" i="1" s="1"/>
  <c r="O350" i="1"/>
  <c r="L350" i="1" l="1"/>
  <c r="H351" i="1" s="1"/>
  <c r="J351" i="1" s="1"/>
  <c r="O351" i="1" s="1"/>
  <c r="I351" i="1" l="1"/>
  <c r="M351" i="1"/>
  <c r="K351" i="1" s="1"/>
  <c r="N351" i="1" l="1"/>
  <c r="L351" i="1"/>
  <c r="H352" i="1" s="1"/>
  <c r="J352" i="1" l="1"/>
  <c r="I352" i="1"/>
  <c r="O352" i="1"/>
  <c r="M352" i="1"/>
  <c r="K352" i="1" s="1"/>
  <c r="L352" i="1" l="1"/>
  <c r="H353" i="1" s="1"/>
  <c r="N352" i="1"/>
  <c r="J353" i="1" l="1"/>
  <c r="O353" i="1" s="1"/>
  <c r="I353" i="1"/>
  <c r="M353" i="1" l="1"/>
  <c r="K353" i="1" s="1"/>
  <c r="N353" i="1" l="1"/>
  <c r="L353" i="1"/>
  <c r="H354" i="1" s="1"/>
  <c r="I354" i="1" l="1"/>
  <c r="J354" i="1"/>
  <c r="O354" i="1" s="1"/>
  <c r="M354" i="1" l="1"/>
  <c r="K354" i="1" s="1"/>
  <c r="N354" i="1" l="1"/>
  <c r="L354" i="1"/>
  <c r="H355" i="1" s="1"/>
  <c r="I355" i="1" l="1"/>
  <c r="J355" i="1"/>
  <c r="O355" i="1" s="1"/>
  <c r="M355" i="1" l="1"/>
  <c r="K355" i="1" s="1"/>
  <c r="N355" i="1" l="1"/>
  <c r="L355" i="1"/>
  <c r="H356" i="1" s="1"/>
  <c r="J356" i="1" l="1"/>
  <c r="O356" i="1"/>
  <c r="M356" i="1"/>
  <c r="I356" i="1"/>
  <c r="K356" i="1" l="1"/>
  <c r="N356" i="1" s="1"/>
  <c r="L356" i="1" l="1"/>
  <c r="H357" i="1" s="1"/>
  <c r="J357" i="1" s="1"/>
  <c r="M357" i="1" s="1"/>
  <c r="I357" i="1" l="1"/>
  <c r="K357" i="1"/>
  <c r="N357" i="1" s="1"/>
  <c r="O357" i="1"/>
  <c r="L357" i="1" l="1"/>
  <c r="H358" i="1" s="1"/>
  <c r="J358" i="1" s="1"/>
  <c r="M358" i="1" l="1"/>
  <c r="O358" i="1"/>
  <c r="I358" i="1"/>
  <c r="K358" i="1" l="1"/>
  <c r="N358" i="1" l="1"/>
  <c r="L358" i="1"/>
  <c r="H359" i="1" s="1"/>
  <c r="J359" i="1" l="1"/>
  <c r="I359" i="1"/>
  <c r="O359" i="1"/>
  <c r="M359" i="1"/>
  <c r="K359" i="1" s="1"/>
  <c r="N359" i="1" s="1"/>
  <c r="L359" i="1" l="1"/>
  <c r="H360" i="1" s="1"/>
  <c r="J360" i="1" l="1"/>
  <c r="I360" i="1"/>
  <c r="O360" i="1" l="1"/>
  <c r="M360" i="1"/>
  <c r="K360" i="1" s="1"/>
  <c r="N360" i="1" l="1"/>
  <c r="L360" i="1"/>
  <c r="H361" i="1" s="1"/>
  <c r="J361" i="1" l="1"/>
  <c r="O361" i="1" s="1"/>
  <c r="I361" i="1"/>
  <c r="M361" i="1"/>
  <c r="K361" i="1" s="1"/>
  <c r="N361" i="1" s="1"/>
  <c r="L361" i="1" l="1"/>
  <c r="H362" i="1" s="1"/>
  <c r="B12" i="1" l="1"/>
  <c r="J362" i="1"/>
  <c r="I362" i="1"/>
  <c r="B11" i="1" s="1"/>
  <c r="B16" i="1"/>
  <c r="B14" i="1" l="1"/>
  <c r="M362" i="1"/>
  <c r="O362" i="1"/>
  <c r="B17" i="1" l="1"/>
  <c r="K362" i="1"/>
  <c r="Q3" i="1"/>
  <c r="B15" i="1"/>
  <c r="B18" i="1" l="1"/>
  <c r="N362" i="1"/>
  <c r="L362" i="1"/>
</calcChain>
</file>

<file path=xl/sharedStrings.xml><?xml version="1.0" encoding="utf-8"?>
<sst xmlns="http://schemas.openxmlformats.org/spreadsheetml/2006/main" count="41" uniqueCount="35">
  <si>
    <t>LOAN DETAILS</t>
  </si>
  <si>
    <t>AMORTIZATION SCHEDULE</t>
  </si>
  <si>
    <t>Category</t>
  </si>
  <si>
    <t>Amount</t>
  </si>
  <si>
    <t>Loan Amount ($)</t>
  </si>
  <si>
    <t>Payment #</t>
  </si>
  <si>
    <t>Date</t>
  </si>
  <si>
    <t>Interest</t>
  </si>
  <si>
    <t>Principal</t>
  </si>
  <si>
    <t>Ending Balance</t>
  </si>
  <si>
    <t>Payment</t>
  </si>
  <si>
    <t>Cumul. Principal</t>
  </si>
  <si>
    <t>Cumul. Interest</t>
  </si>
  <si>
    <t>Annual Interest Rate</t>
  </si>
  <si>
    <t>Loan Term (years)</t>
  </si>
  <si>
    <t>Start Date</t>
  </si>
  <si>
    <t>Base Monthly Payment</t>
  </si>
  <si>
    <t>Current Monthly Payment</t>
  </si>
  <si>
    <t>LOAN SUMMARY</t>
  </si>
  <si>
    <t>Original Payoff Date</t>
  </si>
  <si>
    <t>Accelerated Payoff Date</t>
  </si>
  <si>
    <t>Accelerated Payoff Time</t>
  </si>
  <si>
    <t>Original Total Interest</t>
  </si>
  <si>
    <t>Accelerated Total Interest</t>
  </si>
  <si>
    <t>Interest Saved</t>
  </si>
  <si>
    <t>Payoff Time Saved</t>
  </si>
  <si>
    <t>Total of Payments (P+I)</t>
  </si>
  <si>
    <t>Total Extra Payments</t>
  </si>
  <si>
    <t>RECURRING EXTRA PAYMENTS</t>
  </si>
  <si>
    <t>#</t>
  </si>
  <si>
    <t>End Date (optional)</t>
  </si>
  <si>
    <t>Amount ($)</t>
  </si>
  <si>
    <t>Frequency</t>
  </si>
  <si>
    <t>ONE-TIME EXTRA PAYMENTS</t>
  </si>
  <si>
    <t>Monthly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</si>
</sst>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0.000%"/>
    <numFmt numFmtId="166" formatCode="mmm\ yyyy"/>
  </numFmts>
  <fonts count="7">
    <font>
      <sz val="11"/>
      <color theme="1"/>
      <name val="Calibri"/>
      <family val="2"/>
      <scheme val="minor"/>
    </font>
    <font>
      <b/>
      <sz val="12"/>
      <color rgb="FF2F5496"/>
      <name val="Calibri"/>
      <family val="2"/>
    </font>
    <font>
      <b/>
      <sz val="11"/>
      <name val="Calibri"/>
      <family val="2"/>
    </font>
    <font>
      <b/>
      <sz val="11"/>
      <color rgb="FF006600"/>
      <name val="Calibri"/>
      <family val="2"/>
    </font>
    <font>
      <b/>
      <sz val="12"/>
      <color rgb="FF006600"/>
      <name val="Calibri"/>
      <family val="2"/>
    </font>
    <font>
      <b/>
      <sz val="11"/>
      <color rgb="FFFFFFFF"/>
      <name val="Calibri"/>
      <family val="2"/>
    </font>
    <font>
      <sz val="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2F7FB"/>
        <bgColor rgb="FFF2F7FB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6" fillId="0" borderId="0" xfId="0" applyFont="1"/>
    <xf numFmtId="0" fontId="2" fillId="0" borderId="0" xfId="0" applyFont="1" applyAlignment="1">
      <alignment horizontal="right"/>
    </xf>
    <xf numFmtId="164" fontId="0" fillId="2" borderId="1" xfId="0" applyNumberFormat="1" applyFill="1" applyBorder="1" applyAlignment="1">
      <alignment horizontal="right"/>
    </xf>
    <xf numFmtId="0" fontId="5" fillId="3" borderId="1" xfId="0" applyFont="1" applyFill="1" applyBorder="1" applyAlignment="1">
      <alignment horizontal="center" vertical="center"/>
    </xf>
    <xf numFmtId="165" fontId="0" fillId="2" borderId="1" xfId="0" applyNumberFormat="1" applyFill="1" applyBorder="1" applyAlignment="1">
      <alignment horizontal="right"/>
    </xf>
    <xf numFmtId="0" fontId="0" fillId="0" borderId="1" xfId="0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3" fontId="0" fillId="2" borderId="1" xfId="0" applyNumberFormat="1" applyFill="1" applyBorder="1" applyAlignment="1">
      <alignment horizontal="right"/>
    </xf>
    <xf numFmtId="0" fontId="0" fillId="4" borderId="1" xfId="0" applyFill="1" applyBorder="1" applyAlignment="1">
      <alignment horizontal="center"/>
    </xf>
    <xf numFmtId="166" fontId="0" fillId="4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6" fontId="0" fillId="2" borderId="1" xfId="0" applyNumberFormat="1" applyFill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164" fontId="0" fillId="0" borderId="1" xfId="0" applyNumberFormat="1" applyBorder="1" applyAlignment="1">
      <alignment horizontal="right"/>
    </xf>
    <xf numFmtId="164" fontId="4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166" fontId="0" fillId="2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Principal vs Interest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Calculator!$Q$1</c:f>
              <c:strCache>
                <c:ptCount val="1"/>
                <c:pt idx="0">
                  <c:v>Amount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619CF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D5E-1C4E-9D01-D5D99383635B}"/>
              </c:ext>
            </c:extLst>
          </c:dPt>
          <c:dPt>
            <c:idx val="1"/>
            <c:bubble3D val="0"/>
            <c:spPr>
              <a:solidFill>
                <a:srgbClr val="F8766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D5E-1C4E-9D01-D5D99383635B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0"/>
            <c:showCatName val="0"/>
            <c:showSerName val="0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Calculator!$P$2:$P$3</c:f>
              <c:strCache>
                <c:ptCount val="2"/>
                <c:pt idx="0">
                  <c:v>Principal</c:v>
                </c:pt>
                <c:pt idx="1">
                  <c:v>Interest</c:v>
                </c:pt>
              </c:strCache>
            </c:strRef>
          </c:cat>
          <c:val>
            <c:numRef>
              <c:f>Calculator!$Q$2:$Q$3</c:f>
              <c:numCache>
                <c:formatCode>General</c:formatCode>
                <c:ptCount val="2"/>
                <c:pt idx="0">
                  <c:v>704000</c:v>
                </c:pt>
                <c:pt idx="1">
                  <c:v>573619.47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5E-1C4E-9D01-D5D993836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Loan Amortization Over Time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Calculator!$N$2</c:f>
              <c:strCache>
                <c:ptCount val="1"/>
                <c:pt idx="0">
                  <c:v>Cumul. Principal</c:v>
                </c:pt>
              </c:strCache>
            </c:strRef>
          </c:tx>
          <c:spPr>
            <a:ln w="28000">
              <a:solidFill>
                <a:srgbClr val="619CFF"/>
              </a:solidFill>
              <a:prstDash val="solid"/>
            </a:ln>
          </c:spPr>
          <c:marker>
            <c:symbol val="none"/>
          </c:marker>
          <c:cat>
            <c:strRef>
              <c:f>Calculator!$I$3:$I$362</c:f>
              <c:strCache>
                <c:ptCount val="278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  <c:pt idx="24">
                  <c:v>Jan 2028</c:v>
                </c:pt>
                <c:pt idx="25">
                  <c:v>Feb 2028</c:v>
                </c:pt>
                <c:pt idx="26">
                  <c:v>Mar 2028</c:v>
                </c:pt>
                <c:pt idx="27">
                  <c:v>Apr 2028</c:v>
                </c:pt>
                <c:pt idx="28">
                  <c:v>May 2028</c:v>
                </c:pt>
                <c:pt idx="29">
                  <c:v>Jun 2028</c:v>
                </c:pt>
                <c:pt idx="30">
                  <c:v>Jul 2028</c:v>
                </c:pt>
                <c:pt idx="31">
                  <c:v>Aug 2028</c:v>
                </c:pt>
                <c:pt idx="32">
                  <c:v>Sep 2028</c:v>
                </c:pt>
                <c:pt idx="33">
                  <c:v>Oct 2028</c:v>
                </c:pt>
                <c:pt idx="34">
                  <c:v>Nov 2028</c:v>
                </c:pt>
                <c:pt idx="35">
                  <c:v>Dec 2028</c:v>
                </c:pt>
                <c:pt idx="36">
                  <c:v>Jan 2029</c:v>
                </c:pt>
                <c:pt idx="37">
                  <c:v>Feb 2029</c:v>
                </c:pt>
                <c:pt idx="38">
                  <c:v>Mar 2029</c:v>
                </c:pt>
                <c:pt idx="39">
                  <c:v>Apr 2029</c:v>
                </c:pt>
                <c:pt idx="40">
                  <c:v>May 2029</c:v>
                </c:pt>
                <c:pt idx="41">
                  <c:v>Jun 2029</c:v>
                </c:pt>
                <c:pt idx="42">
                  <c:v>Jul 2029</c:v>
                </c:pt>
                <c:pt idx="43">
                  <c:v>Aug 2029</c:v>
                </c:pt>
                <c:pt idx="44">
                  <c:v>Sep 2029</c:v>
                </c:pt>
                <c:pt idx="45">
                  <c:v>Oct 2029</c:v>
                </c:pt>
                <c:pt idx="46">
                  <c:v>Nov 2029</c:v>
                </c:pt>
                <c:pt idx="47">
                  <c:v>Dec 2029</c:v>
                </c:pt>
                <c:pt idx="48">
                  <c:v>Jan 2030</c:v>
                </c:pt>
                <c:pt idx="49">
                  <c:v>Feb 2030</c:v>
                </c:pt>
                <c:pt idx="50">
                  <c:v>Mar 2030</c:v>
                </c:pt>
                <c:pt idx="51">
                  <c:v>Apr 2030</c:v>
                </c:pt>
                <c:pt idx="52">
                  <c:v>May 2030</c:v>
                </c:pt>
                <c:pt idx="53">
                  <c:v>Jun 2030</c:v>
                </c:pt>
                <c:pt idx="54">
                  <c:v>Jul 2030</c:v>
                </c:pt>
                <c:pt idx="55">
                  <c:v>Aug 2030</c:v>
                </c:pt>
                <c:pt idx="56">
                  <c:v>Sep 2030</c:v>
                </c:pt>
                <c:pt idx="57">
                  <c:v>Oct 2030</c:v>
                </c:pt>
                <c:pt idx="58">
                  <c:v>Nov 2030</c:v>
                </c:pt>
                <c:pt idx="59">
                  <c:v>Dec 2030</c:v>
                </c:pt>
                <c:pt idx="60">
                  <c:v>Jan 2031</c:v>
                </c:pt>
                <c:pt idx="61">
                  <c:v>Feb 2031</c:v>
                </c:pt>
                <c:pt idx="62">
                  <c:v>Mar 2031</c:v>
                </c:pt>
                <c:pt idx="63">
                  <c:v>Apr 2031</c:v>
                </c:pt>
                <c:pt idx="64">
                  <c:v>May 2031</c:v>
                </c:pt>
                <c:pt idx="65">
                  <c:v>Jun 2031</c:v>
                </c:pt>
                <c:pt idx="66">
                  <c:v>Jul 2031</c:v>
                </c:pt>
                <c:pt idx="67">
                  <c:v>Aug 2031</c:v>
                </c:pt>
                <c:pt idx="68">
                  <c:v>Sep 2031</c:v>
                </c:pt>
                <c:pt idx="69">
                  <c:v>Oct 2031</c:v>
                </c:pt>
                <c:pt idx="70">
                  <c:v>Nov 2031</c:v>
                </c:pt>
                <c:pt idx="71">
                  <c:v>Dec 2031</c:v>
                </c:pt>
                <c:pt idx="72">
                  <c:v>Jan 2032</c:v>
                </c:pt>
                <c:pt idx="73">
                  <c:v>Feb 2032</c:v>
                </c:pt>
                <c:pt idx="74">
                  <c:v>Mar 2032</c:v>
                </c:pt>
                <c:pt idx="75">
                  <c:v>Apr 2032</c:v>
                </c:pt>
                <c:pt idx="76">
                  <c:v>May 2032</c:v>
                </c:pt>
                <c:pt idx="77">
                  <c:v>Jun 2032</c:v>
                </c:pt>
                <c:pt idx="78">
                  <c:v>Jul 2032</c:v>
                </c:pt>
                <c:pt idx="79">
                  <c:v>Aug 2032</c:v>
                </c:pt>
                <c:pt idx="80">
                  <c:v>Sep 2032</c:v>
                </c:pt>
                <c:pt idx="81">
                  <c:v>Oct 2032</c:v>
                </c:pt>
                <c:pt idx="82">
                  <c:v>Nov 2032</c:v>
                </c:pt>
                <c:pt idx="83">
                  <c:v>Dec 2032</c:v>
                </c:pt>
                <c:pt idx="84">
                  <c:v>Jan 2033</c:v>
                </c:pt>
                <c:pt idx="85">
                  <c:v>Feb 2033</c:v>
                </c:pt>
                <c:pt idx="86">
                  <c:v>Mar 2033</c:v>
                </c:pt>
                <c:pt idx="87">
                  <c:v>Apr 2033</c:v>
                </c:pt>
                <c:pt idx="88">
                  <c:v>May 2033</c:v>
                </c:pt>
                <c:pt idx="89">
                  <c:v>Jun 2033</c:v>
                </c:pt>
                <c:pt idx="90">
                  <c:v>Jul 2033</c:v>
                </c:pt>
                <c:pt idx="91">
                  <c:v>Aug 2033</c:v>
                </c:pt>
                <c:pt idx="92">
                  <c:v>Sep 2033</c:v>
                </c:pt>
                <c:pt idx="93">
                  <c:v>Oct 2033</c:v>
                </c:pt>
                <c:pt idx="94">
                  <c:v>Nov 2033</c:v>
                </c:pt>
                <c:pt idx="95">
                  <c:v>Dec 2033</c:v>
                </c:pt>
                <c:pt idx="96">
                  <c:v>Jan 2034</c:v>
                </c:pt>
                <c:pt idx="97">
                  <c:v>Feb 2034</c:v>
                </c:pt>
                <c:pt idx="98">
                  <c:v>Mar 2034</c:v>
                </c:pt>
                <c:pt idx="99">
                  <c:v>Apr 2034</c:v>
                </c:pt>
                <c:pt idx="100">
                  <c:v>May 2034</c:v>
                </c:pt>
                <c:pt idx="101">
                  <c:v>Jun 2034</c:v>
                </c:pt>
                <c:pt idx="102">
                  <c:v>Jul 2034</c:v>
                </c:pt>
                <c:pt idx="103">
                  <c:v>Aug 2034</c:v>
                </c:pt>
                <c:pt idx="104">
                  <c:v>Sep 2034</c:v>
                </c:pt>
                <c:pt idx="105">
                  <c:v>Oct 2034</c:v>
                </c:pt>
                <c:pt idx="106">
                  <c:v>Nov 2034</c:v>
                </c:pt>
                <c:pt idx="107">
                  <c:v>Dec 2034</c:v>
                </c:pt>
                <c:pt idx="108">
                  <c:v>Jan 2035</c:v>
                </c:pt>
                <c:pt idx="109">
                  <c:v>Feb 2035</c:v>
                </c:pt>
                <c:pt idx="110">
                  <c:v>Mar 2035</c:v>
                </c:pt>
                <c:pt idx="111">
                  <c:v>Apr 2035</c:v>
                </c:pt>
                <c:pt idx="112">
                  <c:v>May 2035</c:v>
                </c:pt>
                <c:pt idx="113">
                  <c:v>Jun 2035</c:v>
                </c:pt>
                <c:pt idx="114">
                  <c:v>Jul 2035</c:v>
                </c:pt>
                <c:pt idx="115">
                  <c:v>Aug 2035</c:v>
                </c:pt>
                <c:pt idx="116">
                  <c:v>Sep 2035</c:v>
                </c:pt>
                <c:pt idx="117">
                  <c:v>Oct 2035</c:v>
                </c:pt>
                <c:pt idx="118">
                  <c:v>Nov 2035</c:v>
                </c:pt>
                <c:pt idx="119">
                  <c:v>Dec 2035</c:v>
                </c:pt>
                <c:pt idx="120">
                  <c:v>Jan 2036</c:v>
                </c:pt>
                <c:pt idx="121">
                  <c:v>Feb 2036</c:v>
                </c:pt>
                <c:pt idx="122">
                  <c:v>Mar 2036</c:v>
                </c:pt>
                <c:pt idx="123">
                  <c:v>Apr 2036</c:v>
                </c:pt>
                <c:pt idx="124">
                  <c:v>May 2036</c:v>
                </c:pt>
                <c:pt idx="125">
                  <c:v>Jun 2036</c:v>
                </c:pt>
                <c:pt idx="126">
                  <c:v>Jul 2036</c:v>
                </c:pt>
                <c:pt idx="127">
                  <c:v>Aug 2036</c:v>
                </c:pt>
                <c:pt idx="128">
                  <c:v>Sep 2036</c:v>
                </c:pt>
                <c:pt idx="129">
                  <c:v>Oct 2036</c:v>
                </c:pt>
                <c:pt idx="130">
                  <c:v>Nov 2036</c:v>
                </c:pt>
                <c:pt idx="131">
                  <c:v>Dec 2036</c:v>
                </c:pt>
                <c:pt idx="132">
                  <c:v>Jan 2037</c:v>
                </c:pt>
                <c:pt idx="133">
                  <c:v>Feb 2037</c:v>
                </c:pt>
                <c:pt idx="134">
                  <c:v>Mar 2037</c:v>
                </c:pt>
                <c:pt idx="135">
                  <c:v>Apr 2037</c:v>
                </c:pt>
                <c:pt idx="136">
                  <c:v>May 2037</c:v>
                </c:pt>
                <c:pt idx="137">
                  <c:v>Jun 2037</c:v>
                </c:pt>
                <c:pt idx="138">
                  <c:v>Jul 2037</c:v>
                </c:pt>
                <c:pt idx="139">
                  <c:v>Aug 2037</c:v>
                </c:pt>
                <c:pt idx="140">
                  <c:v>Sep 2037</c:v>
                </c:pt>
                <c:pt idx="141">
                  <c:v>Oct 2037</c:v>
                </c:pt>
                <c:pt idx="142">
                  <c:v>Nov 2037</c:v>
                </c:pt>
                <c:pt idx="143">
                  <c:v>Dec 2037</c:v>
                </c:pt>
                <c:pt idx="144">
                  <c:v>Jan 2038</c:v>
                </c:pt>
                <c:pt idx="145">
                  <c:v>Feb 2038</c:v>
                </c:pt>
                <c:pt idx="146">
                  <c:v>Mar 2038</c:v>
                </c:pt>
                <c:pt idx="147">
                  <c:v>Apr 2038</c:v>
                </c:pt>
                <c:pt idx="148">
                  <c:v>May 2038</c:v>
                </c:pt>
                <c:pt idx="149">
                  <c:v>Jun 2038</c:v>
                </c:pt>
                <c:pt idx="150">
                  <c:v>Jul 2038</c:v>
                </c:pt>
                <c:pt idx="151">
                  <c:v>Aug 2038</c:v>
                </c:pt>
                <c:pt idx="152">
                  <c:v>Sep 2038</c:v>
                </c:pt>
                <c:pt idx="153">
                  <c:v>Oct 2038</c:v>
                </c:pt>
                <c:pt idx="154">
                  <c:v>Nov 2038</c:v>
                </c:pt>
                <c:pt idx="155">
                  <c:v>Dec 2038</c:v>
                </c:pt>
                <c:pt idx="156">
                  <c:v>Jan 2039</c:v>
                </c:pt>
                <c:pt idx="157">
                  <c:v>Feb 2039</c:v>
                </c:pt>
                <c:pt idx="158">
                  <c:v>Mar 2039</c:v>
                </c:pt>
                <c:pt idx="159">
                  <c:v>Apr 2039</c:v>
                </c:pt>
                <c:pt idx="160">
                  <c:v>May 2039</c:v>
                </c:pt>
                <c:pt idx="161">
                  <c:v>Jun 2039</c:v>
                </c:pt>
                <c:pt idx="162">
                  <c:v>Jul 2039</c:v>
                </c:pt>
                <c:pt idx="163">
                  <c:v>Aug 2039</c:v>
                </c:pt>
                <c:pt idx="164">
                  <c:v>Sep 2039</c:v>
                </c:pt>
                <c:pt idx="165">
                  <c:v>Oct 2039</c:v>
                </c:pt>
                <c:pt idx="166">
                  <c:v>Nov 2039</c:v>
                </c:pt>
                <c:pt idx="167">
                  <c:v>Dec 2039</c:v>
                </c:pt>
                <c:pt idx="168">
                  <c:v>Jan 2040</c:v>
                </c:pt>
                <c:pt idx="169">
                  <c:v>Feb 2040</c:v>
                </c:pt>
                <c:pt idx="170">
                  <c:v>Mar 2040</c:v>
                </c:pt>
                <c:pt idx="171">
                  <c:v>Apr 2040</c:v>
                </c:pt>
                <c:pt idx="172">
                  <c:v>May 2040</c:v>
                </c:pt>
                <c:pt idx="173">
                  <c:v>Jun 2040</c:v>
                </c:pt>
                <c:pt idx="174">
                  <c:v>Jul 2040</c:v>
                </c:pt>
                <c:pt idx="175">
                  <c:v>Aug 2040</c:v>
                </c:pt>
                <c:pt idx="176">
                  <c:v>Sep 2040</c:v>
                </c:pt>
                <c:pt idx="177">
                  <c:v>Oct 2040</c:v>
                </c:pt>
                <c:pt idx="178">
                  <c:v>Nov 2040</c:v>
                </c:pt>
                <c:pt idx="179">
                  <c:v>Dec 2040</c:v>
                </c:pt>
                <c:pt idx="180">
                  <c:v>Jan 2041</c:v>
                </c:pt>
                <c:pt idx="181">
                  <c:v>Feb 2041</c:v>
                </c:pt>
                <c:pt idx="182">
                  <c:v>Mar 2041</c:v>
                </c:pt>
                <c:pt idx="183">
                  <c:v>Apr 2041</c:v>
                </c:pt>
                <c:pt idx="184">
                  <c:v>May 2041</c:v>
                </c:pt>
                <c:pt idx="185">
                  <c:v>Jun 2041</c:v>
                </c:pt>
                <c:pt idx="186">
                  <c:v>Jul 2041</c:v>
                </c:pt>
                <c:pt idx="187">
                  <c:v>Aug 2041</c:v>
                </c:pt>
                <c:pt idx="188">
                  <c:v>Sep 2041</c:v>
                </c:pt>
                <c:pt idx="189">
                  <c:v>Oct 2041</c:v>
                </c:pt>
                <c:pt idx="190">
                  <c:v>Nov 2041</c:v>
                </c:pt>
                <c:pt idx="191">
                  <c:v>Dec 2041</c:v>
                </c:pt>
                <c:pt idx="192">
                  <c:v>Jan 2042</c:v>
                </c:pt>
                <c:pt idx="193">
                  <c:v>Feb 2042</c:v>
                </c:pt>
                <c:pt idx="194">
                  <c:v>Mar 2042</c:v>
                </c:pt>
                <c:pt idx="195">
                  <c:v>Apr 2042</c:v>
                </c:pt>
                <c:pt idx="196">
                  <c:v>May 2042</c:v>
                </c:pt>
                <c:pt idx="197">
                  <c:v>Jun 2042</c:v>
                </c:pt>
                <c:pt idx="198">
                  <c:v>Jul 2042</c:v>
                </c:pt>
                <c:pt idx="199">
                  <c:v>Aug 2042</c:v>
                </c:pt>
                <c:pt idx="200">
                  <c:v>Sep 2042</c:v>
                </c:pt>
                <c:pt idx="201">
                  <c:v>Oct 2042</c:v>
                </c:pt>
                <c:pt idx="202">
                  <c:v>Nov 2042</c:v>
                </c:pt>
                <c:pt idx="203">
                  <c:v>Dec 2042</c:v>
                </c:pt>
                <c:pt idx="204">
                  <c:v>Jan 2043</c:v>
                </c:pt>
                <c:pt idx="205">
                  <c:v>Feb 2043</c:v>
                </c:pt>
                <c:pt idx="206">
                  <c:v>Mar 2043</c:v>
                </c:pt>
                <c:pt idx="207">
                  <c:v>Apr 2043</c:v>
                </c:pt>
                <c:pt idx="208">
                  <c:v>May 2043</c:v>
                </c:pt>
                <c:pt idx="209">
                  <c:v>Jun 2043</c:v>
                </c:pt>
                <c:pt idx="210">
                  <c:v>Jul 2043</c:v>
                </c:pt>
                <c:pt idx="211">
                  <c:v>Aug 2043</c:v>
                </c:pt>
                <c:pt idx="212">
                  <c:v>Sep 2043</c:v>
                </c:pt>
                <c:pt idx="213">
                  <c:v>Oct 2043</c:v>
                </c:pt>
                <c:pt idx="214">
                  <c:v>Nov 2043</c:v>
                </c:pt>
                <c:pt idx="215">
                  <c:v>Dec 2043</c:v>
                </c:pt>
                <c:pt idx="216">
                  <c:v>Jan 2044</c:v>
                </c:pt>
                <c:pt idx="217">
                  <c:v>Feb 2044</c:v>
                </c:pt>
                <c:pt idx="218">
                  <c:v>Mar 2044</c:v>
                </c:pt>
                <c:pt idx="219">
                  <c:v>Apr 2044</c:v>
                </c:pt>
                <c:pt idx="220">
                  <c:v>May 2044</c:v>
                </c:pt>
                <c:pt idx="221">
                  <c:v>Jun 2044</c:v>
                </c:pt>
                <c:pt idx="222">
                  <c:v>Jul 2044</c:v>
                </c:pt>
                <c:pt idx="223">
                  <c:v>Aug 2044</c:v>
                </c:pt>
                <c:pt idx="224">
                  <c:v>Sep 2044</c:v>
                </c:pt>
                <c:pt idx="225">
                  <c:v>Oct 2044</c:v>
                </c:pt>
                <c:pt idx="226">
                  <c:v>Nov 2044</c:v>
                </c:pt>
                <c:pt idx="227">
                  <c:v>Dec 2044</c:v>
                </c:pt>
                <c:pt idx="228">
                  <c:v>Jan 2045</c:v>
                </c:pt>
                <c:pt idx="229">
                  <c:v>Feb 2045</c:v>
                </c:pt>
                <c:pt idx="230">
                  <c:v>Mar 2045</c:v>
                </c:pt>
                <c:pt idx="231">
                  <c:v>Apr 2045</c:v>
                </c:pt>
                <c:pt idx="232">
                  <c:v>May 2045</c:v>
                </c:pt>
                <c:pt idx="233">
                  <c:v>Jun 2045</c:v>
                </c:pt>
                <c:pt idx="234">
                  <c:v>Jul 2045</c:v>
                </c:pt>
                <c:pt idx="235">
                  <c:v>Aug 2045</c:v>
                </c:pt>
                <c:pt idx="236">
                  <c:v>Sep 2045</c:v>
                </c:pt>
                <c:pt idx="237">
                  <c:v>Oct 2045</c:v>
                </c:pt>
                <c:pt idx="238">
                  <c:v>Nov 2045</c:v>
                </c:pt>
                <c:pt idx="239">
                  <c:v>Dec 2045</c:v>
                </c:pt>
                <c:pt idx="240">
                  <c:v>Jan 2046</c:v>
                </c:pt>
                <c:pt idx="241">
                  <c:v>Feb 2046</c:v>
                </c:pt>
                <c:pt idx="242">
                  <c:v>Mar 2046</c:v>
                </c:pt>
                <c:pt idx="243">
                  <c:v>Apr 2046</c:v>
                </c:pt>
                <c:pt idx="244">
                  <c:v>May 2046</c:v>
                </c:pt>
                <c:pt idx="245">
                  <c:v>Jun 2046</c:v>
                </c:pt>
                <c:pt idx="246">
                  <c:v>Jul 2046</c:v>
                </c:pt>
                <c:pt idx="247">
                  <c:v>Aug 2046</c:v>
                </c:pt>
                <c:pt idx="248">
                  <c:v>Sep 2046</c:v>
                </c:pt>
                <c:pt idx="249">
                  <c:v>Oct 2046</c:v>
                </c:pt>
                <c:pt idx="250">
                  <c:v>Nov 2046</c:v>
                </c:pt>
                <c:pt idx="251">
                  <c:v>Dec 2046</c:v>
                </c:pt>
                <c:pt idx="252">
                  <c:v>Jan 2047</c:v>
                </c:pt>
                <c:pt idx="253">
                  <c:v>Feb 2047</c:v>
                </c:pt>
                <c:pt idx="254">
                  <c:v>Mar 2047</c:v>
                </c:pt>
                <c:pt idx="255">
                  <c:v>Apr 2047</c:v>
                </c:pt>
                <c:pt idx="256">
                  <c:v>May 2047</c:v>
                </c:pt>
                <c:pt idx="257">
                  <c:v>Jun 2047</c:v>
                </c:pt>
                <c:pt idx="258">
                  <c:v>Jul 2047</c:v>
                </c:pt>
                <c:pt idx="259">
                  <c:v>Aug 2047</c:v>
                </c:pt>
                <c:pt idx="260">
                  <c:v>Sep 2047</c:v>
                </c:pt>
                <c:pt idx="261">
                  <c:v>Oct 2047</c:v>
                </c:pt>
                <c:pt idx="262">
                  <c:v>Nov 2047</c:v>
                </c:pt>
                <c:pt idx="263">
                  <c:v>Dec 2047</c:v>
                </c:pt>
                <c:pt idx="264">
                  <c:v>Jan 2048</c:v>
                </c:pt>
                <c:pt idx="265">
                  <c:v>Feb 2048</c:v>
                </c:pt>
                <c:pt idx="266">
                  <c:v>Mar 2048</c:v>
                </c:pt>
                <c:pt idx="267">
                  <c:v>Apr 2048</c:v>
                </c:pt>
                <c:pt idx="268">
                  <c:v>May 2048</c:v>
                </c:pt>
                <c:pt idx="269">
                  <c:v>Jun 2048</c:v>
                </c:pt>
                <c:pt idx="270">
                  <c:v>Jul 2048</c:v>
                </c:pt>
                <c:pt idx="271">
                  <c:v>Aug 2048</c:v>
                </c:pt>
                <c:pt idx="272">
                  <c:v>Sep 2048</c:v>
                </c:pt>
                <c:pt idx="273">
                  <c:v>Oct 2048</c:v>
                </c:pt>
                <c:pt idx="274">
                  <c:v>Nov 2048</c:v>
                </c:pt>
                <c:pt idx="275">
                  <c:v>Dec 2048</c:v>
                </c:pt>
                <c:pt idx="276">
                  <c:v>Jan 2049</c:v>
                </c:pt>
                <c:pt idx="277">
                  <c:v>Feb 2049</c:v>
                </c:pt>
              </c:strCache>
            </c:strRef>
          </c:cat>
          <c:val>
            <c:numRef>
              <c:f>Calculator!$N$3:$N$362</c:f>
              <c:numCache>
                <c:formatCode>\$#,##0.00</c:formatCode>
                <c:ptCount val="360"/>
                <c:pt idx="0">
                  <c:v>1068.3300000000002</c:v>
                </c:pt>
                <c:pt idx="1">
                  <c:v>2141.8900000000003</c:v>
                </c:pt>
                <c:pt idx="2">
                  <c:v>3220.7100000000009</c:v>
                </c:pt>
                <c:pt idx="3">
                  <c:v>4304.8100000000013</c:v>
                </c:pt>
                <c:pt idx="4">
                  <c:v>5394.2200000000012</c:v>
                </c:pt>
                <c:pt idx="5">
                  <c:v>6488.9600000000009</c:v>
                </c:pt>
                <c:pt idx="6">
                  <c:v>7589.0600000000013</c:v>
                </c:pt>
                <c:pt idx="7">
                  <c:v>8694.5500000000011</c:v>
                </c:pt>
                <c:pt idx="8">
                  <c:v>9805.4500000000007</c:v>
                </c:pt>
                <c:pt idx="9">
                  <c:v>10921.79</c:v>
                </c:pt>
                <c:pt idx="10">
                  <c:v>12043.590000000002</c:v>
                </c:pt>
                <c:pt idx="11">
                  <c:v>13170.890000000003</c:v>
                </c:pt>
                <c:pt idx="12">
                  <c:v>14303.710000000003</c:v>
                </c:pt>
                <c:pt idx="13">
                  <c:v>15442.070000000003</c:v>
                </c:pt>
                <c:pt idx="14">
                  <c:v>16586.010000000002</c:v>
                </c:pt>
                <c:pt idx="15">
                  <c:v>17735.550000000003</c:v>
                </c:pt>
                <c:pt idx="16">
                  <c:v>18890.710000000003</c:v>
                </c:pt>
                <c:pt idx="17">
                  <c:v>20051.530000000002</c:v>
                </c:pt>
                <c:pt idx="18">
                  <c:v>21218.030000000002</c:v>
                </c:pt>
                <c:pt idx="19">
                  <c:v>22390.240000000002</c:v>
                </c:pt>
                <c:pt idx="20">
                  <c:v>23568.190000000002</c:v>
                </c:pt>
                <c:pt idx="21">
                  <c:v>24751.910000000003</c:v>
                </c:pt>
                <c:pt idx="22">
                  <c:v>25941.420000000006</c:v>
                </c:pt>
                <c:pt idx="23">
                  <c:v>27136.760000000006</c:v>
                </c:pt>
                <c:pt idx="24">
                  <c:v>28337.950000000004</c:v>
                </c:pt>
                <c:pt idx="25">
                  <c:v>29545.020000000004</c:v>
                </c:pt>
                <c:pt idx="26">
                  <c:v>30758.000000000004</c:v>
                </c:pt>
                <c:pt idx="27">
                  <c:v>31976.920000000006</c:v>
                </c:pt>
                <c:pt idx="28">
                  <c:v>33201.810000000005</c:v>
                </c:pt>
                <c:pt idx="29">
                  <c:v>34432.69</c:v>
                </c:pt>
                <c:pt idx="30">
                  <c:v>35669.600000000006</c:v>
                </c:pt>
                <c:pt idx="31">
                  <c:v>36912.570000000007</c:v>
                </c:pt>
                <c:pt idx="32">
                  <c:v>38161.62000000001</c:v>
                </c:pt>
                <c:pt idx="33">
                  <c:v>39416.790000000008</c:v>
                </c:pt>
                <c:pt idx="34">
                  <c:v>40678.100000000006</c:v>
                </c:pt>
                <c:pt idx="35">
                  <c:v>41945.590000000004</c:v>
                </c:pt>
                <c:pt idx="36">
                  <c:v>43219.280000000006</c:v>
                </c:pt>
                <c:pt idx="37">
                  <c:v>44499.210000000006</c:v>
                </c:pt>
                <c:pt idx="38">
                  <c:v>45785.400000000009</c:v>
                </c:pt>
                <c:pt idx="39">
                  <c:v>47077.890000000007</c:v>
                </c:pt>
                <c:pt idx="40">
                  <c:v>48376.710000000006</c:v>
                </c:pt>
                <c:pt idx="41">
                  <c:v>49681.890000000007</c:v>
                </c:pt>
                <c:pt idx="42">
                  <c:v>50993.460000000006</c:v>
                </c:pt>
                <c:pt idx="43">
                  <c:v>52311.450000000004</c:v>
                </c:pt>
                <c:pt idx="44">
                  <c:v>53635.890000000007</c:v>
                </c:pt>
                <c:pt idx="45">
                  <c:v>54966.820000000007</c:v>
                </c:pt>
                <c:pt idx="46">
                  <c:v>56304.260000000009</c:v>
                </c:pt>
                <c:pt idx="47">
                  <c:v>57648.250000000007</c:v>
                </c:pt>
                <c:pt idx="48">
                  <c:v>83998.82</c:v>
                </c:pt>
                <c:pt idx="49">
                  <c:v>85478.400000000009</c:v>
                </c:pt>
                <c:pt idx="50">
                  <c:v>86965.220000000016</c:v>
                </c:pt>
                <c:pt idx="51">
                  <c:v>88459.320000000022</c:v>
                </c:pt>
                <c:pt idx="52">
                  <c:v>89960.74000000002</c:v>
                </c:pt>
                <c:pt idx="53">
                  <c:v>91469.510000000024</c:v>
                </c:pt>
                <c:pt idx="54">
                  <c:v>92985.660000000018</c:v>
                </c:pt>
                <c:pt idx="55">
                  <c:v>94509.24000000002</c:v>
                </c:pt>
                <c:pt idx="56">
                  <c:v>96040.270000000019</c:v>
                </c:pt>
                <c:pt idx="57">
                  <c:v>97578.800000000017</c:v>
                </c:pt>
                <c:pt idx="58">
                  <c:v>99124.860000000015</c:v>
                </c:pt>
                <c:pt idx="59">
                  <c:v>100678.49000000002</c:v>
                </c:pt>
                <c:pt idx="60">
                  <c:v>102239.73000000003</c:v>
                </c:pt>
                <c:pt idx="61">
                  <c:v>103808.61000000003</c:v>
                </c:pt>
                <c:pt idx="62">
                  <c:v>105385.17000000003</c:v>
                </c:pt>
                <c:pt idx="63">
                  <c:v>106969.45000000003</c:v>
                </c:pt>
                <c:pt idx="64">
                  <c:v>108561.49000000002</c:v>
                </c:pt>
                <c:pt idx="65">
                  <c:v>110161.32000000002</c:v>
                </c:pt>
                <c:pt idx="66">
                  <c:v>111768.98000000003</c:v>
                </c:pt>
                <c:pt idx="67">
                  <c:v>113384.52000000002</c:v>
                </c:pt>
                <c:pt idx="68">
                  <c:v>115007.97000000002</c:v>
                </c:pt>
                <c:pt idx="69">
                  <c:v>116639.36000000002</c:v>
                </c:pt>
                <c:pt idx="70">
                  <c:v>118278.74000000002</c:v>
                </c:pt>
                <c:pt idx="71">
                  <c:v>119926.15000000002</c:v>
                </c:pt>
                <c:pt idx="72">
                  <c:v>121581.62000000002</c:v>
                </c:pt>
                <c:pt idx="73">
                  <c:v>123245.20000000003</c:v>
                </c:pt>
                <c:pt idx="74">
                  <c:v>124916.92000000003</c:v>
                </c:pt>
                <c:pt idx="75">
                  <c:v>126596.83000000003</c:v>
                </c:pt>
                <c:pt idx="76">
                  <c:v>128284.96000000004</c:v>
                </c:pt>
                <c:pt idx="77">
                  <c:v>129981.36000000003</c:v>
                </c:pt>
                <c:pt idx="78">
                  <c:v>131686.06000000003</c:v>
                </c:pt>
                <c:pt idx="79">
                  <c:v>133399.11000000002</c:v>
                </c:pt>
                <c:pt idx="80">
                  <c:v>135120.54</c:v>
                </c:pt>
                <c:pt idx="81">
                  <c:v>136850.4</c:v>
                </c:pt>
                <c:pt idx="82">
                  <c:v>138588.72999999998</c:v>
                </c:pt>
                <c:pt idx="83">
                  <c:v>140335.56999999998</c:v>
                </c:pt>
                <c:pt idx="84">
                  <c:v>142090.96</c:v>
                </c:pt>
                <c:pt idx="85">
                  <c:v>143854.94999999998</c:v>
                </c:pt>
                <c:pt idx="86">
                  <c:v>145627.56999999998</c:v>
                </c:pt>
                <c:pt idx="87">
                  <c:v>147408.86999999997</c:v>
                </c:pt>
                <c:pt idx="88">
                  <c:v>149198.88999999996</c:v>
                </c:pt>
                <c:pt idx="89">
                  <c:v>150997.67999999996</c:v>
                </c:pt>
                <c:pt idx="90">
                  <c:v>152805.26999999996</c:v>
                </c:pt>
                <c:pt idx="91">
                  <c:v>154621.70999999996</c:v>
                </c:pt>
                <c:pt idx="92">
                  <c:v>156447.04999999996</c:v>
                </c:pt>
                <c:pt idx="93">
                  <c:v>158281.31999999995</c:v>
                </c:pt>
                <c:pt idx="94">
                  <c:v>160124.56999999995</c:v>
                </c:pt>
                <c:pt idx="95">
                  <c:v>161976.84999999995</c:v>
                </c:pt>
                <c:pt idx="96">
                  <c:v>163838.18999999994</c:v>
                </c:pt>
                <c:pt idx="97">
                  <c:v>165708.64999999994</c:v>
                </c:pt>
                <c:pt idx="98">
                  <c:v>167588.26999999993</c:v>
                </c:pt>
                <c:pt idx="99">
                  <c:v>169477.08999999994</c:v>
                </c:pt>
                <c:pt idx="100">
                  <c:v>171375.14999999994</c:v>
                </c:pt>
                <c:pt idx="101">
                  <c:v>173282.50999999992</c:v>
                </c:pt>
                <c:pt idx="102">
                  <c:v>175199.20999999993</c:v>
                </c:pt>
                <c:pt idx="103">
                  <c:v>177125.28999999992</c:v>
                </c:pt>
                <c:pt idx="104">
                  <c:v>179060.79999999993</c:v>
                </c:pt>
                <c:pt idx="105">
                  <c:v>181005.78999999992</c:v>
                </c:pt>
                <c:pt idx="106">
                  <c:v>182960.29999999993</c:v>
                </c:pt>
                <c:pt idx="107">
                  <c:v>184924.37999999992</c:v>
                </c:pt>
                <c:pt idx="108">
                  <c:v>186898.06999999992</c:v>
                </c:pt>
                <c:pt idx="109">
                  <c:v>188881.42999999991</c:v>
                </c:pt>
                <c:pt idx="110">
                  <c:v>190874.49999999991</c:v>
                </c:pt>
                <c:pt idx="111">
                  <c:v>192877.31999999992</c:v>
                </c:pt>
                <c:pt idx="112">
                  <c:v>194889.94999999992</c:v>
                </c:pt>
                <c:pt idx="113">
                  <c:v>196912.42999999993</c:v>
                </c:pt>
                <c:pt idx="114">
                  <c:v>198944.80999999994</c:v>
                </c:pt>
                <c:pt idx="115">
                  <c:v>200987.13999999993</c:v>
                </c:pt>
                <c:pt idx="116">
                  <c:v>203039.46999999991</c:v>
                </c:pt>
                <c:pt idx="117">
                  <c:v>205101.84999999992</c:v>
                </c:pt>
                <c:pt idx="118">
                  <c:v>207174.32999999993</c:v>
                </c:pt>
                <c:pt idx="119">
                  <c:v>209256.94999999992</c:v>
                </c:pt>
                <c:pt idx="120">
                  <c:v>211349.76999999993</c:v>
                </c:pt>
                <c:pt idx="121">
                  <c:v>213452.83999999994</c:v>
                </c:pt>
                <c:pt idx="122">
                  <c:v>215566.19999999995</c:v>
                </c:pt>
                <c:pt idx="123">
                  <c:v>217689.90999999995</c:v>
                </c:pt>
                <c:pt idx="124">
                  <c:v>219824.01999999996</c:v>
                </c:pt>
                <c:pt idx="125">
                  <c:v>221968.57999999996</c:v>
                </c:pt>
                <c:pt idx="126">
                  <c:v>224123.62999999995</c:v>
                </c:pt>
                <c:pt idx="127">
                  <c:v>226289.23999999993</c:v>
                </c:pt>
                <c:pt idx="128">
                  <c:v>228465.44999999992</c:v>
                </c:pt>
                <c:pt idx="129">
                  <c:v>230652.30999999994</c:v>
                </c:pt>
                <c:pt idx="130">
                  <c:v>232849.87999999995</c:v>
                </c:pt>
                <c:pt idx="131">
                  <c:v>235058.20999999993</c:v>
                </c:pt>
                <c:pt idx="132">
                  <c:v>237277.34999999995</c:v>
                </c:pt>
                <c:pt idx="133">
                  <c:v>239507.34999999995</c:v>
                </c:pt>
                <c:pt idx="134">
                  <c:v>241748.26999999996</c:v>
                </c:pt>
                <c:pt idx="135">
                  <c:v>244000.15999999997</c:v>
                </c:pt>
                <c:pt idx="136">
                  <c:v>246263.08</c:v>
                </c:pt>
                <c:pt idx="137">
                  <c:v>248537.08</c:v>
                </c:pt>
                <c:pt idx="138">
                  <c:v>250822.21</c:v>
                </c:pt>
                <c:pt idx="139">
                  <c:v>253118.53</c:v>
                </c:pt>
                <c:pt idx="140">
                  <c:v>255426.09</c:v>
                </c:pt>
                <c:pt idx="141">
                  <c:v>257744.95</c:v>
                </c:pt>
                <c:pt idx="142">
                  <c:v>260075.16</c:v>
                </c:pt>
                <c:pt idx="143">
                  <c:v>262416.78000000003</c:v>
                </c:pt>
                <c:pt idx="144">
                  <c:v>264769.86000000004</c:v>
                </c:pt>
                <c:pt idx="145">
                  <c:v>267134.46000000002</c:v>
                </c:pt>
                <c:pt idx="146">
                  <c:v>269510.64</c:v>
                </c:pt>
                <c:pt idx="147">
                  <c:v>271898.45</c:v>
                </c:pt>
                <c:pt idx="148">
                  <c:v>274297.95</c:v>
                </c:pt>
                <c:pt idx="149">
                  <c:v>276709.2</c:v>
                </c:pt>
                <c:pt idx="150">
                  <c:v>279132.26</c:v>
                </c:pt>
                <c:pt idx="151">
                  <c:v>281567.18</c:v>
                </c:pt>
                <c:pt idx="152">
                  <c:v>284014.02</c:v>
                </c:pt>
                <c:pt idx="153">
                  <c:v>286472.84000000003</c:v>
                </c:pt>
                <c:pt idx="154">
                  <c:v>288943.7</c:v>
                </c:pt>
                <c:pt idx="155">
                  <c:v>291426.65000000002</c:v>
                </c:pt>
                <c:pt idx="156">
                  <c:v>293921.76</c:v>
                </c:pt>
                <c:pt idx="157">
                  <c:v>296429.09000000003</c:v>
                </c:pt>
                <c:pt idx="158">
                  <c:v>298948.69</c:v>
                </c:pt>
                <c:pt idx="159">
                  <c:v>301480.63</c:v>
                </c:pt>
                <c:pt idx="160">
                  <c:v>304024.96000000002</c:v>
                </c:pt>
                <c:pt idx="161">
                  <c:v>306581.75</c:v>
                </c:pt>
                <c:pt idx="162">
                  <c:v>309151.06</c:v>
                </c:pt>
                <c:pt idx="163">
                  <c:v>311732.95</c:v>
                </c:pt>
                <c:pt idx="164">
                  <c:v>314327.48000000004</c:v>
                </c:pt>
                <c:pt idx="165">
                  <c:v>316934.71000000002</c:v>
                </c:pt>
                <c:pt idx="166">
                  <c:v>319554.7</c:v>
                </c:pt>
                <c:pt idx="167">
                  <c:v>322187.52000000002</c:v>
                </c:pt>
                <c:pt idx="168">
                  <c:v>324833.23000000004</c:v>
                </c:pt>
                <c:pt idx="169">
                  <c:v>327491.89</c:v>
                </c:pt>
                <c:pt idx="170">
                  <c:v>330163.57</c:v>
                </c:pt>
                <c:pt idx="171">
                  <c:v>332848.33</c:v>
                </c:pt>
                <c:pt idx="172">
                  <c:v>335546.23000000004</c:v>
                </c:pt>
                <c:pt idx="173">
                  <c:v>338257.34</c:v>
                </c:pt>
                <c:pt idx="174">
                  <c:v>340981.72000000003</c:v>
                </c:pt>
                <c:pt idx="175">
                  <c:v>343719.44</c:v>
                </c:pt>
                <c:pt idx="176">
                  <c:v>346470.57</c:v>
                </c:pt>
                <c:pt idx="177">
                  <c:v>349235.17</c:v>
                </c:pt>
                <c:pt idx="178">
                  <c:v>352013.3</c:v>
                </c:pt>
                <c:pt idx="179">
                  <c:v>354805.02999999997</c:v>
                </c:pt>
                <c:pt idx="180">
                  <c:v>357610.43</c:v>
                </c:pt>
                <c:pt idx="181">
                  <c:v>360429.56</c:v>
                </c:pt>
                <c:pt idx="182">
                  <c:v>363262.5</c:v>
                </c:pt>
                <c:pt idx="183">
                  <c:v>366109.31</c:v>
                </c:pt>
                <c:pt idx="184">
                  <c:v>368970.05</c:v>
                </c:pt>
                <c:pt idx="185">
                  <c:v>371844.8</c:v>
                </c:pt>
                <c:pt idx="186">
                  <c:v>374733.62</c:v>
                </c:pt>
                <c:pt idx="187">
                  <c:v>377636.58999999997</c:v>
                </c:pt>
                <c:pt idx="188">
                  <c:v>380553.76999999996</c:v>
                </c:pt>
                <c:pt idx="189">
                  <c:v>383485.23</c:v>
                </c:pt>
                <c:pt idx="190">
                  <c:v>386431.04</c:v>
                </c:pt>
                <c:pt idx="191">
                  <c:v>389391.27999999997</c:v>
                </c:pt>
                <c:pt idx="192">
                  <c:v>392366.00999999995</c:v>
                </c:pt>
                <c:pt idx="193">
                  <c:v>395355.29999999993</c:v>
                </c:pt>
                <c:pt idx="194">
                  <c:v>398359.22999999992</c:v>
                </c:pt>
                <c:pt idx="195">
                  <c:v>401377.85999999993</c:v>
                </c:pt>
                <c:pt idx="196">
                  <c:v>404411.2699999999</c:v>
                </c:pt>
                <c:pt idx="197">
                  <c:v>407459.52999999991</c:v>
                </c:pt>
                <c:pt idx="198">
                  <c:v>410522.71999999991</c:v>
                </c:pt>
                <c:pt idx="199">
                  <c:v>413600.89999999991</c:v>
                </c:pt>
                <c:pt idx="200">
                  <c:v>416694.14999999991</c:v>
                </c:pt>
                <c:pt idx="201">
                  <c:v>419802.54999999993</c:v>
                </c:pt>
                <c:pt idx="202">
                  <c:v>422926.16999999993</c:v>
                </c:pt>
                <c:pt idx="203">
                  <c:v>426065.0799999999</c:v>
                </c:pt>
                <c:pt idx="204">
                  <c:v>429219.35999999993</c:v>
                </c:pt>
                <c:pt idx="205">
                  <c:v>432389.0799999999</c:v>
                </c:pt>
                <c:pt idx="206">
                  <c:v>435574.31999999989</c:v>
                </c:pt>
                <c:pt idx="207">
                  <c:v>438775.14999999991</c:v>
                </c:pt>
                <c:pt idx="208">
                  <c:v>441991.64999999991</c:v>
                </c:pt>
                <c:pt idx="209">
                  <c:v>445223.89999999991</c:v>
                </c:pt>
                <c:pt idx="210">
                  <c:v>448471.97999999992</c:v>
                </c:pt>
                <c:pt idx="211">
                  <c:v>451735.9599999999</c:v>
                </c:pt>
                <c:pt idx="212">
                  <c:v>455015.91999999993</c:v>
                </c:pt>
                <c:pt idx="213">
                  <c:v>458311.93999999994</c:v>
                </c:pt>
                <c:pt idx="214">
                  <c:v>461624.08999999997</c:v>
                </c:pt>
                <c:pt idx="215">
                  <c:v>464952.45999999996</c:v>
                </c:pt>
                <c:pt idx="216">
                  <c:v>468297.11999999994</c:v>
                </c:pt>
                <c:pt idx="217">
                  <c:v>471658.15999999992</c:v>
                </c:pt>
                <c:pt idx="218">
                  <c:v>475035.64999999991</c:v>
                </c:pt>
                <c:pt idx="219">
                  <c:v>478429.67999999993</c:v>
                </c:pt>
                <c:pt idx="220">
                  <c:v>481840.32999999996</c:v>
                </c:pt>
                <c:pt idx="221">
                  <c:v>485267.67</c:v>
                </c:pt>
                <c:pt idx="222">
                  <c:v>488711.79</c:v>
                </c:pt>
                <c:pt idx="223">
                  <c:v>492172.76999999996</c:v>
                </c:pt>
                <c:pt idx="224">
                  <c:v>495650.69999999995</c:v>
                </c:pt>
                <c:pt idx="225">
                  <c:v>499145.66</c:v>
                </c:pt>
                <c:pt idx="226">
                  <c:v>502657.73</c:v>
                </c:pt>
                <c:pt idx="227">
                  <c:v>506186.99</c:v>
                </c:pt>
                <c:pt idx="228">
                  <c:v>509733.52999999997</c:v>
                </c:pt>
                <c:pt idx="229">
                  <c:v>513297.43</c:v>
                </c:pt>
                <c:pt idx="230">
                  <c:v>516878.77999999997</c:v>
                </c:pt>
                <c:pt idx="231">
                  <c:v>520477.67</c:v>
                </c:pt>
                <c:pt idx="232">
                  <c:v>524094.18</c:v>
                </c:pt>
                <c:pt idx="233">
                  <c:v>527728.39</c:v>
                </c:pt>
                <c:pt idx="234">
                  <c:v>531380.39</c:v>
                </c:pt>
                <c:pt idx="235">
                  <c:v>535050.27</c:v>
                </c:pt>
                <c:pt idx="236">
                  <c:v>538738.12</c:v>
                </c:pt>
                <c:pt idx="237">
                  <c:v>542444.03</c:v>
                </c:pt>
                <c:pt idx="238">
                  <c:v>546168.08000000007</c:v>
                </c:pt>
                <c:pt idx="239">
                  <c:v>549910.3600000001</c:v>
                </c:pt>
                <c:pt idx="240">
                  <c:v>553670.96000000008</c:v>
                </c:pt>
                <c:pt idx="241">
                  <c:v>557449.97000000009</c:v>
                </c:pt>
                <c:pt idx="242">
                  <c:v>561247.49000000011</c:v>
                </c:pt>
                <c:pt idx="243">
                  <c:v>565063.60000000009</c:v>
                </c:pt>
                <c:pt idx="244">
                  <c:v>568898.39000000013</c:v>
                </c:pt>
                <c:pt idx="245">
                  <c:v>572751.96000000008</c:v>
                </c:pt>
                <c:pt idx="246">
                  <c:v>576624.39000000013</c:v>
                </c:pt>
                <c:pt idx="247">
                  <c:v>580515.78000000014</c:v>
                </c:pt>
                <c:pt idx="248">
                  <c:v>584426.22000000009</c:v>
                </c:pt>
                <c:pt idx="249">
                  <c:v>588355.81000000006</c:v>
                </c:pt>
                <c:pt idx="250">
                  <c:v>592304.64000000001</c:v>
                </c:pt>
                <c:pt idx="251">
                  <c:v>596272.80000000005</c:v>
                </c:pt>
                <c:pt idx="252">
                  <c:v>600260.39</c:v>
                </c:pt>
                <c:pt idx="253">
                  <c:v>604267.5</c:v>
                </c:pt>
                <c:pt idx="254">
                  <c:v>608294.23</c:v>
                </c:pt>
                <c:pt idx="255">
                  <c:v>612340.66999999993</c:v>
                </c:pt>
                <c:pt idx="256">
                  <c:v>616406.91999999993</c:v>
                </c:pt>
                <c:pt idx="257">
                  <c:v>620493.07999999996</c:v>
                </c:pt>
                <c:pt idx="258">
                  <c:v>624599.24</c:v>
                </c:pt>
                <c:pt idx="259">
                  <c:v>628725.51</c:v>
                </c:pt>
                <c:pt idx="260">
                  <c:v>632871.98</c:v>
                </c:pt>
                <c:pt idx="261">
                  <c:v>637038.75</c:v>
                </c:pt>
                <c:pt idx="262">
                  <c:v>641225.92000000004</c:v>
                </c:pt>
                <c:pt idx="263">
                  <c:v>645433.59000000008</c:v>
                </c:pt>
                <c:pt idx="264">
                  <c:v>649661.8600000001</c:v>
                </c:pt>
                <c:pt idx="265">
                  <c:v>653910.83000000007</c:v>
                </c:pt>
                <c:pt idx="266">
                  <c:v>658180.60000000009</c:v>
                </c:pt>
                <c:pt idx="267">
                  <c:v>662471.28000000014</c:v>
                </c:pt>
                <c:pt idx="268">
                  <c:v>666782.9600000002</c:v>
                </c:pt>
                <c:pt idx="269">
                  <c:v>671115.75000000023</c:v>
                </c:pt>
                <c:pt idx="270">
                  <c:v>675469.75000000023</c:v>
                </c:pt>
                <c:pt idx="271">
                  <c:v>679845.07000000018</c:v>
                </c:pt>
                <c:pt idx="272">
                  <c:v>684241.81000000017</c:v>
                </c:pt>
                <c:pt idx="273">
                  <c:v>688660.08000000019</c:v>
                </c:pt>
                <c:pt idx="274">
                  <c:v>693099.98000000021</c:v>
                </c:pt>
                <c:pt idx="275">
                  <c:v>697561.62000000023</c:v>
                </c:pt>
                <c:pt idx="276">
                  <c:v>702045.10000000021</c:v>
                </c:pt>
                <c:pt idx="277">
                  <c:v>704000.00000000023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22-B941-82BE-4328F2380102}"/>
            </c:ext>
          </c:extLst>
        </c:ser>
        <c:ser>
          <c:idx val="1"/>
          <c:order val="1"/>
          <c:tx>
            <c:strRef>
              <c:f>Calculator!$O$2</c:f>
              <c:strCache>
                <c:ptCount val="1"/>
                <c:pt idx="0">
                  <c:v>Cumul. Interest</c:v>
                </c:pt>
              </c:strCache>
            </c:strRef>
          </c:tx>
          <c:spPr>
            <a:ln w="28000">
              <a:solidFill>
                <a:srgbClr val="F8766D"/>
              </a:solidFill>
              <a:prstDash val="solid"/>
            </a:ln>
          </c:spPr>
          <c:marker>
            <c:symbol val="none"/>
          </c:marker>
          <c:cat>
            <c:strRef>
              <c:f>Calculator!$I$3:$I$362</c:f>
              <c:strCache>
                <c:ptCount val="278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  <c:pt idx="24">
                  <c:v>Jan 2028</c:v>
                </c:pt>
                <c:pt idx="25">
                  <c:v>Feb 2028</c:v>
                </c:pt>
                <c:pt idx="26">
                  <c:v>Mar 2028</c:v>
                </c:pt>
                <c:pt idx="27">
                  <c:v>Apr 2028</c:v>
                </c:pt>
                <c:pt idx="28">
                  <c:v>May 2028</c:v>
                </c:pt>
                <c:pt idx="29">
                  <c:v>Jun 2028</c:v>
                </c:pt>
                <c:pt idx="30">
                  <c:v>Jul 2028</c:v>
                </c:pt>
                <c:pt idx="31">
                  <c:v>Aug 2028</c:v>
                </c:pt>
                <c:pt idx="32">
                  <c:v>Sep 2028</c:v>
                </c:pt>
                <c:pt idx="33">
                  <c:v>Oct 2028</c:v>
                </c:pt>
                <c:pt idx="34">
                  <c:v>Nov 2028</c:v>
                </c:pt>
                <c:pt idx="35">
                  <c:v>Dec 2028</c:v>
                </c:pt>
                <c:pt idx="36">
                  <c:v>Jan 2029</c:v>
                </c:pt>
                <c:pt idx="37">
                  <c:v>Feb 2029</c:v>
                </c:pt>
                <c:pt idx="38">
                  <c:v>Mar 2029</c:v>
                </c:pt>
                <c:pt idx="39">
                  <c:v>Apr 2029</c:v>
                </c:pt>
                <c:pt idx="40">
                  <c:v>May 2029</c:v>
                </c:pt>
                <c:pt idx="41">
                  <c:v>Jun 2029</c:v>
                </c:pt>
                <c:pt idx="42">
                  <c:v>Jul 2029</c:v>
                </c:pt>
                <c:pt idx="43">
                  <c:v>Aug 2029</c:v>
                </c:pt>
                <c:pt idx="44">
                  <c:v>Sep 2029</c:v>
                </c:pt>
                <c:pt idx="45">
                  <c:v>Oct 2029</c:v>
                </c:pt>
                <c:pt idx="46">
                  <c:v>Nov 2029</c:v>
                </c:pt>
                <c:pt idx="47">
                  <c:v>Dec 2029</c:v>
                </c:pt>
                <c:pt idx="48">
                  <c:v>Jan 2030</c:v>
                </c:pt>
                <c:pt idx="49">
                  <c:v>Feb 2030</c:v>
                </c:pt>
                <c:pt idx="50">
                  <c:v>Mar 2030</c:v>
                </c:pt>
                <c:pt idx="51">
                  <c:v>Apr 2030</c:v>
                </c:pt>
                <c:pt idx="52">
                  <c:v>May 2030</c:v>
                </c:pt>
                <c:pt idx="53">
                  <c:v>Jun 2030</c:v>
                </c:pt>
                <c:pt idx="54">
                  <c:v>Jul 2030</c:v>
                </c:pt>
                <c:pt idx="55">
                  <c:v>Aug 2030</c:v>
                </c:pt>
                <c:pt idx="56">
                  <c:v>Sep 2030</c:v>
                </c:pt>
                <c:pt idx="57">
                  <c:v>Oct 2030</c:v>
                </c:pt>
                <c:pt idx="58">
                  <c:v>Nov 2030</c:v>
                </c:pt>
                <c:pt idx="59">
                  <c:v>Dec 2030</c:v>
                </c:pt>
                <c:pt idx="60">
                  <c:v>Jan 2031</c:v>
                </c:pt>
                <c:pt idx="61">
                  <c:v>Feb 2031</c:v>
                </c:pt>
                <c:pt idx="62">
                  <c:v>Mar 2031</c:v>
                </c:pt>
                <c:pt idx="63">
                  <c:v>Apr 2031</c:v>
                </c:pt>
                <c:pt idx="64">
                  <c:v>May 2031</c:v>
                </c:pt>
                <c:pt idx="65">
                  <c:v>Jun 2031</c:v>
                </c:pt>
                <c:pt idx="66">
                  <c:v>Jul 2031</c:v>
                </c:pt>
                <c:pt idx="67">
                  <c:v>Aug 2031</c:v>
                </c:pt>
                <c:pt idx="68">
                  <c:v>Sep 2031</c:v>
                </c:pt>
                <c:pt idx="69">
                  <c:v>Oct 2031</c:v>
                </c:pt>
                <c:pt idx="70">
                  <c:v>Nov 2031</c:v>
                </c:pt>
                <c:pt idx="71">
                  <c:v>Dec 2031</c:v>
                </c:pt>
                <c:pt idx="72">
                  <c:v>Jan 2032</c:v>
                </c:pt>
                <c:pt idx="73">
                  <c:v>Feb 2032</c:v>
                </c:pt>
                <c:pt idx="74">
                  <c:v>Mar 2032</c:v>
                </c:pt>
                <c:pt idx="75">
                  <c:v>Apr 2032</c:v>
                </c:pt>
                <c:pt idx="76">
                  <c:v>May 2032</c:v>
                </c:pt>
                <c:pt idx="77">
                  <c:v>Jun 2032</c:v>
                </c:pt>
                <c:pt idx="78">
                  <c:v>Jul 2032</c:v>
                </c:pt>
                <c:pt idx="79">
                  <c:v>Aug 2032</c:v>
                </c:pt>
                <c:pt idx="80">
                  <c:v>Sep 2032</c:v>
                </c:pt>
                <c:pt idx="81">
                  <c:v>Oct 2032</c:v>
                </c:pt>
                <c:pt idx="82">
                  <c:v>Nov 2032</c:v>
                </c:pt>
                <c:pt idx="83">
                  <c:v>Dec 2032</c:v>
                </c:pt>
                <c:pt idx="84">
                  <c:v>Jan 2033</c:v>
                </c:pt>
                <c:pt idx="85">
                  <c:v>Feb 2033</c:v>
                </c:pt>
                <c:pt idx="86">
                  <c:v>Mar 2033</c:v>
                </c:pt>
                <c:pt idx="87">
                  <c:v>Apr 2033</c:v>
                </c:pt>
                <c:pt idx="88">
                  <c:v>May 2033</c:v>
                </c:pt>
                <c:pt idx="89">
                  <c:v>Jun 2033</c:v>
                </c:pt>
                <c:pt idx="90">
                  <c:v>Jul 2033</c:v>
                </c:pt>
                <c:pt idx="91">
                  <c:v>Aug 2033</c:v>
                </c:pt>
                <c:pt idx="92">
                  <c:v>Sep 2033</c:v>
                </c:pt>
                <c:pt idx="93">
                  <c:v>Oct 2033</c:v>
                </c:pt>
                <c:pt idx="94">
                  <c:v>Nov 2033</c:v>
                </c:pt>
                <c:pt idx="95">
                  <c:v>Dec 2033</c:v>
                </c:pt>
                <c:pt idx="96">
                  <c:v>Jan 2034</c:v>
                </c:pt>
                <c:pt idx="97">
                  <c:v>Feb 2034</c:v>
                </c:pt>
                <c:pt idx="98">
                  <c:v>Mar 2034</c:v>
                </c:pt>
                <c:pt idx="99">
                  <c:v>Apr 2034</c:v>
                </c:pt>
                <c:pt idx="100">
                  <c:v>May 2034</c:v>
                </c:pt>
                <c:pt idx="101">
                  <c:v>Jun 2034</c:v>
                </c:pt>
                <c:pt idx="102">
                  <c:v>Jul 2034</c:v>
                </c:pt>
                <c:pt idx="103">
                  <c:v>Aug 2034</c:v>
                </c:pt>
                <c:pt idx="104">
                  <c:v>Sep 2034</c:v>
                </c:pt>
                <c:pt idx="105">
                  <c:v>Oct 2034</c:v>
                </c:pt>
                <c:pt idx="106">
                  <c:v>Nov 2034</c:v>
                </c:pt>
                <c:pt idx="107">
                  <c:v>Dec 2034</c:v>
                </c:pt>
                <c:pt idx="108">
                  <c:v>Jan 2035</c:v>
                </c:pt>
                <c:pt idx="109">
                  <c:v>Feb 2035</c:v>
                </c:pt>
                <c:pt idx="110">
                  <c:v>Mar 2035</c:v>
                </c:pt>
                <c:pt idx="111">
                  <c:v>Apr 2035</c:v>
                </c:pt>
                <c:pt idx="112">
                  <c:v>May 2035</c:v>
                </c:pt>
                <c:pt idx="113">
                  <c:v>Jun 2035</c:v>
                </c:pt>
                <c:pt idx="114">
                  <c:v>Jul 2035</c:v>
                </c:pt>
                <c:pt idx="115">
                  <c:v>Aug 2035</c:v>
                </c:pt>
                <c:pt idx="116">
                  <c:v>Sep 2035</c:v>
                </c:pt>
                <c:pt idx="117">
                  <c:v>Oct 2035</c:v>
                </c:pt>
                <c:pt idx="118">
                  <c:v>Nov 2035</c:v>
                </c:pt>
                <c:pt idx="119">
                  <c:v>Dec 2035</c:v>
                </c:pt>
                <c:pt idx="120">
                  <c:v>Jan 2036</c:v>
                </c:pt>
                <c:pt idx="121">
                  <c:v>Feb 2036</c:v>
                </c:pt>
                <c:pt idx="122">
                  <c:v>Mar 2036</c:v>
                </c:pt>
                <c:pt idx="123">
                  <c:v>Apr 2036</c:v>
                </c:pt>
                <c:pt idx="124">
                  <c:v>May 2036</c:v>
                </c:pt>
                <c:pt idx="125">
                  <c:v>Jun 2036</c:v>
                </c:pt>
                <c:pt idx="126">
                  <c:v>Jul 2036</c:v>
                </c:pt>
                <c:pt idx="127">
                  <c:v>Aug 2036</c:v>
                </c:pt>
                <c:pt idx="128">
                  <c:v>Sep 2036</c:v>
                </c:pt>
                <c:pt idx="129">
                  <c:v>Oct 2036</c:v>
                </c:pt>
                <c:pt idx="130">
                  <c:v>Nov 2036</c:v>
                </c:pt>
                <c:pt idx="131">
                  <c:v>Dec 2036</c:v>
                </c:pt>
                <c:pt idx="132">
                  <c:v>Jan 2037</c:v>
                </c:pt>
                <c:pt idx="133">
                  <c:v>Feb 2037</c:v>
                </c:pt>
                <c:pt idx="134">
                  <c:v>Mar 2037</c:v>
                </c:pt>
                <c:pt idx="135">
                  <c:v>Apr 2037</c:v>
                </c:pt>
                <c:pt idx="136">
                  <c:v>May 2037</c:v>
                </c:pt>
                <c:pt idx="137">
                  <c:v>Jun 2037</c:v>
                </c:pt>
                <c:pt idx="138">
                  <c:v>Jul 2037</c:v>
                </c:pt>
                <c:pt idx="139">
                  <c:v>Aug 2037</c:v>
                </c:pt>
                <c:pt idx="140">
                  <c:v>Sep 2037</c:v>
                </c:pt>
                <c:pt idx="141">
                  <c:v>Oct 2037</c:v>
                </c:pt>
                <c:pt idx="142">
                  <c:v>Nov 2037</c:v>
                </c:pt>
                <c:pt idx="143">
                  <c:v>Dec 2037</c:v>
                </c:pt>
                <c:pt idx="144">
                  <c:v>Jan 2038</c:v>
                </c:pt>
                <c:pt idx="145">
                  <c:v>Feb 2038</c:v>
                </c:pt>
                <c:pt idx="146">
                  <c:v>Mar 2038</c:v>
                </c:pt>
                <c:pt idx="147">
                  <c:v>Apr 2038</c:v>
                </c:pt>
                <c:pt idx="148">
                  <c:v>May 2038</c:v>
                </c:pt>
                <c:pt idx="149">
                  <c:v>Jun 2038</c:v>
                </c:pt>
                <c:pt idx="150">
                  <c:v>Jul 2038</c:v>
                </c:pt>
                <c:pt idx="151">
                  <c:v>Aug 2038</c:v>
                </c:pt>
                <c:pt idx="152">
                  <c:v>Sep 2038</c:v>
                </c:pt>
                <c:pt idx="153">
                  <c:v>Oct 2038</c:v>
                </c:pt>
                <c:pt idx="154">
                  <c:v>Nov 2038</c:v>
                </c:pt>
                <c:pt idx="155">
                  <c:v>Dec 2038</c:v>
                </c:pt>
                <c:pt idx="156">
                  <c:v>Jan 2039</c:v>
                </c:pt>
                <c:pt idx="157">
                  <c:v>Feb 2039</c:v>
                </c:pt>
                <c:pt idx="158">
                  <c:v>Mar 2039</c:v>
                </c:pt>
                <c:pt idx="159">
                  <c:v>Apr 2039</c:v>
                </c:pt>
                <c:pt idx="160">
                  <c:v>May 2039</c:v>
                </c:pt>
                <c:pt idx="161">
                  <c:v>Jun 2039</c:v>
                </c:pt>
                <c:pt idx="162">
                  <c:v>Jul 2039</c:v>
                </c:pt>
                <c:pt idx="163">
                  <c:v>Aug 2039</c:v>
                </c:pt>
                <c:pt idx="164">
                  <c:v>Sep 2039</c:v>
                </c:pt>
                <c:pt idx="165">
                  <c:v>Oct 2039</c:v>
                </c:pt>
                <c:pt idx="166">
                  <c:v>Nov 2039</c:v>
                </c:pt>
                <c:pt idx="167">
                  <c:v>Dec 2039</c:v>
                </c:pt>
                <c:pt idx="168">
                  <c:v>Jan 2040</c:v>
                </c:pt>
                <c:pt idx="169">
                  <c:v>Feb 2040</c:v>
                </c:pt>
                <c:pt idx="170">
                  <c:v>Mar 2040</c:v>
                </c:pt>
                <c:pt idx="171">
                  <c:v>Apr 2040</c:v>
                </c:pt>
                <c:pt idx="172">
                  <c:v>May 2040</c:v>
                </c:pt>
                <c:pt idx="173">
                  <c:v>Jun 2040</c:v>
                </c:pt>
                <c:pt idx="174">
                  <c:v>Jul 2040</c:v>
                </c:pt>
                <c:pt idx="175">
                  <c:v>Aug 2040</c:v>
                </c:pt>
                <c:pt idx="176">
                  <c:v>Sep 2040</c:v>
                </c:pt>
                <c:pt idx="177">
                  <c:v>Oct 2040</c:v>
                </c:pt>
                <c:pt idx="178">
                  <c:v>Nov 2040</c:v>
                </c:pt>
                <c:pt idx="179">
                  <c:v>Dec 2040</c:v>
                </c:pt>
                <c:pt idx="180">
                  <c:v>Jan 2041</c:v>
                </c:pt>
                <c:pt idx="181">
                  <c:v>Feb 2041</c:v>
                </c:pt>
                <c:pt idx="182">
                  <c:v>Mar 2041</c:v>
                </c:pt>
                <c:pt idx="183">
                  <c:v>Apr 2041</c:v>
                </c:pt>
                <c:pt idx="184">
                  <c:v>May 2041</c:v>
                </c:pt>
                <c:pt idx="185">
                  <c:v>Jun 2041</c:v>
                </c:pt>
                <c:pt idx="186">
                  <c:v>Jul 2041</c:v>
                </c:pt>
                <c:pt idx="187">
                  <c:v>Aug 2041</c:v>
                </c:pt>
                <c:pt idx="188">
                  <c:v>Sep 2041</c:v>
                </c:pt>
                <c:pt idx="189">
                  <c:v>Oct 2041</c:v>
                </c:pt>
                <c:pt idx="190">
                  <c:v>Nov 2041</c:v>
                </c:pt>
                <c:pt idx="191">
                  <c:v>Dec 2041</c:v>
                </c:pt>
                <c:pt idx="192">
                  <c:v>Jan 2042</c:v>
                </c:pt>
                <c:pt idx="193">
                  <c:v>Feb 2042</c:v>
                </c:pt>
                <c:pt idx="194">
                  <c:v>Mar 2042</c:v>
                </c:pt>
                <c:pt idx="195">
                  <c:v>Apr 2042</c:v>
                </c:pt>
                <c:pt idx="196">
                  <c:v>May 2042</c:v>
                </c:pt>
                <c:pt idx="197">
                  <c:v>Jun 2042</c:v>
                </c:pt>
                <c:pt idx="198">
                  <c:v>Jul 2042</c:v>
                </c:pt>
                <c:pt idx="199">
                  <c:v>Aug 2042</c:v>
                </c:pt>
                <c:pt idx="200">
                  <c:v>Sep 2042</c:v>
                </c:pt>
                <c:pt idx="201">
                  <c:v>Oct 2042</c:v>
                </c:pt>
                <c:pt idx="202">
                  <c:v>Nov 2042</c:v>
                </c:pt>
                <c:pt idx="203">
                  <c:v>Dec 2042</c:v>
                </c:pt>
                <c:pt idx="204">
                  <c:v>Jan 2043</c:v>
                </c:pt>
                <c:pt idx="205">
                  <c:v>Feb 2043</c:v>
                </c:pt>
                <c:pt idx="206">
                  <c:v>Mar 2043</c:v>
                </c:pt>
                <c:pt idx="207">
                  <c:v>Apr 2043</c:v>
                </c:pt>
                <c:pt idx="208">
                  <c:v>May 2043</c:v>
                </c:pt>
                <c:pt idx="209">
                  <c:v>Jun 2043</c:v>
                </c:pt>
                <c:pt idx="210">
                  <c:v>Jul 2043</c:v>
                </c:pt>
                <c:pt idx="211">
                  <c:v>Aug 2043</c:v>
                </c:pt>
                <c:pt idx="212">
                  <c:v>Sep 2043</c:v>
                </c:pt>
                <c:pt idx="213">
                  <c:v>Oct 2043</c:v>
                </c:pt>
                <c:pt idx="214">
                  <c:v>Nov 2043</c:v>
                </c:pt>
                <c:pt idx="215">
                  <c:v>Dec 2043</c:v>
                </c:pt>
                <c:pt idx="216">
                  <c:v>Jan 2044</c:v>
                </c:pt>
                <c:pt idx="217">
                  <c:v>Feb 2044</c:v>
                </c:pt>
                <c:pt idx="218">
                  <c:v>Mar 2044</c:v>
                </c:pt>
                <c:pt idx="219">
                  <c:v>Apr 2044</c:v>
                </c:pt>
                <c:pt idx="220">
                  <c:v>May 2044</c:v>
                </c:pt>
                <c:pt idx="221">
                  <c:v>Jun 2044</c:v>
                </c:pt>
                <c:pt idx="222">
                  <c:v>Jul 2044</c:v>
                </c:pt>
                <c:pt idx="223">
                  <c:v>Aug 2044</c:v>
                </c:pt>
                <c:pt idx="224">
                  <c:v>Sep 2044</c:v>
                </c:pt>
                <c:pt idx="225">
                  <c:v>Oct 2044</c:v>
                </c:pt>
                <c:pt idx="226">
                  <c:v>Nov 2044</c:v>
                </c:pt>
                <c:pt idx="227">
                  <c:v>Dec 2044</c:v>
                </c:pt>
                <c:pt idx="228">
                  <c:v>Jan 2045</c:v>
                </c:pt>
                <c:pt idx="229">
                  <c:v>Feb 2045</c:v>
                </c:pt>
                <c:pt idx="230">
                  <c:v>Mar 2045</c:v>
                </c:pt>
                <c:pt idx="231">
                  <c:v>Apr 2045</c:v>
                </c:pt>
                <c:pt idx="232">
                  <c:v>May 2045</c:v>
                </c:pt>
                <c:pt idx="233">
                  <c:v>Jun 2045</c:v>
                </c:pt>
                <c:pt idx="234">
                  <c:v>Jul 2045</c:v>
                </c:pt>
                <c:pt idx="235">
                  <c:v>Aug 2045</c:v>
                </c:pt>
                <c:pt idx="236">
                  <c:v>Sep 2045</c:v>
                </c:pt>
                <c:pt idx="237">
                  <c:v>Oct 2045</c:v>
                </c:pt>
                <c:pt idx="238">
                  <c:v>Nov 2045</c:v>
                </c:pt>
                <c:pt idx="239">
                  <c:v>Dec 2045</c:v>
                </c:pt>
                <c:pt idx="240">
                  <c:v>Jan 2046</c:v>
                </c:pt>
                <c:pt idx="241">
                  <c:v>Feb 2046</c:v>
                </c:pt>
                <c:pt idx="242">
                  <c:v>Mar 2046</c:v>
                </c:pt>
                <c:pt idx="243">
                  <c:v>Apr 2046</c:v>
                </c:pt>
                <c:pt idx="244">
                  <c:v>May 2046</c:v>
                </c:pt>
                <c:pt idx="245">
                  <c:v>Jun 2046</c:v>
                </c:pt>
                <c:pt idx="246">
                  <c:v>Jul 2046</c:v>
                </c:pt>
                <c:pt idx="247">
                  <c:v>Aug 2046</c:v>
                </c:pt>
                <c:pt idx="248">
                  <c:v>Sep 2046</c:v>
                </c:pt>
                <c:pt idx="249">
                  <c:v>Oct 2046</c:v>
                </c:pt>
                <c:pt idx="250">
                  <c:v>Nov 2046</c:v>
                </c:pt>
                <c:pt idx="251">
                  <c:v>Dec 2046</c:v>
                </c:pt>
                <c:pt idx="252">
                  <c:v>Jan 2047</c:v>
                </c:pt>
                <c:pt idx="253">
                  <c:v>Feb 2047</c:v>
                </c:pt>
                <c:pt idx="254">
                  <c:v>Mar 2047</c:v>
                </c:pt>
                <c:pt idx="255">
                  <c:v>Apr 2047</c:v>
                </c:pt>
                <c:pt idx="256">
                  <c:v>May 2047</c:v>
                </c:pt>
                <c:pt idx="257">
                  <c:v>Jun 2047</c:v>
                </c:pt>
                <c:pt idx="258">
                  <c:v>Jul 2047</c:v>
                </c:pt>
                <c:pt idx="259">
                  <c:v>Aug 2047</c:v>
                </c:pt>
                <c:pt idx="260">
                  <c:v>Sep 2047</c:v>
                </c:pt>
                <c:pt idx="261">
                  <c:v>Oct 2047</c:v>
                </c:pt>
                <c:pt idx="262">
                  <c:v>Nov 2047</c:v>
                </c:pt>
                <c:pt idx="263">
                  <c:v>Dec 2047</c:v>
                </c:pt>
                <c:pt idx="264">
                  <c:v>Jan 2048</c:v>
                </c:pt>
                <c:pt idx="265">
                  <c:v>Feb 2048</c:v>
                </c:pt>
                <c:pt idx="266">
                  <c:v>Mar 2048</c:v>
                </c:pt>
                <c:pt idx="267">
                  <c:v>Apr 2048</c:v>
                </c:pt>
                <c:pt idx="268">
                  <c:v>May 2048</c:v>
                </c:pt>
                <c:pt idx="269">
                  <c:v>Jun 2048</c:v>
                </c:pt>
                <c:pt idx="270">
                  <c:v>Jul 2048</c:v>
                </c:pt>
                <c:pt idx="271">
                  <c:v>Aug 2048</c:v>
                </c:pt>
                <c:pt idx="272">
                  <c:v>Sep 2048</c:v>
                </c:pt>
                <c:pt idx="273">
                  <c:v>Oct 2048</c:v>
                </c:pt>
                <c:pt idx="274">
                  <c:v>Nov 2048</c:v>
                </c:pt>
                <c:pt idx="275">
                  <c:v>Dec 2048</c:v>
                </c:pt>
                <c:pt idx="276">
                  <c:v>Jan 2049</c:v>
                </c:pt>
                <c:pt idx="277">
                  <c:v>Feb 2049</c:v>
                </c:pt>
              </c:strCache>
            </c:strRef>
          </c:cat>
          <c:val>
            <c:numRef>
              <c:f>Calculator!$O$3:$O$362</c:f>
              <c:numCache>
                <c:formatCode>\$#,##0.00</c:formatCode>
                <c:ptCount val="360"/>
                <c:pt idx="0">
                  <c:v>3446.67</c:v>
                </c:pt>
                <c:pt idx="1">
                  <c:v>6888.1100000000006</c:v>
                </c:pt>
                <c:pt idx="2">
                  <c:v>10324.290000000001</c:v>
                </c:pt>
                <c:pt idx="3">
                  <c:v>13755.19</c:v>
                </c:pt>
                <c:pt idx="4">
                  <c:v>17180.78</c:v>
                </c:pt>
                <c:pt idx="5">
                  <c:v>20601.04</c:v>
                </c:pt>
                <c:pt idx="6">
                  <c:v>24015.940000000002</c:v>
                </c:pt>
                <c:pt idx="7">
                  <c:v>27425.450000000004</c:v>
                </c:pt>
                <c:pt idx="8">
                  <c:v>30829.550000000003</c:v>
                </c:pt>
                <c:pt idx="9">
                  <c:v>34228.210000000006</c:v>
                </c:pt>
                <c:pt idx="10">
                  <c:v>37621.410000000003</c:v>
                </c:pt>
                <c:pt idx="11">
                  <c:v>41009.11</c:v>
                </c:pt>
                <c:pt idx="12">
                  <c:v>44391.29</c:v>
                </c:pt>
                <c:pt idx="13">
                  <c:v>47767.93</c:v>
                </c:pt>
                <c:pt idx="14">
                  <c:v>51138.99</c:v>
                </c:pt>
                <c:pt idx="15">
                  <c:v>54504.45</c:v>
                </c:pt>
                <c:pt idx="16">
                  <c:v>57864.289999999994</c:v>
                </c:pt>
                <c:pt idx="17">
                  <c:v>61218.469999999994</c:v>
                </c:pt>
                <c:pt idx="18">
                  <c:v>64566.969999999994</c:v>
                </c:pt>
                <c:pt idx="19">
                  <c:v>67909.759999999995</c:v>
                </c:pt>
                <c:pt idx="20">
                  <c:v>71246.81</c:v>
                </c:pt>
                <c:pt idx="21">
                  <c:v>74578.09</c:v>
                </c:pt>
                <c:pt idx="22">
                  <c:v>77903.58</c:v>
                </c:pt>
                <c:pt idx="23">
                  <c:v>81223.240000000005</c:v>
                </c:pt>
                <c:pt idx="24">
                  <c:v>84537.05</c:v>
                </c:pt>
                <c:pt idx="25">
                  <c:v>87844.98</c:v>
                </c:pt>
                <c:pt idx="26">
                  <c:v>91147</c:v>
                </c:pt>
                <c:pt idx="27">
                  <c:v>94443.08</c:v>
                </c:pt>
                <c:pt idx="28">
                  <c:v>97733.19</c:v>
                </c:pt>
                <c:pt idx="29">
                  <c:v>101017.31</c:v>
                </c:pt>
                <c:pt idx="30">
                  <c:v>104295.4</c:v>
                </c:pt>
                <c:pt idx="31">
                  <c:v>107567.43</c:v>
                </c:pt>
                <c:pt idx="32">
                  <c:v>110833.37999999999</c:v>
                </c:pt>
                <c:pt idx="33">
                  <c:v>114093.20999999999</c:v>
                </c:pt>
                <c:pt idx="34">
                  <c:v>117346.9</c:v>
                </c:pt>
                <c:pt idx="35">
                  <c:v>120594.40999999999</c:v>
                </c:pt>
                <c:pt idx="36">
                  <c:v>123835.71999999999</c:v>
                </c:pt>
                <c:pt idx="37">
                  <c:v>127070.79</c:v>
                </c:pt>
                <c:pt idx="38">
                  <c:v>130299.59999999999</c:v>
                </c:pt>
                <c:pt idx="39">
                  <c:v>133522.10999999999</c:v>
                </c:pt>
                <c:pt idx="40">
                  <c:v>136738.28999999998</c:v>
                </c:pt>
                <c:pt idx="41">
                  <c:v>139948.10999999999</c:v>
                </c:pt>
                <c:pt idx="42">
                  <c:v>143151.53999999998</c:v>
                </c:pt>
                <c:pt idx="43">
                  <c:v>146348.54999999999</c:v>
                </c:pt>
                <c:pt idx="44">
                  <c:v>149539.10999999999</c:v>
                </c:pt>
                <c:pt idx="45">
                  <c:v>152723.18</c:v>
                </c:pt>
                <c:pt idx="46">
                  <c:v>155900.74</c:v>
                </c:pt>
                <c:pt idx="47">
                  <c:v>159071.75</c:v>
                </c:pt>
                <c:pt idx="48">
                  <c:v>162236.18</c:v>
                </c:pt>
                <c:pt idx="49">
                  <c:v>165271.6</c:v>
                </c:pt>
                <c:pt idx="50">
                  <c:v>168299.78</c:v>
                </c:pt>
                <c:pt idx="51">
                  <c:v>171320.68</c:v>
                </c:pt>
                <c:pt idx="52">
                  <c:v>174334.25999999998</c:v>
                </c:pt>
                <c:pt idx="53">
                  <c:v>177340.49</c:v>
                </c:pt>
                <c:pt idx="54">
                  <c:v>180339.34</c:v>
                </c:pt>
                <c:pt idx="55">
                  <c:v>183330.76</c:v>
                </c:pt>
                <c:pt idx="56">
                  <c:v>186314.73</c:v>
                </c:pt>
                <c:pt idx="57">
                  <c:v>189291.2</c:v>
                </c:pt>
                <c:pt idx="58">
                  <c:v>192260.14</c:v>
                </c:pt>
                <c:pt idx="59">
                  <c:v>195221.51</c:v>
                </c:pt>
                <c:pt idx="60">
                  <c:v>198175.27000000002</c:v>
                </c:pt>
                <c:pt idx="61">
                  <c:v>201121.39</c:v>
                </c:pt>
                <c:pt idx="62">
                  <c:v>204059.83000000002</c:v>
                </c:pt>
                <c:pt idx="63">
                  <c:v>206990.55000000002</c:v>
                </c:pt>
                <c:pt idx="64">
                  <c:v>209913.51</c:v>
                </c:pt>
                <c:pt idx="65">
                  <c:v>212828.68000000002</c:v>
                </c:pt>
                <c:pt idx="66">
                  <c:v>215736.02000000002</c:v>
                </c:pt>
                <c:pt idx="67">
                  <c:v>218635.48</c:v>
                </c:pt>
                <c:pt idx="68">
                  <c:v>221527.03</c:v>
                </c:pt>
                <c:pt idx="69">
                  <c:v>224410.63999999998</c:v>
                </c:pt>
                <c:pt idx="70">
                  <c:v>227286.25999999998</c:v>
                </c:pt>
                <c:pt idx="71">
                  <c:v>230153.84999999998</c:v>
                </c:pt>
                <c:pt idx="72">
                  <c:v>233013.37999999998</c:v>
                </c:pt>
                <c:pt idx="73">
                  <c:v>235864.8</c:v>
                </c:pt>
                <c:pt idx="74">
                  <c:v>238708.08</c:v>
                </c:pt>
                <c:pt idx="75">
                  <c:v>241543.16999999998</c:v>
                </c:pt>
                <c:pt idx="76">
                  <c:v>244370.03999999998</c:v>
                </c:pt>
                <c:pt idx="77">
                  <c:v>247188.63999999998</c:v>
                </c:pt>
                <c:pt idx="78">
                  <c:v>249998.93999999997</c:v>
                </c:pt>
                <c:pt idx="79">
                  <c:v>252800.88999999998</c:v>
                </c:pt>
                <c:pt idx="80">
                  <c:v>255594.46</c:v>
                </c:pt>
                <c:pt idx="81">
                  <c:v>258379.6</c:v>
                </c:pt>
                <c:pt idx="82">
                  <c:v>261156.27000000002</c:v>
                </c:pt>
                <c:pt idx="83">
                  <c:v>263924.43</c:v>
                </c:pt>
                <c:pt idx="84">
                  <c:v>266684.03999999998</c:v>
                </c:pt>
                <c:pt idx="85">
                  <c:v>269435.05</c:v>
                </c:pt>
                <c:pt idx="86">
                  <c:v>272177.43</c:v>
                </c:pt>
                <c:pt idx="87">
                  <c:v>274911.13</c:v>
                </c:pt>
                <c:pt idx="88">
                  <c:v>277636.11</c:v>
                </c:pt>
                <c:pt idx="89">
                  <c:v>280352.32</c:v>
                </c:pt>
                <c:pt idx="90">
                  <c:v>283059.73</c:v>
                </c:pt>
                <c:pt idx="91">
                  <c:v>285758.28999999998</c:v>
                </c:pt>
                <c:pt idx="92">
                  <c:v>288447.94999999995</c:v>
                </c:pt>
                <c:pt idx="93">
                  <c:v>291128.67999999993</c:v>
                </c:pt>
                <c:pt idx="94">
                  <c:v>293800.42999999993</c:v>
                </c:pt>
                <c:pt idx="95">
                  <c:v>296463.14999999991</c:v>
                </c:pt>
                <c:pt idx="96">
                  <c:v>299116.80999999988</c:v>
                </c:pt>
                <c:pt idx="97">
                  <c:v>301761.34999999986</c:v>
                </c:pt>
                <c:pt idx="98">
                  <c:v>304396.72999999986</c:v>
                </c:pt>
                <c:pt idx="99">
                  <c:v>307022.90999999986</c:v>
                </c:pt>
                <c:pt idx="100">
                  <c:v>309639.84999999986</c:v>
                </c:pt>
                <c:pt idx="101">
                  <c:v>312247.48999999987</c:v>
                </c:pt>
                <c:pt idx="102">
                  <c:v>314845.78999999986</c:v>
                </c:pt>
                <c:pt idx="103">
                  <c:v>317434.70999999985</c:v>
                </c:pt>
                <c:pt idx="104">
                  <c:v>320014.19999999984</c:v>
                </c:pt>
                <c:pt idx="105">
                  <c:v>322584.20999999985</c:v>
                </c:pt>
                <c:pt idx="106">
                  <c:v>325144.69999999984</c:v>
                </c:pt>
                <c:pt idx="107">
                  <c:v>327695.61999999982</c:v>
                </c:pt>
                <c:pt idx="108">
                  <c:v>330236.92999999982</c:v>
                </c:pt>
                <c:pt idx="109">
                  <c:v>332768.56999999983</c:v>
                </c:pt>
                <c:pt idx="110">
                  <c:v>335290.49999999983</c:v>
                </c:pt>
                <c:pt idx="111">
                  <c:v>337802.67999999982</c:v>
                </c:pt>
                <c:pt idx="112">
                  <c:v>340305.04999999981</c:v>
                </c:pt>
                <c:pt idx="113">
                  <c:v>342797.56999999983</c:v>
                </c:pt>
                <c:pt idx="114">
                  <c:v>345280.18999999983</c:v>
                </c:pt>
                <c:pt idx="115">
                  <c:v>347752.85999999981</c:v>
                </c:pt>
                <c:pt idx="116">
                  <c:v>350215.5299999998</c:v>
                </c:pt>
                <c:pt idx="117">
                  <c:v>352668.14999999979</c:v>
                </c:pt>
                <c:pt idx="118">
                  <c:v>355110.66999999981</c:v>
                </c:pt>
                <c:pt idx="119">
                  <c:v>357543.04999999981</c:v>
                </c:pt>
                <c:pt idx="120">
                  <c:v>359965.22999999981</c:v>
                </c:pt>
                <c:pt idx="121">
                  <c:v>362377.1599999998</c:v>
                </c:pt>
                <c:pt idx="122">
                  <c:v>364778.79999999981</c:v>
                </c:pt>
                <c:pt idx="123">
                  <c:v>367170.08999999979</c:v>
                </c:pt>
                <c:pt idx="124">
                  <c:v>369550.97999999981</c:v>
                </c:pt>
                <c:pt idx="125">
                  <c:v>371921.41999999981</c:v>
                </c:pt>
                <c:pt idx="126">
                  <c:v>374281.36999999982</c:v>
                </c:pt>
                <c:pt idx="127">
                  <c:v>376630.75999999983</c:v>
                </c:pt>
                <c:pt idx="128">
                  <c:v>378969.54999999981</c:v>
                </c:pt>
                <c:pt idx="129">
                  <c:v>381297.68999999983</c:v>
                </c:pt>
                <c:pt idx="130">
                  <c:v>383615.11999999982</c:v>
                </c:pt>
                <c:pt idx="131">
                  <c:v>385921.7899999998</c:v>
                </c:pt>
                <c:pt idx="132">
                  <c:v>388217.64999999979</c:v>
                </c:pt>
                <c:pt idx="133">
                  <c:v>390502.64999999979</c:v>
                </c:pt>
                <c:pt idx="134">
                  <c:v>392776.72999999981</c:v>
                </c:pt>
                <c:pt idx="135">
                  <c:v>395039.83999999979</c:v>
                </c:pt>
                <c:pt idx="136">
                  <c:v>397291.91999999981</c:v>
                </c:pt>
                <c:pt idx="137">
                  <c:v>399532.91999999981</c:v>
                </c:pt>
                <c:pt idx="138">
                  <c:v>401762.7899999998</c:v>
                </c:pt>
                <c:pt idx="139">
                  <c:v>403981.4699999998</c:v>
                </c:pt>
                <c:pt idx="140">
                  <c:v>406188.9099999998</c:v>
                </c:pt>
                <c:pt idx="141">
                  <c:v>408385.04999999981</c:v>
                </c:pt>
                <c:pt idx="142">
                  <c:v>410569.83999999979</c:v>
                </c:pt>
                <c:pt idx="143">
                  <c:v>412743.2199999998</c:v>
                </c:pt>
                <c:pt idx="144">
                  <c:v>414905.13999999978</c:v>
                </c:pt>
                <c:pt idx="145">
                  <c:v>417055.5399999998</c:v>
                </c:pt>
                <c:pt idx="146">
                  <c:v>419194.35999999981</c:v>
                </c:pt>
                <c:pt idx="147">
                  <c:v>421321.54999999981</c:v>
                </c:pt>
                <c:pt idx="148">
                  <c:v>423437.04999999981</c:v>
                </c:pt>
                <c:pt idx="149">
                  <c:v>425540.79999999981</c:v>
                </c:pt>
                <c:pt idx="150">
                  <c:v>427632.73999999982</c:v>
                </c:pt>
                <c:pt idx="151">
                  <c:v>429712.81999999983</c:v>
                </c:pt>
                <c:pt idx="152">
                  <c:v>431780.97999999981</c:v>
                </c:pt>
                <c:pt idx="153">
                  <c:v>433837.1599999998</c:v>
                </c:pt>
                <c:pt idx="154">
                  <c:v>435881.29999999981</c:v>
                </c:pt>
                <c:pt idx="155">
                  <c:v>437913.3499999998</c:v>
                </c:pt>
                <c:pt idx="156">
                  <c:v>439933.23999999982</c:v>
                </c:pt>
                <c:pt idx="157">
                  <c:v>441940.9099999998</c:v>
                </c:pt>
                <c:pt idx="158">
                  <c:v>443936.30999999982</c:v>
                </c:pt>
                <c:pt idx="159">
                  <c:v>445919.36999999982</c:v>
                </c:pt>
                <c:pt idx="160">
                  <c:v>447890.0399999998</c:v>
                </c:pt>
                <c:pt idx="161">
                  <c:v>449848.24999999983</c:v>
                </c:pt>
                <c:pt idx="162">
                  <c:v>451793.93999999983</c:v>
                </c:pt>
                <c:pt idx="163">
                  <c:v>453727.04999999981</c:v>
                </c:pt>
                <c:pt idx="164">
                  <c:v>455647.51999999979</c:v>
                </c:pt>
                <c:pt idx="165">
                  <c:v>457555.2899999998</c:v>
                </c:pt>
                <c:pt idx="166">
                  <c:v>459450.29999999981</c:v>
                </c:pt>
                <c:pt idx="167">
                  <c:v>461332.47999999981</c:v>
                </c:pt>
                <c:pt idx="168">
                  <c:v>463201.76999999979</c:v>
                </c:pt>
                <c:pt idx="169">
                  <c:v>465058.10999999981</c:v>
                </c:pt>
                <c:pt idx="170">
                  <c:v>466901.42999999982</c:v>
                </c:pt>
                <c:pt idx="171">
                  <c:v>468731.66999999981</c:v>
                </c:pt>
                <c:pt idx="172">
                  <c:v>470548.76999999979</c:v>
                </c:pt>
                <c:pt idx="173">
                  <c:v>472352.6599999998</c:v>
                </c:pt>
                <c:pt idx="174">
                  <c:v>474143.2799999998</c:v>
                </c:pt>
                <c:pt idx="175">
                  <c:v>475920.55999999982</c:v>
                </c:pt>
                <c:pt idx="176">
                  <c:v>477684.42999999982</c:v>
                </c:pt>
                <c:pt idx="177">
                  <c:v>479434.82999999984</c:v>
                </c:pt>
                <c:pt idx="178">
                  <c:v>481171.69999999984</c:v>
                </c:pt>
                <c:pt idx="179">
                  <c:v>482894.96999999986</c:v>
                </c:pt>
                <c:pt idx="180">
                  <c:v>484604.56999999983</c:v>
                </c:pt>
                <c:pt idx="181">
                  <c:v>486300.43999999983</c:v>
                </c:pt>
                <c:pt idx="182">
                  <c:v>487982.49999999983</c:v>
                </c:pt>
                <c:pt idx="183">
                  <c:v>489650.68999999983</c:v>
                </c:pt>
                <c:pt idx="184">
                  <c:v>491304.94999999984</c:v>
                </c:pt>
                <c:pt idx="185">
                  <c:v>492945.19999999984</c:v>
                </c:pt>
                <c:pt idx="186">
                  <c:v>494571.37999999983</c:v>
                </c:pt>
                <c:pt idx="187">
                  <c:v>496183.40999999986</c:v>
                </c:pt>
                <c:pt idx="188">
                  <c:v>497781.22999999986</c:v>
                </c:pt>
                <c:pt idx="189">
                  <c:v>499364.76999999984</c:v>
                </c:pt>
                <c:pt idx="190">
                  <c:v>500933.95999999985</c:v>
                </c:pt>
                <c:pt idx="191">
                  <c:v>502488.71999999986</c:v>
                </c:pt>
                <c:pt idx="192">
                  <c:v>504028.98999999987</c:v>
                </c:pt>
                <c:pt idx="193">
                  <c:v>505554.6999999999</c:v>
                </c:pt>
                <c:pt idx="194">
                  <c:v>507065.7699999999</c:v>
                </c:pt>
                <c:pt idx="195">
                  <c:v>508562.1399999999</c:v>
                </c:pt>
                <c:pt idx="196">
                  <c:v>510043.72999999992</c:v>
                </c:pt>
                <c:pt idx="197">
                  <c:v>511510.46999999991</c:v>
                </c:pt>
                <c:pt idx="198">
                  <c:v>512962.27999999991</c:v>
                </c:pt>
                <c:pt idx="199">
                  <c:v>514399.09999999992</c:v>
                </c:pt>
                <c:pt idx="200">
                  <c:v>515820.84999999992</c:v>
                </c:pt>
                <c:pt idx="201">
                  <c:v>517227.4499999999</c:v>
                </c:pt>
                <c:pt idx="202">
                  <c:v>518618.8299999999</c:v>
                </c:pt>
                <c:pt idx="203">
                  <c:v>519994.91999999993</c:v>
                </c:pt>
                <c:pt idx="204">
                  <c:v>521355.6399999999</c:v>
                </c:pt>
                <c:pt idx="205">
                  <c:v>522700.91999999993</c:v>
                </c:pt>
                <c:pt idx="206">
                  <c:v>524030.67999999993</c:v>
                </c:pt>
                <c:pt idx="207">
                  <c:v>525344.85</c:v>
                </c:pt>
                <c:pt idx="208">
                  <c:v>526643.35</c:v>
                </c:pt>
                <c:pt idx="209">
                  <c:v>527926.1</c:v>
                </c:pt>
                <c:pt idx="210">
                  <c:v>529193.02</c:v>
                </c:pt>
                <c:pt idx="211">
                  <c:v>530444.04</c:v>
                </c:pt>
                <c:pt idx="212">
                  <c:v>531679.08000000007</c:v>
                </c:pt>
                <c:pt idx="213">
                  <c:v>532898.06000000006</c:v>
                </c:pt>
                <c:pt idx="214">
                  <c:v>534100.91</c:v>
                </c:pt>
                <c:pt idx="215">
                  <c:v>535287.54</c:v>
                </c:pt>
                <c:pt idx="216">
                  <c:v>536457.88</c:v>
                </c:pt>
                <c:pt idx="217">
                  <c:v>537611.84</c:v>
                </c:pt>
                <c:pt idx="218">
                  <c:v>538749.35</c:v>
                </c:pt>
                <c:pt idx="219">
                  <c:v>539870.31999999995</c:v>
                </c:pt>
                <c:pt idx="220">
                  <c:v>540974.66999999993</c:v>
                </c:pt>
                <c:pt idx="221">
                  <c:v>542062.32999999996</c:v>
                </c:pt>
                <c:pt idx="222">
                  <c:v>543133.21</c:v>
                </c:pt>
                <c:pt idx="223">
                  <c:v>544187.23</c:v>
                </c:pt>
                <c:pt idx="224">
                  <c:v>545224.29999999993</c:v>
                </c:pt>
                <c:pt idx="225">
                  <c:v>546244.34</c:v>
                </c:pt>
                <c:pt idx="226">
                  <c:v>547247.27</c:v>
                </c:pt>
                <c:pt idx="227">
                  <c:v>548233.01</c:v>
                </c:pt>
                <c:pt idx="228">
                  <c:v>549201.47</c:v>
                </c:pt>
                <c:pt idx="229">
                  <c:v>550152.56999999995</c:v>
                </c:pt>
                <c:pt idx="230">
                  <c:v>551086.22</c:v>
                </c:pt>
                <c:pt idx="231">
                  <c:v>552002.32999999996</c:v>
                </c:pt>
                <c:pt idx="232">
                  <c:v>552900.81999999995</c:v>
                </c:pt>
                <c:pt idx="233">
                  <c:v>553781.61</c:v>
                </c:pt>
                <c:pt idx="234">
                  <c:v>554644.61</c:v>
                </c:pt>
                <c:pt idx="235">
                  <c:v>555489.73</c:v>
                </c:pt>
                <c:pt idx="236">
                  <c:v>556316.88</c:v>
                </c:pt>
                <c:pt idx="237">
                  <c:v>557125.97</c:v>
                </c:pt>
                <c:pt idx="238">
                  <c:v>557916.91999999993</c:v>
                </c:pt>
                <c:pt idx="239">
                  <c:v>558689.6399999999</c:v>
                </c:pt>
                <c:pt idx="240">
                  <c:v>559444.03999999992</c:v>
                </c:pt>
                <c:pt idx="241">
                  <c:v>560180.02999999991</c:v>
                </c:pt>
                <c:pt idx="242">
                  <c:v>560897.50999999989</c:v>
                </c:pt>
                <c:pt idx="243">
                  <c:v>561596.39999999991</c:v>
                </c:pt>
                <c:pt idx="244">
                  <c:v>562276.60999999987</c:v>
                </c:pt>
                <c:pt idx="245">
                  <c:v>562938.03999999992</c:v>
                </c:pt>
                <c:pt idx="246">
                  <c:v>563580.60999999987</c:v>
                </c:pt>
                <c:pt idx="247">
                  <c:v>564204.21999999986</c:v>
                </c:pt>
                <c:pt idx="248">
                  <c:v>564808.77999999991</c:v>
                </c:pt>
                <c:pt idx="249">
                  <c:v>565394.18999999994</c:v>
                </c:pt>
                <c:pt idx="250">
                  <c:v>565960.36</c:v>
                </c:pt>
                <c:pt idx="251">
                  <c:v>566507.19999999995</c:v>
                </c:pt>
                <c:pt idx="252">
                  <c:v>567034.61</c:v>
                </c:pt>
                <c:pt idx="253">
                  <c:v>567542.5</c:v>
                </c:pt>
                <c:pt idx="254">
                  <c:v>568030.77</c:v>
                </c:pt>
                <c:pt idx="255">
                  <c:v>568499.33000000007</c:v>
                </c:pt>
                <c:pt idx="256">
                  <c:v>568948.08000000007</c:v>
                </c:pt>
                <c:pt idx="257">
                  <c:v>569376.92000000004</c:v>
                </c:pt>
                <c:pt idx="258">
                  <c:v>569785.76</c:v>
                </c:pt>
                <c:pt idx="259">
                  <c:v>570174.49</c:v>
                </c:pt>
                <c:pt idx="260">
                  <c:v>570543.02</c:v>
                </c:pt>
                <c:pt idx="261">
                  <c:v>570891.25</c:v>
                </c:pt>
                <c:pt idx="262">
                  <c:v>571219.07999999996</c:v>
                </c:pt>
                <c:pt idx="263">
                  <c:v>571526.40999999992</c:v>
                </c:pt>
                <c:pt idx="264">
                  <c:v>571813.1399999999</c:v>
                </c:pt>
                <c:pt idx="265">
                  <c:v>572079.16999999993</c:v>
                </c:pt>
                <c:pt idx="266">
                  <c:v>572324.39999999991</c:v>
                </c:pt>
                <c:pt idx="267">
                  <c:v>572548.71999999986</c:v>
                </c:pt>
                <c:pt idx="268">
                  <c:v>572752.0399999998</c:v>
                </c:pt>
                <c:pt idx="269">
                  <c:v>572934.24999999977</c:v>
                </c:pt>
                <c:pt idx="270">
                  <c:v>573095.24999999977</c:v>
                </c:pt>
                <c:pt idx="271">
                  <c:v>573234.92999999982</c:v>
                </c:pt>
                <c:pt idx="272">
                  <c:v>573353.18999999983</c:v>
                </c:pt>
                <c:pt idx="273">
                  <c:v>573449.91999999981</c:v>
                </c:pt>
                <c:pt idx="274">
                  <c:v>573525.01999999979</c:v>
                </c:pt>
                <c:pt idx="275">
                  <c:v>573578.37999999977</c:v>
                </c:pt>
                <c:pt idx="276">
                  <c:v>573609.89999999979</c:v>
                </c:pt>
                <c:pt idx="277">
                  <c:v>573619.46999999974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22-B941-82BE-4328F2380102}"/>
            </c:ext>
          </c:extLst>
        </c:ser>
        <c:ser>
          <c:idx val="2"/>
          <c:order val="2"/>
          <c:tx>
            <c:strRef>
              <c:f>Calculator!$L$2</c:f>
              <c:strCache>
                <c:ptCount val="1"/>
                <c:pt idx="0">
                  <c:v>Ending Balance</c:v>
                </c:pt>
              </c:strCache>
            </c:strRef>
          </c:tx>
          <c:spPr>
            <a:ln w="28000">
              <a:solidFill>
                <a:srgbClr val="00BA38"/>
              </a:solidFill>
              <a:prstDash val="solid"/>
            </a:ln>
          </c:spPr>
          <c:marker>
            <c:symbol val="none"/>
          </c:marker>
          <c:cat>
            <c:strRef>
              <c:f>Calculator!$I$3:$I$362</c:f>
              <c:strCache>
                <c:ptCount val="278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  <c:pt idx="24">
                  <c:v>Jan 2028</c:v>
                </c:pt>
                <c:pt idx="25">
                  <c:v>Feb 2028</c:v>
                </c:pt>
                <c:pt idx="26">
                  <c:v>Mar 2028</c:v>
                </c:pt>
                <c:pt idx="27">
                  <c:v>Apr 2028</c:v>
                </c:pt>
                <c:pt idx="28">
                  <c:v>May 2028</c:v>
                </c:pt>
                <c:pt idx="29">
                  <c:v>Jun 2028</c:v>
                </c:pt>
                <c:pt idx="30">
                  <c:v>Jul 2028</c:v>
                </c:pt>
                <c:pt idx="31">
                  <c:v>Aug 2028</c:v>
                </c:pt>
                <c:pt idx="32">
                  <c:v>Sep 2028</c:v>
                </c:pt>
                <c:pt idx="33">
                  <c:v>Oct 2028</c:v>
                </c:pt>
                <c:pt idx="34">
                  <c:v>Nov 2028</c:v>
                </c:pt>
                <c:pt idx="35">
                  <c:v>Dec 2028</c:v>
                </c:pt>
                <c:pt idx="36">
                  <c:v>Jan 2029</c:v>
                </c:pt>
                <c:pt idx="37">
                  <c:v>Feb 2029</c:v>
                </c:pt>
                <c:pt idx="38">
                  <c:v>Mar 2029</c:v>
                </c:pt>
                <c:pt idx="39">
                  <c:v>Apr 2029</c:v>
                </c:pt>
                <c:pt idx="40">
                  <c:v>May 2029</c:v>
                </c:pt>
                <c:pt idx="41">
                  <c:v>Jun 2029</c:v>
                </c:pt>
                <c:pt idx="42">
                  <c:v>Jul 2029</c:v>
                </c:pt>
                <c:pt idx="43">
                  <c:v>Aug 2029</c:v>
                </c:pt>
                <c:pt idx="44">
                  <c:v>Sep 2029</c:v>
                </c:pt>
                <c:pt idx="45">
                  <c:v>Oct 2029</c:v>
                </c:pt>
                <c:pt idx="46">
                  <c:v>Nov 2029</c:v>
                </c:pt>
                <c:pt idx="47">
                  <c:v>Dec 2029</c:v>
                </c:pt>
                <c:pt idx="48">
                  <c:v>Jan 2030</c:v>
                </c:pt>
                <c:pt idx="49">
                  <c:v>Feb 2030</c:v>
                </c:pt>
                <c:pt idx="50">
                  <c:v>Mar 2030</c:v>
                </c:pt>
                <c:pt idx="51">
                  <c:v>Apr 2030</c:v>
                </c:pt>
                <c:pt idx="52">
                  <c:v>May 2030</c:v>
                </c:pt>
                <c:pt idx="53">
                  <c:v>Jun 2030</c:v>
                </c:pt>
                <c:pt idx="54">
                  <c:v>Jul 2030</c:v>
                </c:pt>
                <c:pt idx="55">
                  <c:v>Aug 2030</c:v>
                </c:pt>
                <c:pt idx="56">
                  <c:v>Sep 2030</c:v>
                </c:pt>
                <c:pt idx="57">
                  <c:v>Oct 2030</c:v>
                </c:pt>
                <c:pt idx="58">
                  <c:v>Nov 2030</c:v>
                </c:pt>
                <c:pt idx="59">
                  <c:v>Dec 2030</c:v>
                </c:pt>
                <c:pt idx="60">
                  <c:v>Jan 2031</c:v>
                </c:pt>
                <c:pt idx="61">
                  <c:v>Feb 2031</c:v>
                </c:pt>
                <c:pt idx="62">
                  <c:v>Mar 2031</c:v>
                </c:pt>
                <c:pt idx="63">
                  <c:v>Apr 2031</c:v>
                </c:pt>
                <c:pt idx="64">
                  <c:v>May 2031</c:v>
                </c:pt>
                <c:pt idx="65">
                  <c:v>Jun 2031</c:v>
                </c:pt>
                <c:pt idx="66">
                  <c:v>Jul 2031</c:v>
                </c:pt>
                <c:pt idx="67">
                  <c:v>Aug 2031</c:v>
                </c:pt>
                <c:pt idx="68">
                  <c:v>Sep 2031</c:v>
                </c:pt>
                <c:pt idx="69">
                  <c:v>Oct 2031</c:v>
                </c:pt>
                <c:pt idx="70">
                  <c:v>Nov 2031</c:v>
                </c:pt>
                <c:pt idx="71">
                  <c:v>Dec 2031</c:v>
                </c:pt>
                <c:pt idx="72">
                  <c:v>Jan 2032</c:v>
                </c:pt>
                <c:pt idx="73">
                  <c:v>Feb 2032</c:v>
                </c:pt>
                <c:pt idx="74">
                  <c:v>Mar 2032</c:v>
                </c:pt>
                <c:pt idx="75">
                  <c:v>Apr 2032</c:v>
                </c:pt>
                <c:pt idx="76">
                  <c:v>May 2032</c:v>
                </c:pt>
                <c:pt idx="77">
                  <c:v>Jun 2032</c:v>
                </c:pt>
                <c:pt idx="78">
                  <c:v>Jul 2032</c:v>
                </c:pt>
                <c:pt idx="79">
                  <c:v>Aug 2032</c:v>
                </c:pt>
                <c:pt idx="80">
                  <c:v>Sep 2032</c:v>
                </c:pt>
                <c:pt idx="81">
                  <c:v>Oct 2032</c:v>
                </c:pt>
                <c:pt idx="82">
                  <c:v>Nov 2032</c:v>
                </c:pt>
                <c:pt idx="83">
                  <c:v>Dec 2032</c:v>
                </c:pt>
                <c:pt idx="84">
                  <c:v>Jan 2033</c:v>
                </c:pt>
                <c:pt idx="85">
                  <c:v>Feb 2033</c:v>
                </c:pt>
                <c:pt idx="86">
                  <c:v>Mar 2033</c:v>
                </c:pt>
                <c:pt idx="87">
                  <c:v>Apr 2033</c:v>
                </c:pt>
                <c:pt idx="88">
                  <c:v>May 2033</c:v>
                </c:pt>
                <c:pt idx="89">
                  <c:v>Jun 2033</c:v>
                </c:pt>
                <c:pt idx="90">
                  <c:v>Jul 2033</c:v>
                </c:pt>
                <c:pt idx="91">
                  <c:v>Aug 2033</c:v>
                </c:pt>
                <c:pt idx="92">
                  <c:v>Sep 2033</c:v>
                </c:pt>
                <c:pt idx="93">
                  <c:v>Oct 2033</c:v>
                </c:pt>
                <c:pt idx="94">
                  <c:v>Nov 2033</c:v>
                </c:pt>
                <c:pt idx="95">
                  <c:v>Dec 2033</c:v>
                </c:pt>
                <c:pt idx="96">
                  <c:v>Jan 2034</c:v>
                </c:pt>
                <c:pt idx="97">
                  <c:v>Feb 2034</c:v>
                </c:pt>
                <c:pt idx="98">
                  <c:v>Mar 2034</c:v>
                </c:pt>
                <c:pt idx="99">
                  <c:v>Apr 2034</c:v>
                </c:pt>
                <c:pt idx="100">
                  <c:v>May 2034</c:v>
                </c:pt>
                <c:pt idx="101">
                  <c:v>Jun 2034</c:v>
                </c:pt>
                <c:pt idx="102">
                  <c:v>Jul 2034</c:v>
                </c:pt>
                <c:pt idx="103">
                  <c:v>Aug 2034</c:v>
                </c:pt>
                <c:pt idx="104">
                  <c:v>Sep 2034</c:v>
                </c:pt>
                <c:pt idx="105">
                  <c:v>Oct 2034</c:v>
                </c:pt>
                <c:pt idx="106">
                  <c:v>Nov 2034</c:v>
                </c:pt>
                <c:pt idx="107">
                  <c:v>Dec 2034</c:v>
                </c:pt>
                <c:pt idx="108">
                  <c:v>Jan 2035</c:v>
                </c:pt>
                <c:pt idx="109">
                  <c:v>Feb 2035</c:v>
                </c:pt>
                <c:pt idx="110">
                  <c:v>Mar 2035</c:v>
                </c:pt>
                <c:pt idx="111">
                  <c:v>Apr 2035</c:v>
                </c:pt>
                <c:pt idx="112">
                  <c:v>May 2035</c:v>
                </c:pt>
                <c:pt idx="113">
                  <c:v>Jun 2035</c:v>
                </c:pt>
                <c:pt idx="114">
                  <c:v>Jul 2035</c:v>
                </c:pt>
                <c:pt idx="115">
                  <c:v>Aug 2035</c:v>
                </c:pt>
                <c:pt idx="116">
                  <c:v>Sep 2035</c:v>
                </c:pt>
                <c:pt idx="117">
                  <c:v>Oct 2035</c:v>
                </c:pt>
                <c:pt idx="118">
                  <c:v>Nov 2035</c:v>
                </c:pt>
                <c:pt idx="119">
                  <c:v>Dec 2035</c:v>
                </c:pt>
                <c:pt idx="120">
                  <c:v>Jan 2036</c:v>
                </c:pt>
                <c:pt idx="121">
                  <c:v>Feb 2036</c:v>
                </c:pt>
                <c:pt idx="122">
                  <c:v>Mar 2036</c:v>
                </c:pt>
                <c:pt idx="123">
                  <c:v>Apr 2036</c:v>
                </c:pt>
                <c:pt idx="124">
                  <c:v>May 2036</c:v>
                </c:pt>
                <c:pt idx="125">
                  <c:v>Jun 2036</c:v>
                </c:pt>
                <c:pt idx="126">
                  <c:v>Jul 2036</c:v>
                </c:pt>
                <c:pt idx="127">
                  <c:v>Aug 2036</c:v>
                </c:pt>
                <c:pt idx="128">
                  <c:v>Sep 2036</c:v>
                </c:pt>
                <c:pt idx="129">
                  <c:v>Oct 2036</c:v>
                </c:pt>
                <c:pt idx="130">
                  <c:v>Nov 2036</c:v>
                </c:pt>
                <c:pt idx="131">
                  <c:v>Dec 2036</c:v>
                </c:pt>
                <c:pt idx="132">
                  <c:v>Jan 2037</c:v>
                </c:pt>
                <c:pt idx="133">
                  <c:v>Feb 2037</c:v>
                </c:pt>
                <c:pt idx="134">
                  <c:v>Mar 2037</c:v>
                </c:pt>
                <c:pt idx="135">
                  <c:v>Apr 2037</c:v>
                </c:pt>
                <c:pt idx="136">
                  <c:v>May 2037</c:v>
                </c:pt>
                <c:pt idx="137">
                  <c:v>Jun 2037</c:v>
                </c:pt>
                <c:pt idx="138">
                  <c:v>Jul 2037</c:v>
                </c:pt>
                <c:pt idx="139">
                  <c:v>Aug 2037</c:v>
                </c:pt>
                <c:pt idx="140">
                  <c:v>Sep 2037</c:v>
                </c:pt>
                <c:pt idx="141">
                  <c:v>Oct 2037</c:v>
                </c:pt>
                <c:pt idx="142">
                  <c:v>Nov 2037</c:v>
                </c:pt>
                <c:pt idx="143">
                  <c:v>Dec 2037</c:v>
                </c:pt>
                <c:pt idx="144">
                  <c:v>Jan 2038</c:v>
                </c:pt>
                <c:pt idx="145">
                  <c:v>Feb 2038</c:v>
                </c:pt>
                <c:pt idx="146">
                  <c:v>Mar 2038</c:v>
                </c:pt>
                <c:pt idx="147">
                  <c:v>Apr 2038</c:v>
                </c:pt>
                <c:pt idx="148">
                  <c:v>May 2038</c:v>
                </c:pt>
                <c:pt idx="149">
                  <c:v>Jun 2038</c:v>
                </c:pt>
                <c:pt idx="150">
                  <c:v>Jul 2038</c:v>
                </c:pt>
                <c:pt idx="151">
                  <c:v>Aug 2038</c:v>
                </c:pt>
                <c:pt idx="152">
                  <c:v>Sep 2038</c:v>
                </c:pt>
                <c:pt idx="153">
                  <c:v>Oct 2038</c:v>
                </c:pt>
                <c:pt idx="154">
                  <c:v>Nov 2038</c:v>
                </c:pt>
                <c:pt idx="155">
                  <c:v>Dec 2038</c:v>
                </c:pt>
                <c:pt idx="156">
                  <c:v>Jan 2039</c:v>
                </c:pt>
                <c:pt idx="157">
                  <c:v>Feb 2039</c:v>
                </c:pt>
                <c:pt idx="158">
                  <c:v>Mar 2039</c:v>
                </c:pt>
                <c:pt idx="159">
                  <c:v>Apr 2039</c:v>
                </c:pt>
                <c:pt idx="160">
                  <c:v>May 2039</c:v>
                </c:pt>
                <c:pt idx="161">
                  <c:v>Jun 2039</c:v>
                </c:pt>
                <c:pt idx="162">
                  <c:v>Jul 2039</c:v>
                </c:pt>
                <c:pt idx="163">
                  <c:v>Aug 2039</c:v>
                </c:pt>
                <c:pt idx="164">
                  <c:v>Sep 2039</c:v>
                </c:pt>
                <c:pt idx="165">
                  <c:v>Oct 2039</c:v>
                </c:pt>
                <c:pt idx="166">
                  <c:v>Nov 2039</c:v>
                </c:pt>
                <c:pt idx="167">
                  <c:v>Dec 2039</c:v>
                </c:pt>
                <c:pt idx="168">
                  <c:v>Jan 2040</c:v>
                </c:pt>
                <c:pt idx="169">
                  <c:v>Feb 2040</c:v>
                </c:pt>
                <c:pt idx="170">
                  <c:v>Mar 2040</c:v>
                </c:pt>
                <c:pt idx="171">
                  <c:v>Apr 2040</c:v>
                </c:pt>
                <c:pt idx="172">
                  <c:v>May 2040</c:v>
                </c:pt>
                <c:pt idx="173">
                  <c:v>Jun 2040</c:v>
                </c:pt>
                <c:pt idx="174">
                  <c:v>Jul 2040</c:v>
                </c:pt>
                <c:pt idx="175">
                  <c:v>Aug 2040</c:v>
                </c:pt>
                <c:pt idx="176">
                  <c:v>Sep 2040</c:v>
                </c:pt>
                <c:pt idx="177">
                  <c:v>Oct 2040</c:v>
                </c:pt>
                <c:pt idx="178">
                  <c:v>Nov 2040</c:v>
                </c:pt>
                <c:pt idx="179">
                  <c:v>Dec 2040</c:v>
                </c:pt>
                <c:pt idx="180">
                  <c:v>Jan 2041</c:v>
                </c:pt>
                <c:pt idx="181">
                  <c:v>Feb 2041</c:v>
                </c:pt>
                <c:pt idx="182">
                  <c:v>Mar 2041</c:v>
                </c:pt>
                <c:pt idx="183">
                  <c:v>Apr 2041</c:v>
                </c:pt>
                <c:pt idx="184">
                  <c:v>May 2041</c:v>
                </c:pt>
                <c:pt idx="185">
                  <c:v>Jun 2041</c:v>
                </c:pt>
                <c:pt idx="186">
                  <c:v>Jul 2041</c:v>
                </c:pt>
                <c:pt idx="187">
                  <c:v>Aug 2041</c:v>
                </c:pt>
                <c:pt idx="188">
                  <c:v>Sep 2041</c:v>
                </c:pt>
                <c:pt idx="189">
                  <c:v>Oct 2041</c:v>
                </c:pt>
                <c:pt idx="190">
                  <c:v>Nov 2041</c:v>
                </c:pt>
                <c:pt idx="191">
                  <c:v>Dec 2041</c:v>
                </c:pt>
                <c:pt idx="192">
                  <c:v>Jan 2042</c:v>
                </c:pt>
                <c:pt idx="193">
                  <c:v>Feb 2042</c:v>
                </c:pt>
                <c:pt idx="194">
                  <c:v>Mar 2042</c:v>
                </c:pt>
                <c:pt idx="195">
                  <c:v>Apr 2042</c:v>
                </c:pt>
                <c:pt idx="196">
                  <c:v>May 2042</c:v>
                </c:pt>
                <c:pt idx="197">
                  <c:v>Jun 2042</c:v>
                </c:pt>
                <c:pt idx="198">
                  <c:v>Jul 2042</c:v>
                </c:pt>
                <c:pt idx="199">
                  <c:v>Aug 2042</c:v>
                </c:pt>
                <c:pt idx="200">
                  <c:v>Sep 2042</c:v>
                </c:pt>
                <c:pt idx="201">
                  <c:v>Oct 2042</c:v>
                </c:pt>
                <c:pt idx="202">
                  <c:v>Nov 2042</c:v>
                </c:pt>
                <c:pt idx="203">
                  <c:v>Dec 2042</c:v>
                </c:pt>
                <c:pt idx="204">
                  <c:v>Jan 2043</c:v>
                </c:pt>
                <c:pt idx="205">
                  <c:v>Feb 2043</c:v>
                </c:pt>
                <c:pt idx="206">
                  <c:v>Mar 2043</c:v>
                </c:pt>
                <c:pt idx="207">
                  <c:v>Apr 2043</c:v>
                </c:pt>
                <c:pt idx="208">
                  <c:v>May 2043</c:v>
                </c:pt>
                <c:pt idx="209">
                  <c:v>Jun 2043</c:v>
                </c:pt>
                <c:pt idx="210">
                  <c:v>Jul 2043</c:v>
                </c:pt>
                <c:pt idx="211">
                  <c:v>Aug 2043</c:v>
                </c:pt>
                <c:pt idx="212">
                  <c:v>Sep 2043</c:v>
                </c:pt>
                <c:pt idx="213">
                  <c:v>Oct 2043</c:v>
                </c:pt>
                <c:pt idx="214">
                  <c:v>Nov 2043</c:v>
                </c:pt>
                <c:pt idx="215">
                  <c:v>Dec 2043</c:v>
                </c:pt>
                <c:pt idx="216">
                  <c:v>Jan 2044</c:v>
                </c:pt>
                <c:pt idx="217">
                  <c:v>Feb 2044</c:v>
                </c:pt>
                <c:pt idx="218">
                  <c:v>Mar 2044</c:v>
                </c:pt>
                <c:pt idx="219">
                  <c:v>Apr 2044</c:v>
                </c:pt>
                <c:pt idx="220">
                  <c:v>May 2044</c:v>
                </c:pt>
                <c:pt idx="221">
                  <c:v>Jun 2044</c:v>
                </c:pt>
                <c:pt idx="222">
                  <c:v>Jul 2044</c:v>
                </c:pt>
                <c:pt idx="223">
                  <c:v>Aug 2044</c:v>
                </c:pt>
                <c:pt idx="224">
                  <c:v>Sep 2044</c:v>
                </c:pt>
                <c:pt idx="225">
                  <c:v>Oct 2044</c:v>
                </c:pt>
                <c:pt idx="226">
                  <c:v>Nov 2044</c:v>
                </c:pt>
                <c:pt idx="227">
                  <c:v>Dec 2044</c:v>
                </c:pt>
                <c:pt idx="228">
                  <c:v>Jan 2045</c:v>
                </c:pt>
                <c:pt idx="229">
                  <c:v>Feb 2045</c:v>
                </c:pt>
                <c:pt idx="230">
                  <c:v>Mar 2045</c:v>
                </c:pt>
                <c:pt idx="231">
                  <c:v>Apr 2045</c:v>
                </c:pt>
                <c:pt idx="232">
                  <c:v>May 2045</c:v>
                </c:pt>
                <c:pt idx="233">
                  <c:v>Jun 2045</c:v>
                </c:pt>
                <c:pt idx="234">
                  <c:v>Jul 2045</c:v>
                </c:pt>
                <c:pt idx="235">
                  <c:v>Aug 2045</c:v>
                </c:pt>
                <c:pt idx="236">
                  <c:v>Sep 2045</c:v>
                </c:pt>
                <c:pt idx="237">
                  <c:v>Oct 2045</c:v>
                </c:pt>
                <c:pt idx="238">
                  <c:v>Nov 2045</c:v>
                </c:pt>
                <c:pt idx="239">
                  <c:v>Dec 2045</c:v>
                </c:pt>
                <c:pt idx="240">
                  <c:v>Jan 2046</c:v>
                </c:pt>
                <c:pt idx="241">
                  <c:v>Feb 2046</c:v>
                </c:pt>
                <c:pt idx="242">
                  <c:v>Mar 2046</c:v>
                </c:pt>
                <c:pt idx="243">
                  <c:v>Apr 2046</c:v>
                </c:pt>
                <c:pt idx="244">
                  <c:v>May 2046</c:v>
                </c:pt>
                <c:pt idx="245">
                  <c:v>Jun 2046</c:v>
                </c:pt>
                <c:pt idx="246">
                  <c:v>Jul 2046</c:v>
                </c:pt>
                <c:pt idx="247">
                  <c:v>Aug 2046</c:v>
                </c:pt>
                <c:pt idx="248">
                  <c:v>Sep 2046</c:v>
                </c:pt>
                <c:pt idx="249">
                  <c:v>Oct 2046</c:v>
                </c:pt>
                <c:pt idx="250">
                  <c:v>Nov 2046</c:v>
                </c:pt>
                <c:pt idx="251">
                  <c:v>Dec 2046</c:v>
                </c:pt>
                <c:pt idx="252">
                  <c:v>Jan 2047</c:v>
                </c:pt>
                <c:pt idx="253">
                  <c:v>Feb 2047</c:v>
                </c:pt>
                <c:pt idx="254">
                  <c:v>Mar 2047</c:v>
                </c:pt>
                <c:pt idx="255">
                  <c:v>Apr 2047</c:v>
                </c:pt>
                <c:pt idx="256">
                  <c:v>May 2047</c:v>
                </c:pt>
                <c:pt idx="257">
                  <c:v>Jun 2047</c:v>
                </c:pt>
                <c:pt idx="258">
                  <c:v>Jul 2047</c:v>
                </c:pt>
                <c:pt idx="259">
                  <c:v>Aug 2047</c:v>
                </c:pt>
                <c:pt idx="260">
                  <c:v>Sep 2047</c:v>
                </c:pt>
                <c:pt idx="261">
                  <c:v>Oct 2047</c:v>
                </c:pt>
                <c:pt idx="262">
                  <c:v>Nov 2047</c:v>
                </c:pt>
                <c:pt idx="263">
                  <c:v>Dec 2047</c:v>
                </c:pt>
                <c:pt idx="264">
                  <c:v>Jan 2048</c:v>
                </c:pt>
                <c:pt idx="265">
                  <c:v>Feb 2048</c:v>
                </c:pt>
                <c:pt idx="266">
                  <c:v>Mar 2048</c:v>
                </c:pt>
                <c:pt idx="267">
                  <c:v>Apr 2048</c:v>
                </c:pt>
                <c:pt idx="268">
                  <c:v>May 2048</c:v>
                </c:pt>
                <c:pt idx="269">
                  <c:v>Jun 2048</c:v>
                </c:pt>
                <c:pt idx="270">
                  <c:v>Jul 2048</c:v>
                </c:pt>
                <c:pt idx="271">
                  <c:v>Aug 2048</c:v>
                </c:pt>
                <c:pt idx="272">
                  <c:v>Sep 2048</c:v>
                </c:pt>
                <c:pt idx="273">
                  <c:v>Oct 2048</c:v>
                </c:pt>
                <c:pt idx="274">
                  <c:v>Nov 2048</c:v>
                </c:pt>
                <c:pt idx="275">
                  <c:v>Dec 2048</c:v>
                </c:pt>
                <c:pt idx="276">
                  <c:v>Jan 2049</c:v>
                </c:pt>
                <c:pt idx="277">
                  <c:v>Feb 2049</c:v>
                </c:pt>
              </c:strCache>
            </c:strRef>
          </c:cat>
          <c:val>
            <c:numRef>
              <c:f>Calculator!$L$3:$L$362</c:f>
              <c:numCache>
                <c:formatCode>\$#,##0.00</c:formatCode>
                <c:ptCount val="360"/>
                <c:pt idx="0">
                  <c:v>702931.67</c:v>
                </c:pt>
                <c:pt idx="1">
                  <c:v>701858.11</c:v>
                </c:pt>
                <c:pt idx="2">
                  <c:v>700779.29</c:v>
                </c:pt>
                <c:pt idx="3">
                  <c:v>699695.19</c:v>
                </c:pt>
                <c:pt idx="4">
                  <c:v>698605.78</c:v>
                </c:pt>
                <c:pt idx="5">
                  <c:v>697511.04</c:v>
                </c:pt>
                <c:pt idx="6">
                  <c:v>696410.94</c:v>
                </c:pt>
                <c:pt idx="7">
                  <c:v>695305.45</c:v>
                </c:pt>
                <c:pt idx="8">
                  <c:v>694194.55</c:v>
                </c:pt>
                <c:pt idx="9">
                  <c:v>693078.21</c:v>
                </c:pt>
                <c:pt idx="10">
                  <c:v>691956.41</c:v>
                </c:pt>
                <c:pt idx="11">
                  <c:v>690829.11</c:v>
                </c:pt>
                <c:pt idx="12">
                  <c:v>689696.29</c:v>
                </c:pt>
                <c:pt idx="13">
                  <c:v>688557.93</c:v>
                </c:pt>
                <c:pt idx="14">
                  <c:v>687413.99</c:v>
                </c:pt>
                <c:pt idx="15">
                  <c:v>686264.45</c:v>
                </c:pt>
                <c:pt idx="16">
                  <c:v>685109.29</c:v>
                </c:pt>
                <c:pt idx="17">
                  <c:v>683948.47</c:v>
                </c:pt>
                <c:pt idx="18">
                  <c:v>682781.97</c:v>
                </c:pt>
                <c:pt idx="19">
                  <c:v>681609.76</c:v>
                </c:pt>
                <c:pt idx="20">
                  <c:v>680431.81</c:v>
                </c:pt>
                <c:pt idx="21">
                  <c:v>679248.09</c:v>
                </c:pt>
                <c:pt idx="22">
                  <c:v>678058.58</c:v>
                </c:pt>
                <c:pt idx="23">
                  <c:v>676863.24</c:v>
                </c:pt>
                <c:pt idx="24">
                  <c:v>675662.05</c:v>
                </c:pt>
                <c:pt idx="25">
                  <c:v>674454.98</c:v>
                </c:pt>
                <c:pt idx="26">
                  <c:v>673242</c:v>
                </c:pt>
                <c:pt idx="27">
                  <c:v>672023.08</c:v>
                </c:pt>
                <c:pt idx="28">
                  <c:v>670798.18999999994</c:v>
                </c:pt>
                <c:pt idx="29">
                  <c:v>669567.31000000006</c:v>
                </c:pt>
                <c:pt idx="30">
                  <c:v>668330.4</c:v>
                </c:pt>
                <c:pt idx="31">
                  <c:v>667087.43000000005</c:v>
                </c:pt>
                <c:pt idx="32">
                  <c:v>665838.38</c:v>
                </c:pt>
                <c:pt idx="33">
                  <c:v>664583.21</c:v>
                </c:pt>
                <c:pt idx="34">
                  <c:v>663321.9</c:v>
                </c:pt>
                <c:pt idx="35">
                  <c:v>662054.41</c:v>
                </c:pt>
                <c:pt idx="36">
                  <c:v>660780.72</c:v>
                </c:pt>
                <c:pt idx="37">
                  <c:v>659500.79</c:v>
                </c:pt>
                <c:pt idx="38">
                  <c:v>658214.6</c:v>
                </c:pt>
                <c:pt idx="39">
                  <c:v>656922.11</c:v>
                </c:pt>
                <c:pt idx="40">
                  <c:v>655623.29</c:v>
                </c:pt>
                <c:pt idx="41">
                  <c:v>654318.11</c:v>
                </c:pt>
                <c:pt idx="42">
                  <c:v>653006.54</c:v>
                </c:pt>
                <c:pt idx="43">
                  <c:v>651688.55000000005</c:v>
                </c:pt>
                <c:pt idx="44">
                  <c:v>650364.11</c:v>
                </c:pt>
                <c:pt idx="45">
                  <c:v>649033.18000000005</c:v>
                </c:pt>
                <c:pt idx="46">
                  <c:v>647695.74</c:v>
                </c:pt>
                <c:pt idx="47">
                  <c:v>646351.75</c:v>
                </c:pt>
                <c:pt idx="48">
                  <c:v>620001.18000000005</c:v>
                </c:pt>
                <c:pt idx="49">
                  <c:v>618521.59999999998</c:v>
                </c:pt>
                <c:pt idx="50">
                  <c:v>617034.78</c:v>
                </c:pt>
                <c:pt idx="51">
                  <c:v>615540.68000000005</c:v>
                </c:pt>
                <c:pt idx="52">
                  <c:v>614039.26</c:v>
                </c:pt>
                <c:pt idx="53">
                  <c:v>612530.49</c:v>
                </c:pt>
                <c:pt idx="54">
                  <c:v>611014.34</c:v>
                </c:pt>
                <c:pt idx="55">
                  <c:v>609490.76</c:v>
                </c:pt>
                <c:pt idx="56">
                  <c:v>607959.73</c:v>
                </c:pt>
                <c:pt idx="57">
                  <c:v>606421.19999999995</c:v>
                </c:pt>
                <c:pt idx="58">
                  <c:v>604875.14</c:v>
                </c:pt>
                <c:pt idx="59">
                  <c:v>603321.51</c:v>
                </c:pt>
                <c:pt idx="60">
                  <c:v>601760.27</c:v>
                </c:pt>
                <c:pt idx="61">
                  <c:v>600191.39</c:v>
                </c:pt>
                <c:pt idx="62">
                  <c:v>598614.82999999996</c:v>
                </c:pt>
                <c:pt idx="63">
                  <c:v>597030.55000000005</c:v>
                </c:pt>
                <c:pt idx="64">
                  <c:v>595438.51</c:v>
                </c:pt>
                <c:pt idx="65">
                  <c:v>593838.68000000005</c:v>
                </c:pt>
                <c:pt idx="66">
                  <c:v>592231.02</c:v>
                </c:pt>
                <c:pt idx="67">
                  <c:v>590615.48</c:v>
                </c:pt>
                <c:pt idx="68">
                  <c:v>588992.03</c:v>
                </c:pt>
                <c:pt idx="69">
                  <c:v>587360.64</c:v>
                </c:pt>
                <c:pt idx="70">
                  <c:v>585721.26</c:v>
                </c:pt>
                <c:pt idx="71">
                  <c:v>584073.85</c:v>
                </c:pt>
                <c:pt idx="72">
                  <c:v>582418.38</c:v>
                </c:pt>
                <c:pt idx="73">
                  <c:v>580754.80000000005</c:v>
                </c:pt>
                <c:pt idx="74">
                  <c:v>579083.07999999996</c:v>
                </c:pt>
                <c:pt idx="75">
                  <c:v>577403.17000000004</c:v>
                </c:pt>
                <c:pt idx="76">
                  <c:v>575715.04</c:v>
                </c:pt>
                <c:pt idx="77">
                  <c:v>574018.64</c:v>
                </c:pt>
                <c:pt idx="78">
                  <c:v>572313.93999999994</c:v>
                </c:pt>
                <c:pt idx="79">
                  <c:v>570600.89</c:v>
                </c:pt>
                <c:pt idx="80">
                  <c:v>568879.46</c:v>
                </c:pt>
                <c:pt idx="81">
                  <c:v>567149.6</c:v>
                </c:pt>
                <c:pt idx="82">
                  <c:v>565411.27</c:v>
                </c:pt>
                <c:pt idx="83">
                  <c:v>563664.43000000005</c:v>
                </c:pt>
                <c:pt idx="84">
                  <c:v>561909.04</c:v>
                </c:pt>
                <c:pt idx="85">
                  <c:v>560145.05000000005</c:v>
                </c:pt>
                <c:pt idx="86">
                  <c:v>558372.43000000005</c:v>
                </c:pt>
                <c:pt idx="87">
                  <c:v>556591.13</c:v>
                </c:pt>
                <c:pt idx="88">
                  <c:v>554801.11</c:v>
                </c:pt>
                <c:pt idx="89">
                  <c:v>553002.31999999995</c:v>
                </c:pt>
                <c:pt idx="90">
                  <c:v>551194.73</c:v>
                </c:pt>
                <c:pt idx="91">
                  <c:v>549378.29</c:v>
                </c:pt>
                <c:pt idx="92">
                  <c:v>547552.94999999995</c:v>
                </c:pt>
                <c:pt idx="93">
                  <c:v>545718.68000000005</c:v>
                </c:pt>
                <c:pt idx="94">
                  <c:v>543875.43000000005</c:v>
                </c:pt>
                <c:pt idx="95">
                  <c:v>542023.15</c:v>
                </c:pt>
                <c:pt idx="96">
                  <c:v>540161.81000000006</c:v>
                </c:pt>
                <c:pt idx="97">
                  <c:v>538291.35</c:v>
                </c:pt>
                <c:pt idx="98">
                  <c:v>536411.73</c:v>
                </c:pt>
                <c:pt idx="99">
                  <c:v>534522.91</c:v>
                </c:pt>
                <c:pt idx="100">
                  <c:v>532624.85</c:v>
                </c:pt>
                <c:pt idx="101">
                  <c:v>530717.49</c:v>
                </c:pt>
                <c:pt idx="102">
                  <c:v>528800.79</c:v>
                </c:pt>
                <c:pt idx="103">
                  <c:v>526874.71</c:v>
                </c:pt>
                <c:pt idx="104">
                  <c:v>524939.19999999995</c:v>
                </c:pt>
                <c:pt idx="105">
                  <c:v>522994.21</c:v>
                </c:pt>
                <c:pt idx="106">
                  <c:v>521039.7</c:v>
                </c:pt>
                <c:pt idx="107">
                  <c:v>519075.62</c:v>
                </c:pt>
                <c:pt idx="108">
                  <c:v>517101.93</c:v>
                </c:pt>
                <c:pt idx="109">
                  <c:v>515118.57</c:v>
                </c:pt>
                <c:pt idx="110">
                  <c:v>513125.5</c:v>
                </c:pt>
                <c:pt idx="111">
                  <c:v>511122.68</c:v>
                </c:pt>
                <c:pt idx="112">
                  <c:v>509110.05</c:v>
                </c:pt>
                <c:pt idx="113">
                  <c:v>507087.57</c:v>
                </c:pt>
                <c:pt idx="114">
                  <c:v>505055.19</c:v>
                </c:pt>
                <c:pt idx="115">
                  <c:v>503012.86</c:v>
                </c:pt>
                <c:pt idx="116">
                  <c:v>500960.53</c:v>
                </c:pt>
                <c:pt idx="117">
                  <c:v>498898.15</c:v>
                </c:pt>
                <c:pt idx="118">
                  <c:v>496825.67</c:v>
                </c:pt>
                <c:pt idx="119">
                  <c:v>494743.05</c:v>
                </c:pt>
                <c:pt idx="120">
                  <c:v>492650.23</c:v>
                </c:pt>
                <c:pt idx="121">
                  <c:v>490547.16</c:v>
                </c:pt>
                <c:pt idx="122">
                  <c:v>488433.8</c:v>
                </c:pt>
                <c:pt idx="123">
                  <c:v>486310.09</c:v>
                </c:pt>
                <c:pt idx="124">
                  <c:v>484175.98</c:v>
                </c:pt>
                <c:pt idx="125">
                  <c:v>482031.42</c:v>
                </c:pt>
                <c:pt idx="126">
                  <c:v>479876.37</c:v>
                </c:pt>
                <c:pt idx="127">
                  <c:v>477710.76</c:v>
                </c:pt>
                <c:pt idx="128">
                  <c:v>475534.55</c:v>
                </c:pt>
                <c:pt idx="129">
                  <c:v>473347.69</c:v>
                </c:pt>
                <c:pt idx="130">
                  <c:v>471150.12</c:v>
                </c:pt>
                <c:pt idx="131">
                  <c:v>468941.79</c:v>
                </c:pt>
                <c:pt idx="132">
                  <c:v>466722.65</c:v>
                </c:pt>
                <c:pt idx="133">
                  <c:v>464492.65</c:v>
                </c:pt>
                <c:pt idx="134">
                  <c:v>462251.73</c:v>
                </c:pt>
                <c:pt idx="135">
                  <c:v>459999.84</c:v>
                </c:pt>
                <c:pt idx="136">
                  <c:v>457736.92</c:v>
                </c:pt>
                <c:pt idx="137">
                  <c:v>455462.92</c:v>
                </c:pt>
                <c:pt idx="138">
                  <c:v>453177.79</c:v>
                </c:pt>
                <c:pt idx="139">
                  <c:v>450881.47</c:v>
                </c:pt>
                <c:pt idx="140">
                  <c:v>448573.91</c:v>
                </c:pt>
                <c:pt idx="141">
                  <c:v>446255.05</c:v>
                </c:pt>
                <c:pt idx="142">
                  <c:v>443924.84</c:v>
                </c:pt>
                <c:pt idx="143">
                  <c:v>441583.22</c:v>
                </c:pt>
                <c:pt idx="144">
                  <c:v>439230.14</c:v>
                </c:pt>
                <c:pt idx="145">
                  <c:v>436865.54</c:v>
                </c:pt>
                <c:pt idx="146">
                  <c:v>434489.36</c:v>
                </c:pt>
                <c:pt idx="147">
                  <c:v>432101.55</c:v>
                </c:pt>
                <c:pt idx="148">
                  <c:v>429702.05</c:v>
                </c:pt>
                <c:pt idx="149">
                  <c:v>427290.8</c:v>
                </c:pt>
                <c:pt idx="150">
                  <c:v>424867.74</c:v>
                </c:pt>
                <c:pt idx="151">
                  <c:v>422432.82</c:v>
                </c:pt>
                <c:pt idx="152">
                  <c:v>419985.98</c:v>
                </c:pt>
                <c:pt idx="153">
                  <c:v>417527.16</c:v>
                </c:pt>
                <c:pt idx="154">
                  <c:v>415056.3</c:v>
                </c:pt>
                <c:pt idx="155">
                  <c:v>412573.35</c:v>
                </c:pt>
                <c:pt idx="156">
                  <c:v>410078.24</c:v>
                </c:pt>
                <c:pt idx="157">
                  <c:v>407570.91</c:v>
                </c:pt>
                <c:pt idx="158">
                  <c:v>405051.31</c:v>
                </c:pt>
                <c:pt idx="159">
                  <c:v>402519.37</c:v>
                </c:pt>
                <c:pt idx="160">
                  <c:v>399975.04</c:v>
                </c:pt>
                <c:pt idx="161">
                  <c:v>397418.25</c:v>
                </c:pt>
                <c:pt idx="162">
                  <c:v>394848.94</c:v>
                </c:pt>
                <c:pt idx="163">
                  <c:v>392267.05</c:v>
                </c:pt>
                <c:pt idx="164">
                  <c:v>389672.52</c:v>
                </c:pt>
                <c:pt idx="165">
                  <c:v>387065.29</c:v>
                </c:pt>
                <c:pt idx="166">
                  <c:v>384445.3</c:v>
                </c:pt>
                <c:pt idx="167">
                  <c:v>381812.47999999998</c:v>
                </c:pt>
                <c:pt idx="168">
                  <c:v>379166.77</c:v>
                </c:pt>
                <c:pt idx="169">
                  <c:v>376508.11</c:v>
                </c:pt>
                <c:pt idx="170">
                  <c:v>373836.43</c:v>
                </c:pt>
                <c:pt idx="171">
                  <c:v>371151.67</c:v>
                </c:pt>
                <c:pt idx="172">
                  <c:v>368453.77</c:v>
                </c:pt>
                <c:pt idx="173">
                  <c:v>365742.66</c:v>
                </c:pt>
                <c:pt idx="174">
                  <c:v>363018.28</c:v>
                </c:pt>
                <c:pt idx="175">
                  <c:v>360280.56</c:v>
                </c:pt>
                <c:pt idx="176">
                  <c:v>357529.43</c:v>
                </c:pt>
                <c:pt idx="177">
                  <c:v>354764.83</c:v>
                </c:pt>
                <c:pt idx="178">
                  <c:v>351986.7</c:v>
                </c:pt>
                <c:pt idx="179">
                  <c:v>349194.97</c:v>
                </c:pt>
                <c:pt idx="180">
                  <c:v>346389.57</c:v>
                </c:pt>
                <c:pt idx="181">
                  <c:v>343570.44</c:v>
                </c:pt>
                <c:pt idx="182">
                  <c:v>340737.5</c:v>
                </c:pt>
                <c:pt idx="183">
                  <c:v>337890.69</c:v>
                </c:pt>
                <c:pt idx="184">
                  <c:v>335029.95</c:v>
                </c:pt>
                <c:pt idx="185">
                  <c:v>332155.2</c:v>
                </c:pt>
                <c:pt idx="186">
                  <c:v>329266.38</c:v>
                </c:pt>
                <c:pt idx="187">
                  <c:v>326363.40999999997</c:v>
                </c:pt>
                <c:pt idx="188">
                  <c:v>323446.23</c:v>
                </c:pt>
                <c:pt idx="189">
                  <c:v>320514.77</c:v>
                </c:pt>
                <c:pt idx="190">
                  <c:v>317568.96000000002</c:v>
                </c:pt>
                <c:pt idx="191">
                  <c:v>314608.71999999997</c:v>
                </c:pt>
                <c:pt idx="192">
                  <c:v>311633.99</c:v>
                </c:pt>
                <c:pt idx="193">
                  <c:v>308644.7</c:v>
                </c:pt>
                <c:pt idx="194">
                  <c:v>305640.77</c:v>
                </c:pt>
                <c:pt idx="195">
                  <c:v>302622.14</c:v>
                </c:pt>
                <c:pt idx="196">
                  <c:v>299588.73</c:v>
                </c:pt>
                <c:pt idx="197">
                  <c:v>296540.46999999997</c:v>
                </c:pt>
                <c:pt idx="198">
                  <c:v>293477.28000000003</c:v>
                </c:pt>
                <c:pt idx="199">
                  <c:v>290399.09999999998</c:v>
                </c:pt>
                <c:pt idx="200">
                  <c:v>287305.84999999998</c:v>
                </c:pt>
                <c:pt idx="201">
                  <c:v>284197.45</c:v>
                </c:pt>
                <c:pt idx="202">
                  <c:v>281073.83</c:v>
                </c:pt>
                <c:pt idx="203">
                  <c:v>277934.92</c:v>
                </c:pt>
                <c:pt idx="204">
                  <c:v>274780.64</c:v>
                </c:pt>
                <c:pt idx="205">
                  <c:v>271610.92</c:v>
                </c:pt>
                <c:pt idx="206">
                  <c:v>268425.68</c:v>
                </c:pt>
                <c:pt idx="207">
                  <c:v>265224.84999999998</c:v>
                </c:pt>
                <c:pt idx="208">
                  <c:v>262008.35</c:v>
                </c:pt>
                <c:pt idx="209">
                  <c:v>258776.1</c:v>
                </c:pt>
                <c:pt idx="210">
                  <c:v>255528.02</c:v>
                </c:pt>
                <c:pt idx="211">
                  <c:v>252264.04</c:v>
                </c:pt>
                <c:pt idx="212">
                  <c:v>248984.08</c:v>
                </c:pt>
                <c:pt idx="213">
                  <c:v>245688.06</c:v>
                </c:pt>
                <c:pt idx="214">
                  <c:v>242375.91</c:v>
                </c:pt>
                <c:pt idx="215">
                  <c:v>239047.54</c:v>
                </c:pt>
                <c:pt idx="216">
                  <c:v>235702.88</c:v>
                </c:pt>
                <c:pt idx="217">
                  <c:v>232341.84</c:v>
                </c:pt>
                <c:pt idx="218">
                  <c:v>228964.35</c:v>
                </c:pt>
                <c:pt idx="219">
                  <c:v>225570.32</c:v>
                </c:pt>
                <c:pt idx="220">
                  <c:v>222159.67</c:v>
                </c:pt>
                <c:pt idx="221">
                  <c:v>218732.33</c:v>
                </c:pt>
                <c:pt idx="222">
                  <c:v>215288.21</c:v>
                </c:pt>
                <c:pt idx="223">
                  <c:v>211827.23</c:v>
                </c:pt>
                <c:pt idx="224">
                  <c:v>208349.3</c:v>
                </c:pt>
                <c:pt idx="225">
                  <c:v>204854.34</c:v>
                </c:pt>
                <c:pt idx="226">
                  <c:v>201342.27</c:v>
                </c:pt>
                <c:pt idx="227">
                  <c:v>197813.01</c:v>
                </c:pt>
                <c:pt idx="228">
                  <c:v>194266.47</c:v>
                </c:pt>
                <c:pt idx="229">
                  <c:v>190702.57</c:v>
                </c:pt>
                <c:pt idx="230">
                  <c:v>187121.22</c:v>
                </c:pt>
                <c:pt idx="231">
                  <c:v>183522.33</c:v>
                </c:pt>
                <c:pt idx="232">
                  <c:v>179905.82</c:v>
                </c:pt>
                <c:pt idx="233">
                  <c:v>176271.61</c:v>
                </c:pt>
                <c:pt idx="234">
                  <c:v>172619.61</c:v>
                </c:pt>
                <c:pt idx="235">
                  <c:v>168949.73</c:v>
                </c:pt>
                <c:pt idx="236">
                  <c:v>165261.88</c:v>
                </c:pt>
                <c:pt idx="237">
                  <c:v>161555.97</c:v>
                </c:pt>
                <c:pt idx="238">
                  <c:v>157831.92000000001</c:v>
                </c:pt>
                <c:pt idx="239">
                  <c:v>154089.64000000001</c:v>
                </c:pt>
                <c:pt idx="240">
                  <c:v>150329.04</c:v>
                </c:pt>
                <c:pt idx="241">
                  <c:v>146550.03</c:v>
                </c:pt>
                <c:pt idx="242">
                  <c:v>142752.51</c:v>
                </c:pt>
                <c:pt idx="243">
                  <c:v>138936.4</c:v>
                </c:pt>
                <c:pt idx="244">
                  <c:v>135101.60999999999</c:v>
                </c:pt>
                <c:pt idx="245">
                  <c:v>131248.04</c:v>
                </c:pt>
                <c:pt idx="246">
                  <c:v>127375.61</c:v>
                </c:pt>
                <c:pt idx="247">
                  <c:v>123484.22</c:v>
                </c:pt>
                <c:pt idx="248">
                  <c:v>119573.78</c:v>
                </c:pt>
                <c:pt idx="249">
                  <c:v>115644.19</c:v>
                </c:pt>
                <c:pt idx="250">
                  <c:v>111695.36</c:v>
                </c:pt>
                <c:pt idx="251">
                  <c:v>107727.2</c:v>
                </c:pt>
                <c:pt idx="252">
                  <c:v>103739.61</c:v>
                </c:pt>
                <c:pt idx="253">
                  <c:v>99732.5</c:v>
                </c:pt>
                <c:pt idx="254">
                  <c:v>95705.77</c:v>
                </c:pt>
                <c:pt idx="255">
                  <c:v>91659.33</c:v>
                </c:pt>
                <c:pt idx="256">
                  <c:v>87593.08</c:v>
                </c:pt>
                <c:pt idx="257">
                  <c:v>83506.92</c:v>
                </c:pt>
                <c:pt idx="258">
                  <c:v>79400.759999999995</c:v>
                </c:pt>
                <c:pt idx="259">
                  <c:v>75274.490000000005</c:v>
                </c:pt>
                <c:pt idx="260">
                  <c:v>71128.02</c:v>
                </c:pt>
                <c:pt idx="261">
                  <c:v>66961.25</c:v>
                </c:pt>
                <c:pt idx="262">
                  <c:v>62774.080000000002</c:v>
                </c:pt>
                <c:pt idx="263">
                  <c:v>58566.41</c:v>
                </c:pt>
                <c:pt idx="264">
                  <c:v>54338.14</c:v>
                </c:pt>
                <c:pt idx="265">
                  <c:v>50089.17</c:v>
                </c:pt>
                <c:pt idx="266">
                  <c:v>45819.4</c:v>
                </c:pt>
                <c:pt idx="267">
                  <c:v>41528.720000000001</c:v>
                </c:pt>
                <c:pt idx="268">
                  <c:v>37217.040000000001</c:v>
                </c:pt>
                <c:pt idx="269">
                  <c:v>32884.25</c:v>
                </c:pt>
                <c:pt idx="270">
                  <c:v>28530.25</c:v>
                </c:pt>
                <c:pt idx="271">
                  <c:v>24154.93</c:v>
                </c:pt>
                <c:pt idx="272">
                  <c:v>19758.189999999999</c:v>
                </c:pt>
                <c:pt idx="273">
                  <c:v>15339.92</c:v>
                </c:pt>
                <c:pt idx="274">
                  <c:v>10900.02</c:v>
                </c:pt>
                <c:pt idx="275">
                  <c:v>6438.38</c:v>
                </c:pt>
                <c:pt idx="276">
                  <c:v>1954.9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22-B941-82BE-4328F2380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0E0E0"/>
              </a:solidFill>
              <a:prstDash val="solid"/>
            </a:ln>
          </c:spPr>
        </c:majorGridlines>
        <c:numFmt formatCode="yyyy" sourceLinked="0"/>
        <c:majorTickMark val="none"/>
        <c:minorTickMark val="none"/>
        <c:tickLblPos val="low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0E0E0"/>
              </a:solidFill>
              <a:prstDash val="solid"/>
            </a:ln>
          </c:spPr>
        </c:majorGridlines>
        <c:numFmt formatCode="\$#,##0,\K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0</xdr:colOff>
      <xdr:row>3</xdr:row>
      <xdr:rowOff>0</xdr:rowOff>
    </xdr:from>
    <xdr:ext cx="3780000" cy="297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5940000" cy="351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62"/>
  <sheetViews>
    <sheetView tabSelected="1" workbookViewId="0">
      <pane xSplit="7" ySplit="2" topLeftCell="H3" activePane="bottomRight" state="frozen"/>
      <selection pane="topRight"/>
      <selection pane="bottomLeft"/>
      <selection pane="bottomRight" activeCell="A23" sqref="A23"/>
    </sheetView>
  </sheetViews>
  <sheetFormatPr baseColWidth="10" defaultColWidth="8.83203125" defaultRowHeight="15"/>
  <cols>
    <col min="1" max="1" width="26" customWidth="1"/>
    <col min="2" max="2" width="18" customWidth="1"/>
    <col min="3" max="3" width="20" customWidth="1"/>
    <col min="4" max="4" width="16" customWidth="1"/>
    <col min="5" max="5" width="14" customWidth="1"/>
    <col min="6" max="7" width="3" customWidth="1"/>
    <col min="8" max="8" width="12" customWidth="1"/>
    <col min="9" max="9" width="14" customWidth="1"/>
    <col min="10" max="11" width="16" customWidth="1"/>
    <col min="12" max="12" width="18" customWidth="1"/>
    <col min="13" max="17" width="0.5" customWidth="1"/>
  </cols>
  <sheetData>
    <row r="1" spans="1:17" ht="16">
      <c r="A1" s="24" t="s">
        <v>0</v>
      </c>
      <c r="B1" s="25"/>
      <c r="H1" s="24" t="s">
        <v>1</v>
      </c>
      <c r="I1" s="25"/>
      <c r="J1" s="25"/>
      <c r="K1" s="25"/>
      <c r="L1" s="25"/>
      <c r="P1" s="1" t="s">
        <v>2</v>
      </c>
      <c r="Q1" s="1" t="s">
        <v>3</v>
      </c>
    </row>
    <row r="2" spans="1:17">
      <c r="A2" s="2" t="s">
        <v>4</v>
      </c>
      <c r="B2" s="3">
        <v>704000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t="s">
        <v>10</v>
      </c>
      <c r="N2" t="s">
        <v>11</v>
      </c>
      <c r="O2" t="s">
        <v>12</v>
      </c>
      <c r="P2" s="1" t="s">
        <v>8</v>
      </c>
      <c r="Q2" s="1">
        <f>LoanAmount</f>
        <v>704000</v>
      </c>
    </row>
    <row r="3" spans="1:17">
      <c r="A3" s="2" t="s">
        <v>13</v>
      </c>
      <c r="B3" s="5">
        <v>5.8749999999999997E-2</v>
      </c>
      <c r="H3" s="6">
        <f>IF(LoanAmount&gt;0,1,"")</f>
        <v>1</v>
      </c>
      <c r="I3" s="7">
        <f>IF(H3&lt;&gt;"",StartDate,"")</f>
        <v>46023</v>
      </c>
      <c r="J3" s="8">
        <f>IF(H3&lt;&gt;"",ROUND(LoanAmount*AnnualRate/12,2),"")</f>
        <v>3446.67</v>
      </c>
      <c r="K3" s="8">
        <f>IF(H3&lt;&gt;"",MIN(LoanAmount,(M3-J3)+SUMPRODUCT(($B$22:$B$31&lt;&gt;"")*($B$22:$B$31&lt;=I3)*(($C$22:$C$31="")+($C$22:$C$31&lt;&gt;"")*($C$22:$C$31&gt;=I3))*($E$22:$E$31="Monthly")*$D$22:$D$31)+SUMPRODUCT(($B$22:$B$31&lt;&gt;"")*($B$22:$B$31&lt;=I3)*(($C$22:$C$31="")+($C$22:$C$31&lt;&gt;"")*($C$22:$C$31&gt;=I3))*($E$22:$E$31="Annual")*(MONTH($B$22:$B$31)=MONTH(I3))*$D$22:$D$31)+SUMPRODUCT(($B$35:$B$49&lt;&gt;"")*(YEAR($B$35:$B$49)=YEAR(I3))*(MONTH($B$35:$B$49)=MONTH(I3))*$C$35:$C$49)),"")</f>
        <v>1068.3300000000002</v>
      </c>
      <c r="L3" s="8">
        <f>IF(H3&lt;&gt;"",ROUND(LoanAmount-K3,2),"")</f>
        <v>702931.67</v>
      </c>
      <c r="M3" s="9">
        <f>IF(H3&lt;&gt;"",MIN(MonthlyPmt,LoanAmount+J3),"")</f>
        <v>4164.43</v>
      </c>
      <c r="N3" s="9">
        <f>IF(H3&lt;&gt;"",K3,"")</f>
        <v>1068.3300000000002</v>
      </c>
      <c r="O3" s="9">
        <f>IF(H3&lt;&gt;"",J3,"")</f>
        <v>3446.67</v>
      </c>
      <c r="P3" s="1" t="s">
        <v>7</v>
      </c>
      <c r="Q3" s="1">
        <f>B14</f>
        <v>573619.47</v>
      </c>
    </row>
    <row r="4" spans="1:17">
      <c r="A4" s="2" t="s">
        <v>14</v>
      </c>
      <c r="B4" s="10">
        <v>30</v>
      </c>
      <c r="H4" s="11">
        <f>IF(AND(L3&gt;0.005,H3&lt;&gt;""),2,"")</f>
        <v>2</v>
      </c>
      <c r="I4" s="12">
        <f>IF(H4&lt;&gt;"",EDATE(StartDate,1),"")</f>
        <v>46054</v>
      </c>
      <c r="J4" s="13">
        <f t="shared" ref="J4:J67" si="0">IF(H4&lt;&gt;"",ROUND(L3*AnnualRate/12,2),"")</f>
        <v>3441.44</v>
      </c>
      <c r="K4" s="13">
        <f t="shared" ref="K4:K67" si="1">IF(H4&lt;&gt;"",MIN(L3,(M4-J4)+SUMPRODUCT(($B$22:$B$31&lt;&gt;"")*($B$22:$B$31&lt;=I4)*(($C$22:$C$31="")+($C$22:$C$31&lt;&gt;"")*($C$22:$C$31&gt;=I4))*($E$22:$E$31="Monthly")*$D$22:$D$31)+SUMPRODUCT(($B$22:$B$31&lt;&gt;"")*($B$22:$B$31&lt;=I4)*(($C$22:$C$31="")+($C$22:$C$31&lt;&gt;"")*($C$22:$C$31&gt;=I4))*($E$22:$E$31="Annual")*(MONTH($B$22:$B$31)=MONTH(I4))*$D$22:$D$31)+SUMPRODUCT(($B$35:$B$49&lt;&gt;"")*(YEAR($B$35:$B$49)=YEAR(I4))*(MONTH($B$35:$B$49)=MONTH(I4))*$C$35:$C$49)),"")</f>
        <v>1073.5600000000002</v>
      </c>
      <c r="L4" s="13">
        <f t="shared" ref="L4:L67" si="2">IF(H4&lt;&gt;"",ROUND(L3-K4,2),"")</f>
        <v>701858.11</v>
      </c>
      <c r="M4" s="9">
        <f t="shared" ref="M4:M67" si="3">IF(H4&lt;&gt;"",MIN(MonthlyPmt,L3+J4),"")</f>
        <v>4164.43</v>
      </c>
      <c r="N4" s="9">
        <f t="shared" ref="N4:N67" si="4">IF(H4&lt;&gt;"",N3+K4,"")</f>
        <v>2141.8900000000003</v>
      </c>
      <c r="O4" s="9">
        <f t="shared" ref="O4:O67" si="5">IF(H4&lt;&gt;"",O3+J4,"")</f>
        <v>6888.1100000000006</v>
      </c>
    </row>
    <row r="5" spans="1:17">
      <c r="A5" s="2" t="s">
        <v>15</v>
      </c>
      <c r="B5" s="14">
        <v>46023</v>
      </c>
      <c r="H5" s="6">
        <f>IF(AND(L4&gt;0.005,H4&lt;&gt;""),3,"")</f>
        <v>3</v>
      </c>
      <c r="I5" s="7">
        <f>IF(H5&lt;&gt;"",EDATE(StartDate,2),"")</f>
        <v>46082</v>
      </c>
      <c r="J5" s="8">
        <f t="shared" si="0"/>
        <v>3436.18</v>
      </c>
      <c r="K5" s="8">
        <f t="shared" si="1"/>
        <v>1078.8200000000004</v>
      </c>
      <c r="L5" s="8">
        <f t="shared" si="2"/>
        <v>700779.29</v>
      </c>
      <c r="M5" s="9">
        <f t="shared" si="3"/>
        <v>4164.43</v>
      </c>
      <c r="N5" s="9">
        <f t="shared" si="4"/>
        <v>3220.7100000000009</v>
      </c>
      <c r="O5" s="9">
        <f t="shared" si="5"/>
        <v>10324.290000000001</v>
      </c>
    </row>
    <row r="6" spans="1:17">
      <c r="A6" s="2" t="s">
        <v>16</v>
      </c>
      <c r="B6" s="15">
        <f>ROUND(-PMT(B3/12,B4*12,B2),2)</f>
        <v>4164.43</v>
      </c>
      <c r="H6" s="11">
        <f>IF(AND(L5&gt;0.005,H5&lt;&gt;""),4,"")</f>
        <v>4</v>
      </c>
      <c r="I6" s="12">
        <f>IF(H6&lt;&gt;"",EDATE(StartDate,3),"")</f>
        <v>46113</v>
      </c>
      <c r="J6" s="13">
        <f t="shared" si="0"/>
        <v>3430.9</v>
      </c>
      <c r="K6" s="13">
        <f t="shared" si="1"/>
        <v>1084.1000000000001</v>
      </c>
      <c r="L6" s="13">
        <f t="shared" si="2"/>
        <v>699695.19</v>
      </c>
      <c r="M6" s="9">
        <f t="shared" si="3"/>
        <v>4164.43</v>
      </c>
      <c r="N6" s="9">
        <f t="shared" si="4"/>
        <v>4304.8100000000013</v>
      </c>
      <c r="O6" s="9">
        <f t="shared" si="5"/>
        <v>13755.19</v>
      </c>
    </row>
    <row r="7" spans="1:17">
      <c r="A7" s="2" t="s">
        <v>17</v>
      </c>
      <c r="B7" s="15">
        <f>B6+SUMPRODUCT(($E$22:$E$31="Monthly")*($D$22:$D$31&lt;&gt;"")*$D$22:$D$31)</f>
        <v>4515</v>
      </c>
      <c r="H7" s="6">
        <f>IF(AND(L6&gt;0.005,H6&lt;&gt;""),5,"")</f>
        <v>5</v>
      </c>
      <c r="I7" s="7">
        <f>IF(H7&lt;&gt;"",EDATE(StartDate,4),"")</f>
        <v>46143</v>
      </c>
      <c r="J7" s="8">
        <f t="shared" si="0"/>
        <v>3425.59</v>
      </c>
      <c r="K7" s="8">
        <f t="shared" si="1"/>
        <v>1089.4100000000001</v>
      </c>
      <c r="L7" s="8">
        <f t="shared" si="2"/>
        <v>698605.78</v>
      </c>
      <c r="M7" s="9">
        <f t="shared" si="3"/>
        <v>4164.43</v>
      </c>
      <c r="N7" s="9">
        <f t="shared" si="4"/>
        <v>5394.2200000000012</v>
      </c>
      <c r="O7" s="9">
        <f t="shared" si="5"/>
        <v>17180.78</v>
      </c>
    </row>
    <row r="8" spans="1:17">
      <c r="H8" s="11">
        <f>IF(AND(L7&gt;0.005,H7&lt;&gt;""),6,"")</f>
        <v>6</v>
      </c>
      <c r="I8" s="12">
        <f>IF(H8&lt;&gt;"",EDATE(StartDate,5),"")</f>
        <v>46174</v>
      </c>
      <c r="J8" s="13">
        <f t="shared" si="0"/>
        <v>3420.26</v>
      </c>
      <c r="K8" s="13">
        <f t="shared" si="1"/>
        <v>1094.74</v>
      </c>
      <c r="L8" s="13">
        <f t="shared" si="2"/>
        <v>697511.04</v>
      </c>
      <c r="M8" s="9">
        <f t="shared" si="3"/>
        <v>4164.43</v>
      </c>
      <c r="N8" s="9">
        <f t="shared" si="4"/>
        <v>6488.9600000000009</v>
      </c>
      <c r="O8" s="9">
        <f t="shared" si="5"/>
        <v>20601.04</v>
      </c>
    </row>
    <row r="9" spans="1:17" ht="16">
      <c r="A9" s="24" t="s">
        <v>18</v>
      </c>
      <c r="B9" s="25"/>
      <c r="H9" s="6">
        <f>IF(AND(L8&gt;0.005,H8&lt;&gt;""),7,"")</f>
        <v>7</v>
      </c>
      <c r="I9" s="7">
        <f>IF(H9&lt;&gt;"",EDATE(StartDate,6),"")</f>
        <v>46204</v>
      </c>
      <c r="J9" s="8">
        <f t="shared" si="0"/>
        <v>3414.9</v>
      </c>
      <c r="K9" s="8">
        <f t="shared" si="1"/>
        <v>1100.1000000000001</v>
      </c>
      <c r="L9" s="8">
        <f t="shared" si="2"/>
        <v>696410.94</v>
      </c>
      <c r="M9" s="9">
        <f t="shared" si="3"/>
        <v>4164.43</v>
      </c>
      <c r="N9" s="9">
        <f t="shared" si="4"/>
        <v>7589.0600000000013</v>
      </c>
      <c r="O9" s="9">
        <f t="shared" si="5"/>
        <v>24015.940000000002</v>
      </c>
    </row>
    <row r="10" spans="1:17">
      <c r="A10" s="2" t="s">
        <v>19</v>
      </c>
      <c r="B10" s="16">
        <f>EDATE(StartDate,TermYears*12-1)</f>
        <v>56949</v>
      </c>
      <c r="H10" s="11">
        <f>IF(AND(L9&gt;0.005,H9&lt;&gt;""),8,"")</f>
        <v>8</v>
      </c>
      <c r="I10" s="12">
        <f>IF(H10&lt;&gt;"",EDATE(StartDate,7),"")</f>
        <v>46235</v>
      </c>
      <c r="J10" s="13">
        <f t="shared" si="0"/>
        <v>3409.51</v>
      </c>
      <c r="K10" s="13">
        <f t="shared" si="1"/>
        <v>1105.49</v>
      </c>
      <c r="L10" s="13">
        <f t="shared" si="2"/>
        <v>695305.45</v>
      </c>
      <c r="M10" s="9">
        <f t="shared" si="3"/>
        <v>4164.43</v>
      </c>
      <c r="N10" s="9">
        <f t="shared" si="4"/>
        <v>8694.5500000000011</v>
      </c>
      <c r="O10" s="9">
        <f t="shared" si="5"/>
        <v>27425.450000000004</v>
      </c>
    </row>
    <row r="11" spans="1:17">
      <c r="A11" s="2" t="s">
        <v>20</v>
      </c>
      <c r="B11" s="16">
        <f>LOOKUP(2,1/(I3:I362&lt;&gt;""),I3:I362)</f>
        <v>54455</v>
      </c>
      <c r="H11" s="6">
        <f>IF(AND(L10&gt;0.005,H10&lt;&gt;""),9,"")</f>
        <v>9</v>
      </c>
      <c r="I11" s="7">
        <f>IF(H11&lt;&gt;"",EDATE(StartDate,8),"")</f>
        <v>46266</v>
      </c>
      <c r="J11" s="8">
        <f t="shared" si="0"/>
        <v>3404.1</v>
      </c>
      <c r="K11" s="8">
        <f t="shared" si="1"/>
        <v>1110.9000000000003</v>
      </c>
      <c r="L11" s="8">
        <f t="shared" si="2"/>
        <v>694194.55</v>
      </c>
      <c r="M11" s="9">
        <f t="shared" si="3"/>
        <v>4164.43</v>
      </c>
      <c r="N11" s="9">
        <f t="shared" si="4"/>
        <v>9805.4500000000007</v>
      </c>
      <c r="O11" s="9">
        <f t="shared" si="5"/>
        <v>30829.550000000003</v>
      </c>
    </row>
    <row r="12" spans="1:17">
      <c r="A12" s="2" t="s">
        <v>21</v>
      </c>
      <c r="B12" s="17" t="str">
        <f>INT(SUMPRODUCT(1*(ISNUMBER(H3:H362)))/12)&amp;" years, "&amp;MOD(SUMPRODUCT(1*(ISNUMBER(H3:H362))),12)&amp;" months"</f>
        <v>23 years, 2 months</v>
      </c>
      <c r="H12" s="11">
        <f>IF(AND(L11&gt;0.005,H11&lt;&gt;""),10,"")</f>
        <v>10</v>
      </c>
      <c r="I12" s="12">
        <f>IF(H12&lt;&gt;"",EDATE(StartDate,9),"")</f>
        <v>46296</v>
      </c>
      <c r="J12" s="13">
        <f t="shared" si="0"/>
        <v>3398.66</v>
      </c>
      <c r="K12" s="13">
        <f t="shared" si="1"/>
        <v>1116.3400000000004</v>
      </c>
      <c r="L12" s="13">
        <f t="shared" si="2"/>
        <v>693078.21</v>
      </c>
      <c r="M12" s="9">
        <f t="shared" si="3"/>
        <v>4164.43</v>
      </c>
      <c r="N12" s="9">
        <f t="shared" si="4"/>
        <v>10921.79</v>
      </c>
      <c r="O12" s="9">
        <f t="shared" si="5"/>
        <v>34228.210000000006</v>
      </c>
    </row>
    <row r="13" spans="1:17">
      <c r="A13" s="2" t="s">
        <v>22</v>
      </c>
      <c r="B13" s="18">
        <f>ROUND(MonthlyPmt*TermYears*12-LoanAmount,2)</f>
        <v>795194.8</v>
      </c>
      <c r="H13" s="6">
        <f>IF(AND(L12&gt;0.005,H12&lt;&gt;""),11,"")</f>
        <v>11</v>
      </c>
      <c r="I13" s="7">
        <f>IF(H13&lt;&gt;"",EDATE(StartDate,10),"")</f>
        <v>46327</v>
      </c>
      <c r="J13" s="8">
        <f t="shared" si="0"/>
        <v>3393.2</v>
      </c>
      <c r="K13" s="8">
        <f t="shared" si="1"/>
        <v>1121.8000000000004</v>
      </c>
      <c r="L13" s="8">
        <f t="shared" si="2"/>
        <v>691956.41</v>
      </c>
      <c r="M13" s="9">
        <f t="shared" si="3"/>
        <v>4164.43</v>
      </c>
      <c r="N13" s="9">
        <f t="shared" si="4"/>
        <v>12043.590000000002</v>
      </c>
      <c r="O13" s="9">
        <f t="shared" si="5"/>
        <v>37621.410000000003</v>
      </c>
    </row>
    <row r="14" spans="1:17">
      <c r="A14" s="2" t="s">
        <v>23</v>
      </c>
      <c r="B14" s="18">
        <f>ROUND(SUM(J3:J362),2)</f>
        <v>573619.47</v>
      </c>
      <c r="H14" s="11">
        <f>IF(AND(L13&gt;0.005,H13&lt;&gt;""),12,"")</f>
        <v>12</v>
      </c>
      <c r="I14" s="12">
        <f>IF(H14&lt;&gt;"",EDATE(StartDate,11),"")</f>
        <v>46357</v>
      </c>
      <c r="J14" s="13">
        <f t="shared" si="0"/>
        <v>3387.7</v>
      </c>
      <c r="K14" s="13">
        <f t="shared" si="1"/>
        <v>1127.3000000000004</v>
      </c>
      <c r="L14" s="13">
        <f t="shared" si="2"/>
        <v>690829.11</v>
      </c>
      <c r="M14" s="9">
        <f t="shared" si="3"/>
        <v>4164.43</v>
      </c>
      <c r="N14" s="9">
        <f t="shared" si="4"/>
        <v>13170.890000000003</v>
      </c>
      <c r="O14" s="9">
        <f t="shared" si="5"/>
        <v>41009.11</v>
      </c>
    </row>
    <row r="15" spans="1:17" ht="16">
      <c r="A15" s="2" t="s">
        <v>24</v>
      </c>
      <c r="B15" s="19">
        <f>B13-B14</f>
        <v>221575.33000000007</v>
      </c>
      <c r="H15" s="6">
        <f>IF(AND(L14&gt;0.005,H14&lt;&gt;""),13,"")</f>
        <v>13</v>
      </c>
      <c r="I15" s="7">
        <f>IF(H15&lt;&gt;"",EDATE(StartDate,12),"")</f>
        <v>46388</v>
      </c>
      <c r="J15" s="8">
        <f t="shared" si="0"/>
        <v>3382.18</v>
      </c>
      <c r="K15" s="8">
        <f t="shared" si="1"/>
        <v>1132.8200000000004</v>
      </c>
      <c r="L15" s="8">
        <f t="shared" si="2"/>
        <v>689696.29</v>
      </c>
      <c r="M15" s="9">
        <f t="shared" si="3"/>
        <v>4164.43</v>
      </c>
      <c r="N15" s="9">
        <f t="shared" si="4"/>
        <v>14303.710000000003</v>
      </c>
      <c r="O15" s="9">
        <f t="shared" si="5"/>
        <v>44391.29</v>
      </c>
    </row>
    <row r="16" spans="1:17" ht="16">
      <c r="A16" s="2" t="s">
        <v>25</v>
      </c>
      <c r="B16" s="20" t="str">
        <f>INT((TermYears*12-SUMPRODUCT(1*(ISNUMBER(H3:H362))))/12)&amp;" years, "&amp;MOD((TermYears*12-SUMPRODUCT(1*(ISNUMBER(H3:H362)))),12)&amp;" months"</f>
        <v>6 years, 10 months</v>
      </c>
      <c r="H16" s="11">
        <f>IF(AND(L15&gt;0.005,H15&lt;&gt;""),14,"")</f>
        <v>14</v>
      </c>
      <c r="I16" s="12">
        <f>IF(H16&lt;&gt;"",EDATE(StartDate,13),"")</f>
        <v>46419</v>
      </c>
      <c r="J16" s="13">
        <f t="shared" si="0"/>
        <v>3376.64</v>
      </c>
      <c r="K16" s="13">
        <f t="shared" si="1"/>
        <v>1138.3600000000004</v>
      </c>
      <c r="L16" s="13">
        <f t="shared" si="2"/>
        <v>688557.93</v>
      </c>
      <c r="M16" s="9">
        <f t="shared" si="3"/>
        <v>4164.43</v>
      </c>
      <c r="N16" s="9">
        <f t="shared" si="4"/>
        <v>15442.070000000003</v>
      </c>
      <c r="O16" s="9">
        <f t="shared" si="5"/>
        <v>47767.93</v>
      </c>
    </row>
    <row r="17" spans="1:15">
      <c r="A17" s="2" t="s">
        <v>26</v>
      </c>
      <c r="B17" s="18">
        <f>ROUND(SUM(M3:M362),2)</f>
        <v>1155511.58</v>
      </c>
      <c r="H17" s="6">
        <f>IF(AND(L16&gt;0.005,H16&lt;&gt;""),15,"")</f>
        <v>15</v>
      </c>
      <c r="I17" s="7">
        <f>IF(H17&lt;&gt;"",EDATE(StartDate,14),"")</f>
        <v>46447</v>
      </c>
      <c r="J17" s="8">
        <f t="shared" si="0"/>
        <v>3371.06</v>
      </c>
      <c r="K17" s="8">
        <f t="shared" si="1"/>
        <v>1143.9400000000003</v>
      </c>
      <c r="L17" s="8">
        <f t="shared" si="2"/>
        <v>687413.99</v>
      </c>
      <c r="M17" s="9">
        <f t="shared" si="3"/>
        <v>4164.43</v>
      </c>
      <c r="N17" s="9">
        <f t="shared" si="4"/>
        <v>16586.010000000002</v>
      </c>
      <c r="O17" s="9">
        <f t="shared" si="5"/>
        <v>51138.99</v>
      </c>
    </row>
    <row r="18" spans="1:15">
      <c r="A18" s="2" t="s">
        <v>27</v>
      </c>
      <c r="B18" s="18">
        <f>ROUND(SUM(K3:K362)-SUM(M3:M362)+SUM(J3:J362),2)</f>
        <v>122107.89</v>
      </c>
      <c r="H18" s="11">
        <f>IF(AND(L17&gt;0.005,H17&lt;&gt;""),16,"")</f>
        <v>16</v>
      </c>
      <c r="I18" s="12">
        <f>IF(H18&lt;&gt;"",EDATE(StartDate,15),"")</f>
        <v>46478</v>
      </c>
      <c r="J18" s="13">
        <f t="shared" si="0"/>
        <v>3365.46</v>
      </c>
      <c r="K18" s="13">
        <f t="shared" si="1"/>
        <v>1149.5400000000002</v>
      </c>
      <c r="L18" s="13">
        <f t="shared" si="2"/>
        <v>686264.45</v>
      </c>
      <c r="M18" s="9">
        <f t="shared" si="3"/>
        <v>4164.43</v>
      </c>
      <c r="N18" s="9">
        <f t="shared" si="4"/>
        <v>17735.550000000003</v>
      </c>
      <c r="O18" s="9">
        <f t="shared" si="5"/>
        <v>54504.45</v>
      </c>
    </row>
    <row r="19" spans="1:15">
      <c r="H19" s="6">
        <f>IF(AND(L18&gt;0.005,H18&lt;&gt;""),17,"")</f>
        <v>17</v>
      </c>
      <c r="I19" s="7">
        <f>IF(H19&lt;&gt;"",EDATE(StartDate,16),"")</f>
        <v>46508</v>
      </c>
      <c r="J19" s="8">
        <f t="shared" si="0"/>
        <v>3359.84</v>
      </c>
      <c r="K19" s="8">
        <f t="shared" si="1"/>
        <v>1155.1600000000001</v>
      </c>
      <c r="L19" s="8">
        <f t="shared" si="2"/>
        <v>685109.29</v>
      </c>
      <c r="M19" s="9">
        <f t="shared" si="3"/>
        <v>4164.43</v>
      </c>
      <c r="N19" s="9">
        <f t="shared" si="4"/>
        <v>18890.710000000003</v>
      </c>
      <c r="O19" s="9">
        <f t="shared" si="5"/>
        <v>57864.289999999994</v>
      </c>
    </row>
    <row r="20" spans="1:15" ht="16">
      <c r="A20" s="24" t="s">
        <v>28</v>
      </c>
      <c r="B20" s="25"/>
      <c r="C20" s="25"/>
      <c r="D20" s="25"/>
      <c r="E20" s="25"/>
      <c r="H20" s="11">
        <f>IF(AND(L19&gt;0.005,H19&lt;&gt;""),18,"")</f>
        <v>18</v>
      </c>
      <c r="I20" s="12">
        <f>IF(H20&lt;&gt;"",EDATE(StartDate,17),"")</f>
        <v>46539</v>
      </c>
      <c r="J20" s="13">
        <f t="shared" si="0"/>
        <v>3354.18</v>
      </c>
      <c r="K20" s="13">
        <f t="shared" si="1"/>
        <v>1160.8200000000004</v>
      </c>
      <c r="L20" s="13">
        <f t="shared" si="2"/>
        <v>683948.47</v>
      </c>
      <c r="M20" s="9">
        <f t="shared" si="3"/>
        <v>4164.43</v>
      </c>
      <c r="N20" s="9">
        <f t="shared" si="4"/>
        <v>20051.530000000002</v>
      </c>
      <c r="O20" s="9">
        <f t="shared" si="5"/>
        <v>61218.469999999994</v>
      </c>
    </row>
    <row r="21" spans="1:15">
      <c r="A21" s="4" t="s">
        <v>29</v>
      </c>
      <c r="B21" s="4" t="s">
        <v>15</v>
      </c>
      <c r="C21" s="4" t="s">
        <v>30</v>
      </c>
      <c r="D21" s="4" t="s">
        <v>31</v>
      </c>
      <c r="E21" s="4" t="s">
        <v>32</v>
      </c>
      <c r="H21" s="6">
        <f>IF(AND(L20&gt;0.005,H20&lt;&gt;""),19,"")</f>
        <v>19</v>
      </c>
      <c r="I21" s="7">
        <f>IF(H21&lt;&gt;"",EDATE(StartDate,18),"")</f>
        <v>46569</v>
      </c>
      <c r="J21" s="8">
        <f t="shared" si="0"/>
        <v>3348.5</v>
      </c>
      <c r="K21" s="8">
        <f t="shared" si="1"/>
        <v>1166.5000000000002</v>
      </c>
      <c r="L21" s="8">
        <f t="shared" si="2"/>
        <v>682781.97</v>
      </c>
      <c r="M21" s="9">
        <f t="shared" si="3"/>
        <v>4164.43</v>
      </c>
      <c r="N21" s="9">
        <f t="shared" si="4"/>
        <v>21218.030000000002</v>
      </c>
      <c r="O21" s="9">
        <f t="shared" si="5"/>
        <v>64566.969999999994</v>
      </c>
    </row>
    <row r="22" spans="1:15">
      <c r="A22" s="6">
        <v>1</v>
      </c>
      <c r="B22" s="21">
        <v>46023</v>
      </c>
      <c r="C22" s="21"/>
      <c r="D22" s="22">
        <v>350.57</v>
      </c>
      <c r="E22" s="23" t="s">
        <v>34</v>
      </c>
      <c r="H22" s="11">
        <f>IF(AND(L21&gt;0.005,H21&lt;&gt;""),20,"")</f>
        <v>20</v>
      </c>
      <c r="I22" s="12">
        <f>IF(H22&lt;&gt;"",EDATE(StartDate,19),"")</f>
        <v>46600</v>
      </c>
      <c r="J22" s="13">
        <f t="shared" si="0"/>
        <v>3342.79</v>
      </c>
      <c r="K22" s="13">
        <f t="shared" si="1"/>
        <v>1172.2100000000003</v>
      </c>
      <c r="L22" s="13">
        <f t="shared" si="2"/>
        <v>681609.76</v>
      </c>
      <c r="M22" s="9">
        <f t="shared" si="3"/>
        <v>4164.43</v>
      </c>
      <c r="N22" s="9">
        <f t="shared" si="4"/>
        <v>22390.240000000002</v>
      </c>
      <c r="O22" s="9">
        <f t="shared" si="5"/>
        <v>67909.759999999995</v>
      </c>
    </row>
    <row r="23" spans="1:15">
      <c r="A23" s="6">
        <v>2</v>
      </c>
      <c r="B23" s="21"/>
      <c r="C23" s="21"/>
      <c r="D23" s="22"/>
      <c r="E23" s="23"/>
      <c r="H23" s="6">
        <f>IF(AND(L22&gt;0.005,H22&lt;&gt;""),21,"")</f>
        <v>21</v>
      </c>
      <c r="I23" s="7">
        <f>IF(H23&lt;&gt;"",EDATE(StartDate,20),"")</f>
        <v>46631</v>
      </c>
      <c r="J23" s="8">
        <f t="shared" si="0"/>
        <v>3337.05</v>
      </c>
      <c r="K23" s="8">
        <f t="shared" si="1"/>
        <v>1177.95</v>
      </c>
      <c r="L23" s="8">
        <f t="shared" si="2"/>
        <v>680431.81</v>
      </c>
      <c r="M23" s="9">
        <f t="shared" si="3"/>
        <v>4164.43</v>
      </c>
      <c r="N23" s="9">
        <f t="shared" si="4"/>
        <v>23568.190000000002</v>
      </c>
      <c r="O23" s="9">
        <f t="shared" si="5"/>
        <v>71246.81</v>
      </c>
    </row>
    <row r="24" spans="1:15">
      <c r="A24" s="6">
        <v>3</v>
      </c>
      <c r="B24" s="21"/>
      <c r="C24" s="21"/>
      <c r="D24" s="22"/>
      <c r="E24" s="23"/>
      <c r="H24" s="11">
        <f>IF(AND(L23&gt;0.005,H23&lt;&gt;""),22,"")</f>
        <v>22</v>
      </c>
      <c r="I24" s="12">
        <f>IF(H24&lt;&gt;"",EDATE(StartDate,21),"")</f>
        <v>46661</v>
      </c>
      <c r="J24" s="13">
        <f t="shared" si="0"/>
        <v>3331.28</v>
      </c>
      <c r="K24" s="13">
        <f t="shared" si="1"/>
        <v>1183.72</v>
      </c>
      <c r="L24" s="13">
        <f t="shared" si="2"/>
        <v>679248.09</v>
      </c>
      <c r="M24" s="9">
        <f t="shared" si="3"/>
        <v>4164.43</v>
      </c>
      <c r="N24" s="9">
        <f t="shared" si="4"/>
        <v>24751.910000000003</v>
      </c>
      <c r="O24" s="9">
        <f t="shared" si="5"/>
        <v>74578.09</v>
      </c>
    </row>
    <row r="25" spans="1:15">
      <c r="A25" s="6">
        <v>4</v>
      </c>
      <c r="B25" s="21"/>
      <c r="C25" s="21"/>
      <c r="D25" s="22"/>
      <c r="E25" s="23"/>
      <c r="H25" s="6">
        <f>IF(AND(L24&gt;0.005,H24&lt;&gt;""),23,"")</f>
        <v>23</v>
      </c>
      <c r="I25" s="7">
        <f>IF(H25&lt;&gt;"",EDATE(StartDate,22),"")</f>
        <v>46692</v>
      </c>
      <c r="J25" s="8">
        <f t="shared" si="0"/>
        <v>3325.49</v>
      </c>
      <c r="K25" s="8">
        <f t="shared" si="1"/>
        <v>1189.5100000000004</v>
      </c>
      <c r="L25" s="8">
        <f t="shared" si="2"/>
        <v>678058.58</v>
      </c>
      <c r="M25" s="9">
        <f t="shared" si="3"/>
        <v>4164.43</v>
      </c>
      <c r="N25" s="9">
        <f t="shared" si="4"/>
        <v>25941.420000000006</v>
      </c>
      <c r="O25" s="9">
        <f t="shared" si="5"/>
        <v>77903.58</v>
      </c>
    </row>
    <row r="26" spans="1:15">
      <c r="A26" s="6">
        <v>5</v>
      </c>
      <c r="B26" s="21"/>
      <c r="C26" s="21"/>
      <c r="D26" s="22"/>
      <c r="E26" s="23"/>
      <c r="H26" s="11">
        <f>IF(AND(L25&gt;0.005,H25&lt;&gt;""),24,"")</f>
        <v>24</v>
      </c>
      <c r="I26" s="12">
        <f>IF(H26&lt;&gt;"",EDATE(StartDate,23),"")</f>
        <v>46722</v>
      </c>
      <c r="J26" s="13">
        <f t="shared" si="0"/>
        <v>3319.66</v>
      </c>
      <c r="K26" s="13">
        <f t="shared" si="1"/>
        <v>1195.3400000000004</v>
      </c>
      <c r="L26" s="13">
        <f t="shared" si="2"/>
        <v>676863.24</v>
      </c>
      <c r="M26" s="9">
        <f t="shared" si="3"/>
        <v>4164.43</v>
      </c>
      <c r="N26" s="9">
        <f t="shared" si="4"/>
        <v>27136.760000000006</v>
      </c>
      <c r="O26" s="9">
        <f t="shared" si="5"/>
        <v>81223.240000000005</v>
      </c>
    </row>
    <row r="27" spans="1:15">
      <c r="A27" s="6">
        <v>6</v>
      </c>
      <c r="B27" s="21"/>
      <c r="C27" s="21"/>
      <c r="D27" s="22"/>
      <c r="E27" s="23"/>
      <c r="H27" s="6">
        <f>IF(AND(L26&gt;0.005,H26&lt;&gt;""),25,"")</f>
        <v>25</v>
      </c>
      <c r="I27" s="7">
        <f>IF(H27&lt;&gt;"",EDATE(StartDate,24),"")</f>
        <v>46753</v>
      </c>
      <c r="J27" s="8">
        <f t="shared" si="0"/>
        <v>3313.81</v>
      </c>
      <c r="K27" s="8">
        <f t="shared" si="1"/>
        <v>1201.1900000000003</v>
      </c>
      <c r="L27" s="8">
        <f t="shared" si="2"/>
        <v>675662.05</v>
      </c>
      <c r="M27" s="9">
        <f t="shared" si="3"/>
        <v>4164.43</v>
      </c>
      <c r="N27" s="9">
        <f t="shared" si="4"/>
        <v>28337.950000000004</v>
      </c>
      <c r="O27" s="9">
        <f t="shared" si="5"/>
        <v>84537.05</v>
      </c>
    </row>
    <row r="28" spans="1:15">
      <c r="A28" s="6">
        <v>7</v>
      </c>
      <c r="B28" s="21"/>
      <c r="C28" s="21"/>
      <c r="D28" s="22"/>
      <c r="E28" s="23"/>
      <c r="H28" s="11">
        <f>IF(AND(L27&gt;0.005,H27&lt;&gt;""),26,"")</f>
        <v>26</v>
      </c>
      <c r="I28" s="12">
        <f>IF(H28&lt;&gt;"",EDATE(StartDate,25),"")</f>
        <v>46784</v>
      </c>
      <c r="J28" s="13">
        <f t="shared" si="0"/>
        <v>3307.93</v>
      </c>
      <c r="K28" s="13">
        <f t="shared" si="1"/>
        <v>1207.0700000000004</v>
      </c>
      <c r="L28" s="13">
        <f t="shared" si="2"/>
        <v>674454.98</v>
      </c>
      <c r="M28" s="9">
        <f t="shared" si="3"/>
        <v>4164.43</v>
      </c>
      <c r="N28" s="9">
        <f t="shared" si="4"/>
        <v>29545.020000000004</v>
      </c>
      <c r="O28" s="9">
        <f t="shared" si="5"/>
        <v>87844.98</v>
      </c>
    </row>
    <row r="29" spans="1:15">
      <c r="A29" s="6">
        <v>8</v>
      </c>
      <c r="B29" s="21"/>
      <c r="C29" s="21"/>
      <c r="D29" s="22"/>
      <c r="E29" s="23"/>
      <c r="H29" s="6">
        <f>IF(AND(L28&gt;0.005,H28&lt;&gt;""),27,"")</f>
        <v>27</v>
      </c>
      <c r="I29" s="7">
        <f>IF(H29&lt;&gt;"",EDATE(StartDate,26),"")</f>
        <v>46813</v>
      </c>
      <c r="J29" s="8">
        <f t="shared" si="0"/>
        <v>3302.02</v>
      </c>
      <c r="K29" s="8">
        <f t="shared" si="1"/>
        <v>1212.9800000000002</v>
      </c>
      <c r="L29" s="8">
        <f t="shared" si="2"/>
        <v>673242</v>
      </c>
      <c r="M29" s="9">
        <f t="shared" si="3"/>
        <v>4164.43</v>
      </c>
      <c r="N29" s="9">
        <f t="shared" si="4"/>
        <v>30758.000000000004</v>
      </c>
      <c r="O29" s="9">
        <f t="shared" si="5"/>
        <v>91147</v>
      </c>
    </row>
    <row r="30" spans="1:15">
      <c r="A30" s="6">
        <v>9</v>
      </c>
      <c r="B30" s="21"/>
      <c r="C30" s="21"/>
      <c r="D30" s="22"/>
      <c r="E30" s="23"/>
      <c r="H30" s="11">
        <f>IF(AND(L29&gt;0.005,H29&lt;&gt;""),28,"")</f>
        <v>28</v>
      </c>
      <c r="I30" s="12">
        <f>IF(H30&lt;&gt;"",EDATE(StartDate,27),"")</f>
        <v>46844</v>
      </c>
      <c r="J30" s="13">
        <f t="shared" si="0"/>
        <v>3296.08</v>
      </c>
      <c r="K30" s="13">
        <f t="shared" si="1"/>
        <v>1218.9200000000003</v>
      </c>
      <c r="L30" s="13">
        <f t="shared" si="2"/>
        <v>672023.08</v>
      </c>
      <c r="M30" s="9">
        <f t="shared" si="3"/>
        <v>4164.43</v>
      </c>
      <c r="N30" s="9">
        <f t="shared" si="4"/>
        <v>31976.920000000006</v>
      </c>
      <c r="O30" s="9">
        <f t="shared" si="5"/>
        <v>94443.08</v>
      </c>
    </row>
    <row r="31" spans="1:15">
      <c r="A31" s="6">
        <v>10</v>
      </c>
      <c r="B31" s="21"/>
      <c r="C31" s="21"/>
      <c r="D31" s="22"/>
      <c r="E31" s="23"/>
      <c r="H31" s="6">
        <f>IF(AND(L30&gt;0.005,H30&lt;&gt;""),29,"")</f>
        <v>29</v>
      </c>
      <c r="I31" s="7">
        <f>IF(H31&lt;&gt;"",EDATE(StartDate,28),"")</f>
        <v>46874</v>
      </c>
      <c r="J31" s="8">
        <f t="shared" si="0"/>
        <v>3290.11</v>
      </c>
      <c r="K31" s="8">
        <f t="shared" si="1"/>
        <v>1224.8900000000001</v>
      </c>
      <c r="L31" s="8">
        <f t="shared" si="2"/>
        <v>670798.18999999994</v>
      </c>
      <c r="M31" s="9">
        <f t="shared" si="3"/>
        <v>4164.43</v>
      </c>
      <c r="N31" s="9">
        <f t="shared" si="4"/>
        <v>33201.810000000005</v>
      </c>
      <c r="O31" s="9">
        <f t="shared" si="5"/>
        <v>97733.19</v>
      </c>
    </row>
    <row r="32" spans="1:15">
      <c r="H32" s="11">
        <f>IF(AND(L31&gt;0.005,H31&lt;&gt;""),30,"")</f>
        <v>30</v>
      </c>
      <c r="I32" s="12">
        <f>IF(H32&lt;&gt;"",EDATE(StartDate,29),"")</f>
        <v>46905</v>
      </c>
      <c r="J32" s="13">
        <f t="shared" si="0"/>
        <v>3284.12</v>
      </c>
      <c r="K32" s="13">
        <f t="shared" si="1"/>
        <v>1230.8800000000003</v>
      </c>
      <c r="L32" s="13">
        <f t="shared" si="2"/>
        <v>669567.31000000006</v>
      </c>
      <c r="M32" s="9">
        <f t="shared" si="3"/>
        <v>4164.43</v>
      </c>
      <c r="N32" s="9">
        <f t="shared" si="4"/>
        <v>34432.69</v>
      </c>
      <c r="O32" s="9">
        <f t="shared" si="5"/>
        <v>101017.31</v>
      </c>
    </row>
    <row r="33" spans="1:15" ht="16">
      <c r="A33" s="24" t="s">
        <v>33</v>
      </c>
      <c r="B33" s="25"/>
      <c r="C33" s="25"/>
      <c r="H33" s="6">
        <f>IF(AND(L32&gt;0.005,H32&lt;&gt;""),31,"")</f>
        <v>31</v>
      </c>
      <c r="I33" s="7">
        <f>IF(H33&lt;&gt;"",EDATE(StartDate,30),"")</f>
        <v>46935</v>
      </c>
      <c r="J33" s="8">
        <f t="shared" si="0"/>
        <v>3278.09</v>
      </c>
      <c r="K33" s="8">
        <f t="shared" si="1"/>
        <v>1236.9100000000001</v>
      </c>
      <c r="L33" s="8">
        <f t="shared" si="2"/>
        <v>668330.4</v>
      </c>
      <c r="M33" s="9">
        <f t="shared" si="3"/>
        <v>4164.43</v>
      </c>
      <c r="N33" s="9">
        <f t="shared" si="4"/>
        <v>35669.600000000006</v>
      </c>
      <c r="O33" s="9">
        <f t="shared" si="5"/>
        <v>104295.4</v>
      </c>
    </row>
    <row r="34" spans="1:15">
      <c r="A34" s="4" t="s">
        <v>29</v>
      </c>
      <c r="B34" s="4" t="s">
        <v>6</v>
      </c>
      <c r="C34" s="4" t="s">
        <v>31</v>
      </c>
      <c r="H34" s="11">
        <f>IF(AND(L33&gt;0.005,H33&lt;&gt;""),32,"")</f>
        <v>32</v>
      </c>
      <c r="I34" s="12">
        <f>IF(H34&lt;&gt;"",EDATE(StartDate,31),"")</f>
        <v>46966</v>
      </c>
      <c r="J34" s="13">
        <f t="shared" si="0"/>
        <v>3272.03</v>
      </c>
      <c r="K34" s="13">
        <f t="shared" si="1"/>
        <v>1242.97</v>
      </c>
      <c r="L34" s="13">
        <f t="shared" si="2"/>
        <v>667087.43000000005</v>
      </c>
      <c r="M34" s="9">
        <f t="shared" si="3"/>
        <v>4164.43</v>
      </c>
      <c r="N34" s="9">
        <f t="shared" si="4"/>
        <v>36912.570000000007</v>
      </c>
      <c r="O34" s="9">
        <f t="shared" si="5"/>
        <v>107567.43</v>
      </c>
    </row>
    <row r="35" spans="1:15">
      <c r="A35" s="6">
        <v>1</v>
      </c>
      <c r="B35" s="21">
        <v>47484</v>
      </c>
      <c r="C35" s="22">
        <v>25000</v>
      </c>
      <c r="H35" s="6">
        <f>IF(AND(L34&gt;0.005,H34&lt;&gt;""),33,"")</f>
        <v>33</v>
      </c>
      <c r="I35" s="7">
        <f>IF(H35&lt;&gt;"",EDATE(StartDate,32),"")</f>
        <v>46997</v>
      </c>
      <c r="J35" s="8">
        <f t="shared" si="0"/>
        <v>3265.95</v>
      </c>
      <c r="K35" s="8">
        <f t="shared" si="1"/>
        <v>1249.0500000000004</v>
      </c>
      <c r="L35" s="8">
        <f t="shared" si="2"/>
        <v>665838.38</v>
      </c>
      <c r="M35" s="9">
        <f t="shared" si="3"/>
        <v>4164.43</v>
      </c>
      <c r="N35" s="9">
        <f t="shared" si="4"/>
        <v>38161.62000000001</v>
      </c>
      <c r="O35" s="9">
        <f t="shared" si="5"/>
        <v>110833.37999999999</v>
      </c>
    </row>
    <row r="36" spans="1:15">
      <c r="A36" s="6">
        <v>2</v>
      </c>
      <c r="B36" s="21"/>
      <c r="C36" s="22"/>
      <c r="H36" s="11">
        <f>IF(AND(L35&gt;0.005,H35&lt;&gt;""),34,"")</f>
        <v>34</v>
      </c>
      <c r="I36" s="12">
        <f>IF(H36&lt;&gt;"",EDATE(StartDate,33),"")</f>
        <v>47027</v>
      </c>
      <c r="J36" s="13">
        <f t="shared" si="0"/>
        <v>3259.83</v>
      </c>
      <c r="K36" s="13">
        <f t="shared" si="1"/>
        <v>1255.1700000000003</v>
      </c>
      <c r="L36" s="13">
        <f t="shared" si="2"/>
        <v>664583.21</v>
      </c>
      <c r="M36" s="9">
        <f t="shared" si="3"/>
        <v>4164.43</v>
      </c>
      <c r="N36" s="9">
        <f t="shared" si="4"/>
        <v>39416.790000000008</v>
      </c>
      <c r="O36" s="9">
        <f t="shared" si="5"/>
        <v>114093.20999999999</v>
      </c>
    </row>
    <row r="37" spans="1:15">
      <c r="A37" s="6">
        <v>3</v>
      </c>
      <c r="B37" s="21"/>
      <c r="C37" s="22"/>
      <c r="H37" s="6">
        <f>IF(AND(L36&gt;0.005,H36&lt;&gt;""),35,"")</f>
        <v>35</v>
      </c>
      <c r="I37" s="7">
        <f>IF(H37&lt;&gt;"",EDATE(StartDate,34),"")</f>
        <v>47058</v>
      </c>
      <c r="J37" s="8">
        <f t="shared" si="0"/>
        <v>3253.69</v>
      </c>
      <c r="K37" s="8">
        <f t="shared" si="1"/>
        <v>1261.3100000000002</v>
      </c>
      <c r="L37" s="8">
        <f t="shared" si="2"/>
        <v>663321.9</v>
      </c>
      <c r="M37" s="9">
        <f t="shared" si="3"/>
        <v>4164.43</v>
      </c>
      <c r="N37" s="9">
        <f t="shared" si="4"/>
        <v>40678.100000000006</v>
      </c>
      <c r="O37" s="9">
        <f t="shared" si="5"/>
        <v>117346.9</v>
      </c>
    </row>
    <row r="38" spans="1:15">
      <c r="A38" s="6">
        <v>4</v>
      </c>
      <c r="B38" s="21"/>
      <c r="C38" s="22"/>
      <c r="H38" s="11">
        <f>IF(AND(L37&gt;0.005,H37&lt;&gt;""),36,"")</f>
        <v>36</v>
      </c>
      <c r="I38" s="12">
        <f>IF(H38&lt;&gt;"",EDATE(StartDate,35),"")</f>
        <v>47088</v>
      </c>
      <c r="J38" s="13">
        <f t="shared" si="0"/>
        <v>3247.51</v>
      </c>
      <c r="K38" s="13">
        <f t="shared" si="1"/>
        <v>1267.49</v>
      </c>
      <c r="L38" s="13">
        <f t="shared" si="2"/>
        <v>662054.41</v>
      </c>
      <c r="M38" s="9">
        <f t="shared" si="3"/>
        <v>4164.43</v>
      </c>
      <c r="N38" s="9">
        <f t="shared" si="4"/>
        <v>41945.590000000004</v>
      </c>
      <c r="O38" s="9">
        <f t="shared" si="5"/>
        <v>120594.40999999999</v>
      </c>
    </row>
    <row r="39" spans="1:15">
      <c r="A39" s="6">
        <v>5</v>
      </c>
      <c r="B39" s="21"/>
      <c r="C39" s="22"/>
      <c r="H39" s="6">
        <f>IF(AND(L38&gt;0.005,H38&lt;&gt;""),37,"")</f>
        <v>37</v>
      </c>
      <c r="I39" s="7">
        <f>IF(H39&lt;&gt;"",EDATE(StartDate,36),"")</f>
        <v>47119</v>
      </c>
      <c r="J39" s="8">
        <f t="shared" si="0"/>
        <v>3241.31</v>
      </c>
      <c r="K39" s="8">
        <f t="shared" si="1"/>
        <v>1273.6900000000003</v>
      </c>
      <c r="L39" s="8">
        <f t="shared" si="2"/>
        <v>660780.72</v>
      </c>
      <c r="M39" s="9">
        <f t="shared" si="3"/>
        <v>4164.43</v>
      </c>
      <c r="N39" s="9">
        <f t="shared" si="4"/>
        <v>43219.280000000006</v>
      </c>
      <c r="O39" s="9">
        <f t="shared" si="5"/>
        <v>123835.71999999999</v>
      </c>
    </row>
    <row r="40" spans="1:15">
      <c r="A40" s="6">
        <v>6</v>
      </c>
      <c r="B40" s="21"/>
      <c r="C40" s="22"/>
      <c r="H40" s="11">
        <f>IF(AND(L39&gt;0.005,H39&lt;&gt;""),38,"")</f>
        <v>38</v>
      </c>
      <c r="I40" s="12">
        <f>IF(H40&lt;&gt;"",EDATE(StartDate,37),"")</f>
        <v>47150</v>
      </c>
      <c r="J40" s="13">
        <f t="shared" si="0"/>
        <v>3235.07</v>
      </c>
      <c r="K40" s="13">
        <f t="shared" si="1"/>
        <v>1279.93</v>
      </c>
      <c r="L40" s="13">
        <f t="shared" si="2"/>
        <v>659500.79</v>
      </c>
      <c r="M40" s="9">
        <f t="shared" si="3"/>
        <v>4164.43</v>
      </c>
      <c r="N40" s="9">
        <f t="shared" si="4"/>
        <v>44499.210000000006</v>
      </c>
      <c r="O40" s="9">
        <f t="shared" si="5"/>
        <v>127070.79</v>
      </c>
    </row>
    <row r="41" spans="1:15">
      <c r="A41" s="6">
        <v>7</v>
      </c>
      <c r="B41" s="21"/>
      <c r="C41" s="22"/>
      <c r="H41" s="6">
        <f>IF(AND(L40&gt;0.005,H40&lt;&gt;""),39,"")</f>
        <v>39</v>
      </c>
      <c r="I41" s="7">
        <f>IF(H41&lt;&gt;"",EDATE(StartDate,38),"")</f>
        <v>47178</v>
      </c>
      <c r="J41" s="8">
        <f t="shared" si="0"/>
        <v>3228.81</v>
      </c>
      <c r="K41" s="8">
        <f t="shared" si="1"/>
        <v>1286.1900000000003</v>
      </c>
      <c r="L41" s="8">
        <f t="shared" si="2"/>
        <v>658214.6</v>
      </c>
      <c r="M41" s="9">
        <f t="shared" si="3"/>
        <v>4164.43</v>
      </c>
      <c r="N41" s="9">
        <f t="shared" si="4"/>
        <v>45785.400000000009</v>
      </c>
      <c r="O41" s="9">
        <f t="shared" si="5"/>
        <v>130299.59999999999</v>
      </c>
    </row>
    <row r="42" spans="1:15">
      <c r="A42" s="6">
        <v>8</v>
      </c>
      <c r="B42" s="21"/>
      <c r="C42" s="22"/>
      <c r="H42" s="11">
        <f>IF(AND(L41&gt;0.005,H41&lt;&gt;""),40,"")</f>
        <v>40</v>
      </c>
      <c r="I42" s="12">
        <f>IF(H42&lt;&gt;"",EDATE(StartDate,39),"")</f>
        <v>47209</v>
      </c>
      <c r="J42" s="13">
        <f t="shared" si="0"/>
        <v>3222.51</v>
      </c>
      <c r="K42" s="13">
        <f t="shared" si="1"/>
        <v>1292.49</v>
      </c>
      <c r="L42" s="13">
        <f t="shared" si="2"/>
        <v>656922.11</v>
      </c>
      <c r="M42" s="9">
        <f t="shared" si="3"/>
        <v>4164.43</v>
      </c>
      <c r="N42" s="9">
        <f t="shared" si="4"/>
        <v>47077.890000000007</v>
      </c>
      <c r="O42" s="9">
        <f t="shared" si="5"/>
        <v>133522.10999999999</v>
      </c>
    </row>
    <row r="43" spans="1:15">
      <c r="A43" s="6">
        <v>9</v>
      </c>
      <c r="B43" s="21"/>
      <c r="C43" s="22"/>
      <c r="H43" s="6">
        <f>IF(AND(L42&gt;0.005,H42&lt;&gt;""),41,"")</f>
        <v>41</v>
      </c>
      <c r="I43" s="7">
        <f>IF(H43&lt;&gt;"",EDATE(StartDate,40),"")</f>
        <v>47239</v>
      </c>
      <c r="J43" s="8">
        <f t="shared" si="0"/>
        <v>3216.18</v>
      </c>
      <c r="K43" s="8">
        <f t="shared" si="1"/>
        <v>1298.8200000000004</v>
      </c>
      <c r="L43" s="8">
        <f t="shared" si="2"/>
        <v>655623.29</v>
      </c>
      <c r="M43" s="9">
        <f t="shared" si="3"/>
        <v>4164.43</v>
      </c>
      <c r="N43" s="9">
        <f t="shared" si="4"/>
        <v>48376.710000000006</v>
      </c>
      <c r="O43" s="9">
        <f t="shared" si="5"/>
        <v>136738.28999999998</v>
      </c>
    </row>
    <row r="44" spans="1:15">
      <c r="A44" s="6">
        <v>10</v>
      </c>
      <c r="B44" s="21"/>
      <c r="C44" s="22"/>
      <c r="H44" s="11">
        <f>IF(AND(L43&gt;0.005,H43&lt;&gt;""),42,"")</f>
        <v>42</v>
      </c>
      <c r="I44" s="12">
        <f>IF(H44&lt;&gt;"",EDATE(StartDate,41),"")</f>
        <v>47270</v>
      </c>
      <c r="J44" s="13">
        <f t="shared" si="0"/>
        <v>3209.82</v>
      </c>
      <c r="K44" s="13">
        <f t="shared" si="1"/>
        <v>1305.18</v>
      </c>
      <c r="L44" s="13">
        <f t="shared" si="2"/>
        <v>654318.11</v>
      </c>
      <c r="M44" s="9">
        <f t="shared" si="3"/>
        <v>4164.43</v>
      </c>
      <c r="N44" s="9">
        <f t="shared" si="4"/>
        <v>49681.890000000007</v>
      </c>
      <c r="O44" s="9">
        <f t="shared" si="5"/>
        <v>139948.10999999999</v>
      </c>
    </row>
    <row r="45" spans="1:15">
      <c r="A45" s="6">
        <v>11</v>
      </c>
      <c r="B45" s="21"/>
      <c r="C45" s="22"/>
      <c r="H45" s="6">
        <f>IF(AND(L44&gt;0.005,H44&lt;&gt;""),43,"")</f>
        <v>43</v>
      </c>
      <c r="I45" s="7">
        <f>IF(H45&lt;&gt;"",EDATE(StartDate,42),"")</f>
        <v>47300</v>
      </c>
      <c r="J45" s="8">
        <f t="shared" si="0"/>
        <v>3203.43</v>
      </c>
      <c r="K45" s="8">
        <f t="shared" si="1"/>
        <v>1311.5700000000004</v>
      </c>
      <c r="L45" s="8">
        <f t="shared" si="2"/>
        <v>653006.54</v>
      </c>
      <c r="M45" s="9">
        <f t="shared" si="3"/>
        <v>4164.43</v>
      </c>
      <c r="N45" s="9">
        <f t="shared" si="4"/>
        <v>50993.460000000006</v>
      </c>
      <c r="O45" s="9">
        <f t="shared" si="5"/>
        <v>143151.53999999998</v>
      </c>
    </row>
    <row r="46" spans="1:15">
      <c r="A46" s="6">
        <v>12</v>
      </c>
      <c r="B46" s="21"/>
      <c r="C46" s="22"/>
      <c r="H46" s="11">
        <f>IF(AND(L45&gt;0.005,H45&lt;&gt;""),44,"")</f>
        <v>44</v>
      </c>
      <c r="I46" s="12">
        <f>IF(H46&lt;&gt;"",EDATE(StartDate,43),"")</f>
        <v>47331</v>
      </c>
      <c r="J46" s="13">
        <f t="shared" si="0"/>
        <v>3197.01</v>
      </c>
      <c r="K46" s="13">
        <f t="shared" si="1"/>
        <v>1317.99</v>
      </c>
      <c r="L46" s="13">
        <f t="shared" si="2"/>
        <v>651688.55000000005</v>
      </c>
      <c r="M46" s="9">
        <f t="shared" si="3"/>
        <v>4164.43</v>
      </c>
      <c r="N46" s="9">
        <f t="shared" si="4"/>
        <v>52311.450000000004</v>
      </c>
      <c r="O46" s="9">
        <f t="shared" si="5"/>
        <v>146348.54999999999</v>
      </c>
    </row>
    <row r="47" spans="1:15">
      <c r="A47" s="6">
        <v>13</v>
      </c>
      <c r="B47" s="21"/>
      <c r="C47" s="22"/>
      <c r="H47" s="6">
        <f>IF(AND(L46&gt;0.005,H46&lt;&gt;""),45,"")</f>
        <v>45</v>
      </c>
      <c r="I47" s="7">
        <f>IF(H47&lt;&gt;"",EDATE(StartDate,44),"")</f>
        <v>47362</v>
      </c>
      <c r="J47" s="8">
        <f t="shared" si="0"/>
        <v>3190.56</v>
      </c>
      <c r="K47" s="8">
        <f t="shared" si="1"/>
        <v>1324.4400000000003</v>
      </c>
      <c r="L47" s="8">
        <f t="shared" si="2"/>
        <v>650364.11</v>
      </c>
      <c r="M47" s="9">
        <f t="shared" si="3"/>
        <v>4164.43</v>
      </c>
      <c r="N47" s="9">
        <f t="shared" si="4"/>
        <v>53635.890000000007</v>
      </c>
      <c r="O47" s="9">
        <f t="shared" si="5"/>
        <v>149539.10999999999</v>
      </c>
    </row>
    <row r="48" spans="1:15">
      <c r="A48" s="6">
        <v>14</v>
      </c>
      <c r="B48" s="21"/>
      <c r="C48" s="22"/>
      <c r="H48" s="11">
        <f>IF(AND(L47&gt;0.005,H47&lt;&gt;""),46,"")</f>
        <v>46</v>
      </c>
      <c r="I48" s="12">
        <f>IF(H48&lt;&gt;"",EDATE(StartDate,45),"")</f>
        <v>47392</v>
      </c>
      <c r="J48" s="13">
        <f t="shared" si="0"/>
        <v>3184.07</v>
      </c>
      <c r="K48" s="13">
        <f t="shared" si="1"/>
        <v>1330.93</v>
      </c>
      <c r="L48" s="13">
        <f t="shared" si="2"/>
        <v>649033.18000000005</v>
      </c>
      <c r="M48" s="9">
        <f t="shared" si="3"/>
        <v>4164.43</v>
      </c>
      <c r="N48" s="9">
        <f t="shared" si="4"/>
        <v>54966.820000000007</v>
      </c>
      <c r="O48" s="9">
        <f t="shared" si="5"/>
        <v>152723.18</v>
      </c>
    </row>
    <row r="49" spans="1:15">
      <c r="A49" s="6">
        <v>15</v>
      </c>
      <c r="B49" s="21"/>
      <c r="C49" s="22"/>
      <c r="H49" s="6">
        <f>IF(AND(L48&gt;0.005,H48&lt;&gt;""),47,"")</f>
        <v>47</v>
      </c>
      <c r="I49" s="7">
        <f>IF(H49&lt;&gt;"",EDATE(StartDate,46),"")</f>
        <v>47423</v>
      </c>
      <c r="J49" s="8">
        <f t="shared" si="0"/>
        <v>3177.56</v>
      </c>
      <c r="K49" s="8">
        <f t="shared" si="1"/>
        <v>1337.4400000000003</v>
      </c>
      <c r="L49" s="8">
        <f t="shared" si="2"/>
        <v>647695.74</v>
      </c>
      <c r="M49" s="9">
        <f t="shared" si="3"/>
        <v>4164.43</v>
      </c>
      <c r="N49" s="9">
        <f t="shared" si="4"/>
        <v>56304.260000000009</v>
      </c>
      <c r="O49" s="9">
        <f t="shared" si="5"/>
        <v>155900.74</v>
      </c>
    </row>
    <row r="50" spans="1:15">
      <c r="H50" s="11">
        <f>IF(AND(L49&gt;0.005,H49&lt;&gt;""),48,"")</f>
        <v>48</v>
      </c>
      <c r="I50" s="12">
        <f>IF(H50&lt;&gt;"",EDATE(StartDate,47),"")</f>
        <v>47453</v>
      </c>
      <c r="J50" s="13">
        <f t="shared" si="0"/>
        <v>3171.01</v>
      </c>
      <c r="K50" s="13">
        <f t="shared" si="1"/>
        <v>1343.99</v>
      </c>
      <c r="L50" s="13">
        <f t="shared" si="2"/>
        <v>646351.75</v>
      </c>
      <c r="M50" s="9">
        <f t="shared" si="3"/>
        <v>4164.43</v>
      </c>
      <c r="N50" s="9">
        <f t="shared" si="4"/>
        <v>57648.250000000007</v>
      </c>
      <c r="O50" s="9">
        <f t="shared" si="5"/>
        <v>159071.75</v>
      </c>
    </row>
    <row r="51" spans="1:15">
      <c r="H51" s="6">
        <f>IF(AND(L50&gt;0.005,H50&lt;&gt;""),49,"")</f>
        <v>49</v>
      </c>
      <c r="I51" s="7">
        <f>IF(H51&lt;&gt;"",EDATE(StartDate,48),"")</f>
        <v>47484</v>
      </c>
      <c r="J51" s="8">
        <f t="shared" si="0"/>
        <v>3164.43</v>
      </c>
      <c r="K51" s="8">
        <f t="shared" si="1"/>
        <v>26350.57</v>
      </c>
      <c r="L51" s="8">
        <f t="shared" si="2"/>
        <v>620001.18000000005</v>
      </c>
      <c r="M51" s="9">
        <f t="shared" si="3"/>
        <v>4164.43</v>
      </c>
      <c r="N51" s="9">
        <f t="shared" si="4"/>
        <v>83998.82</v>
      </c>
      <c r="O51" s="9">
        <f t="shared" si="5"/>
        <v>162236.18</v>
      </c>
    </row>
    <row r="52" spans="1:15">
      <c r="H52" s="11">
        <f>IF(AND(L51&gt;0.005,H51&lt;&gt;""),50,"")</f>
        <v>50</v>
      </c>
      <c r="I52" s="12">
        <f>IF(H52&lt;&gt;"",EDATE(StartDate,49),"")</f>
        <v>47515</v>
      </c>
      <c r="J52" s="13">
        <f t="shared" si="0"/>
        <v>3035.42</v>
      </c>
      <c r="K52" s="13">
        <f t="shared" si="1"/>
        <v>1479.5800000000002</v>
      </c>
      <c r="L52" s="13">
        <f t="shared" si="2"/>
        <v>618521.59999999998</v>
      </c>
      <c r="M52" s="9">
        <f t="shared" si="3"/>
        <v>4164.43</v>
      </c>
      <c r="N52" s="9">
        <f t="shared" si="4"/>
        <v>85478.400000000009</v>
      </c>
      <c r="O52" s="9">
        <f t="shared" si="5"/>
        <v>165271.6</v>
      </c>
    </row>
    <row r="53" spans="1:15">
      <c r="H53" s="6">
        <f>IF(AND(L52&gt;0.005,H52&lt;&gt;""),51,"")</f>
        <v>51</v>
      </c>
      <c r="I53" s="7">
        <f>IF(H53&lt;&gt;"",EDATE(StartDate,50),"")</f>
        <v>47543</v>
      </c>
      <c r="J53" s="8">
        <f t="shared" si="0"/>
        <v>3028.18</v>
      </c>
      <c r="K53" s="8">
        <f t="shared" si="1"/>
        <v>1486.8200000000004</v>
      </c>
      <c r="L53" s="8">
        <f t="shared" si="2"/>
        <v>617034.78</v>
      </c>
      <c r="M53" s="9">
        <f t="shared" si="3"/>
        <v>4164.43</v>
      </c>
      <c r="N53" s="9">
        <f t="shared" si="4"/>
        <v>86965.220000000016</v>
      </c>
      <c r="O53" s="9">
        <f t="shared" si="5"/>
        <v>168299.78</v>
      </c>
    </row>
    <row r="54" spans="1:15">
      <c r="H54" s="11">
        <f>IF(AND(L53&gt;0.005,H53&lt;&gt;""),52,"")</f>
        <v>52</v>
      </c>
      <c r="I54" s="12">
        <f>IF(H54&lt;&gt;"",EDATE(StartDate,51),"")</f>
        <v>47574</v>
      </c>
      <c r="J54" s="13">
        <f t="shared" si="0"/>
        <v>3020.9</v>
      </c>
      <c r="K54" s="13">
        <f t="shared" si="1"/>
        <v>1494.1000000000001</v>
      </c>
      <c r="L54" s="13">
        <f t="shared" si="2"/>
        <v>615540.68000000005</v>
      </c>
      <c r="M54" s="9">
        <f t="shared" si="3"/>
        <v>4164.43</v>
      </c>
      <c r="N54" s="9">
        <f t="shared" si="4"/>
        <v>88459.320000000022</v>
      </c>
      <c r="O54" s="9">
        <f t="shared" si="5"/>
        <v>171320.68</v>
      </c>
    </row>
    <row r="55" spans="1:15">
      <c r="H55" s="6">
        <f>IF(AND(L54&gt;0.005,H54&lt;&gt;""),53,"")</f>
        <v>53</v>
      </c>
      <c r="I55" s="7">
        <f>IF(H55&lt;&gt;"",EDATE(StartDate,52),"")</f>
        <v>47604</v>
      </c>
      <c r="J55" s="8">
        <f t="shared" si="0"/>
        <v>3013.58</v>
      </c>
      <c r="K55" s="8">
        <f t="shared" si="1"/>
        <v>1501.4200000000003</v>
      </c>
      <c r="L55" s="8">
        <f t="shared" si="2"/>
        <v>614039.26</v>
      </c>
      <c r="M55" s="9">
        <f t="shared" si="3"/>
        <v>4164.43</v>
      </c>
      <c r="N55" s="9">
        <f t="shared" si="4"/>
        <v>89960.74000000002</v>
      </c>
      <c r="O55" s="9">
        <f t="shared" si="5"/>
        <v>174334.25999999998</v>
      </c>
    </row>
    <row r="56" spans="1:15">
      <c r="H56" s="11">
        <f>IF(AND(L55&gt;0.005,H55&lt;&gt;""),54,"")</f>
        <v>54</v>
      </c>
      <c r="I56" s="12">
        <f>IF(H56&lt;&gt;"",EDATE(StartDate,53),"")</f>
        <v>47635</v>
      </c>
      <c r="J56" s="13">
        <f t="shared" si="0"/>
        <v>3006.23</v>
      </c>
      <c r="K56" s="13">
        <f t="shared" si="1"/>
        <v>1508.7700000000002</v>
      </c>
      <c r="L56" s="13">
        <f t="shared" si="2"/>
        <v>612530.49</v>
      </c>
      <c r="M56" s="9">
        <f t="shared" si="3"/>
        <v>4164.43</v>
      </c>
      <c r="N56" s="9">
        <f t="shared" si="4"/>
        <v>91469.510000000024</v>
      </c>
      <c r="O56" s="9">
        <f t="shared" si="5"/>
        <v>177340.49</v>
      </c>
    </row>
    <row r="57" spans="1:15">
      <c r="H57" s="6">
        <f>IF(AND(L56&gt;0.005,H56&lt;&gt;""),55,"")</f>
        <v>55</v>
      </c>
      <c r="I57" s="7">
        <f>IF(H57&lt;&gt;"",EDATE(StartDate,54),"")</f>
        <v>47665</v>
      </c>
      <c r="J57" s="8">
        <f t="shared" si="0"/>
        <v>2998.85</v>
      </c>
      <c r="K57" s="8">
        <f t="shared" si="1"/>
        <v>1516.1500000000003</v>
      </c>
      <c r="L57" s="8">
        <f t="shared" si="2"/>
        <v>611014.34</v>
      </c>
      <c r="M57" s="9">
        <f t="shared" si="3"/>
        <v>4164.43</v>
      </c>
      <c r="N57" s="9">
        <f t="shared" si="4"/>
        <v>92985.660000000018</v>
      </c>
      <c r="O57" s="9">
        <f t="shared" si="5"/>
        <v>180339.34</v>
      </c>
    </row>
    <row r="58" spans="1:15">
      <c r="H58" s="11">
        <f>IF(AND(L57&gt;0.005,H57&lt;&gt;""),56,"")</f>
        <v>56</v>
      </c>
      <c r="I58" s="12">
        <f>IF(H58&lt;&gt;"",EDATE(StartDate,55),"")</f>
        <v>47696</v>
      </c>
      <c r="J58" s="13">
        <f t="shared" si="0"/>
        <v>2991.42</v>
      </c>
      <c r="K58" s="13">
        <f t="shared" si="1"/>
        <v>1523.5800000000002</v>
      </c>
      <c r="L58" s="13">
        <f t="shared" si="2"/>
        <v>609490.76</v>
      </c>
      <c r="M58" s="9">
        <f t="shared" si="3"/>
        <v>4164.43</v>
      </c>
      <c r="N58" s="9">
        <f t="shared" si="4"/>
        <v>94509.24000000002</v>
      </c>
      <c r="O58" s="9">
        <f t="shared" si="5"/>
        <v>183330.76</v>
      </c>
    </row>
    <row r="59" spans="1:15">
      <c r="H59" s="6">
        <f>IF(AND(L58&gt;0.005,H58&lt;&gt;""),57,"")</f>
        <v>57</v>
      </c>
      <c r="I59" s="7">
        <f>IF(H59&lt;&gt;"",EDATE(StartDate,56),"")</f>
        <v>47727</v>
      </c>
      <c r="J59" s="8">
        <f t="shared" si="0"/>
        <v>2983.97</v>
      </c>
      <c r="K59" s="8">
        <f t="shared" si="1"/>
        <v>1531.0300000000004</v>
      </c>
      <c r="L59" s="8">
        <f t="shared" si="2"/>
        <v>607959.73</v>
      </c>
      <c r="M59" s="9">
        <f t="shared" si="3"/>
        <v>4164.43</v>
      </c>
      <c r="N59" s="9">
        <f t="shared" si="4"/>
        <v>96040.270000000019</v>
      </c>
      <c r="O59" s="9">
        <f t="shared" si="5"/>
        <v>186314.73</v>
      </c>
    </row>
    <row r="60" spans="1:15">
      <c r="H60" s="11">
        <f>IF(AND(L59&gt;0.005,H59&lt;&gt;""),58,"")</f>
        <v>58</v>
      </c>
      <c r="I60" s="12">
        <f>IF(H60&lt;&gt;"",EDATE(StartDate,57),"")</f>
        <v>47757</v>
      </c>
      <c r="J60" s="13">
        <f t="shared" si="0"/>
        <v>2976.47</v>
      </c>
      <c r="K60" s="13">
        <f t="shared" si="1"/>
        <v>1538.5300000000004</v>
      </c>
      <c r="L60" s="13">
        <f t="shared" si="2"/>
        <v>606421.19999999995</v>
      </c>
      <c r="M60" s="9">
        <f t="shared" si="3"/>
        <v>4164.43</v>
      </c>
      <c r="N60" s="9">
        <f t="shared" si="4"/>
        <v>97578.800000000017</v>
      </c>
      <c r="O60" s="9">
        <f t="shared" si="5"/>
        <v>189291.2</v>
      </c>
    </row>
    <row r="61" spans="1:15">
      <c r="H61" s="6">
        <f>IF(AND(L60&gt;0.005,H60&lt;&gt;""),59,"")</f>
        <v>59</v>
      </c>
      <c r="I61" s="7">
        <f>IF(H61&lt;&gt;"",EDATE(StartDate,58),"")</f>
        <v>47788</v>
      </c>
      <c r="J61" s="8">
        <f t="shared" si="0"/>
        <v>2968.94</v>
      </c>
      <c r="K61" s="8">
        <f t="shared" si="1"/>
        <v>1546.0600000000002</v>
      </c>
      <c r="L61" s="8">
        <f t="shared" si="2"/>
        <v>604875.14</v>
      </c>
      <c r="M61" s="9">
        <f t="shared" si="3"/>
        <v>4164.43</v>
      </c>
      <c r="N61" s="9">
        <f t="shared" si="4"/>
        <v>99124.860000000015</v>
      </c>
      <c r="O61" s="9">
        <f t="shared" si="5"/>
        <v>192260.14</v>
      </c>
    </row>
    <row r="62" spans="1:15">
      <c r="H62" s="11">
        <f>IF(AND(L61&gt;0.005,H61&lt;&gt;""),60,"")</f>
        <v>60</v>
      </c>
      <c r="I62" s="12">
        <f>IF(H62&lt;&gt;"",EDATE(StartDate,59),"")</f>
        <v>47818</v>
      </c>
      <c r="J62" s="13">
        <f t="shared" si="0"/>
        <v>2961.37</v>
      </c>
      <c r="K62" s="13">
        <f t="shared" si="1"/>
        <v>1553.6300000000003</v>
      </c>
      <c r="L62" s="13">
        <f t="shared" si="2"/>
        <v>603321.51</v>
      </c>
      <c r="M62" s="9">
        <f t="shared" si="3"/>
        <v>4164.43</v>
      </c>
      <c r="N62" s="9">
        <f t="shared" si="4"/>
        <v>100678.49000000002</v>
      </c>
      <c r="O62" s="9">
        <f t="shared" si="5"/>
        <v>195221.51</v>
      </c>
    </row>
    <row r="63" spans="1:15">
      <c r="H63" s="6">
        <f>IF(AND(L62&gt;0.005,H62&lt;&gt;""),61,"")</f>
        <v>61</v>
      </c>
      <c r="I63" s="7">
        <f>IF(H63&lt;&gt;"",EDATE(StartDate,60),"")</f>
        <v>47849</v>
      </c>
      <c r="J63" s="8">
        <f t="shared" si="0"/>
        <v>2953.76</v>
      </c>
      <c r="K63" s="8">
        <f t="shared" si="1"/>
        <v>1561.24</v>
      </c>
      <c r="L63" s="8">
        <f t="shared" si="2"/>
        <v>601760.27</v>
      </c>
      <c r="M63" s="9">
        <f t="shared" si="3"/>
        <v>4164.43</v>
      </c>
      <c r="N63" s="9">
        <f t="shared" si="4"/>
        <v>102239.73000000003</v>
      </c>
      <c r="O63" s="9">
        <f t="shared" si="5"/>
        <v>198175.27000000002</v>
      </c>
    </row>
    <row r="64" spans="1:15">
      <c r="H64" s="11">
        <f>IF(AND(L63&gt;0.005,H63&lt;&gt;""),62,"")</f>
        <v>62</v>
      </c>
      <c r="I64" s="12">
        <f>IF(H64&lt;&gt;"",EDATE(StartDate,61),"")</f>
        <v>47880</v>
      </c>
      <c r="J64" s="13">
        <f t="shared" si="0"/>
        <v>2946.12</v>
      </c>
      <c r="K64" s="13">
        <f t="shared" si="1"/>
        <v>1568.8800000000003</v>
      </c>
      <c r="L64" s="13">
        <f t="shared" si="2"/>
        <v>600191.39</v>
      </c>
      <c r="M64" s="9">
        <f t="shared" si="3"/>
        <v>4164.43</v>
      </c>
      <c r="N64" s="9">
        <f t="shared" si="4"/>
        <v>103808.61000000003</v>
      </c>
      <c r="O64" s="9">
        <f t="shared" si="5"/>
        <v>201121.39</v>
      </c>
    </row>
    <row r="65" spans="8:15">
      <c r="H65" s="6">
        <f>IF(AND(L64&gt;0.005,H64&lt;&gt;""),63,"")</f>
        <v>63</v>
      </c>
      <c r="I65" s="7">
        <f>IF(H65&lt;&gt;"",EDATE(StartDate,62),"")</f>
        <v>47908</v>
      </c>
      <c r="J65" s="8">
        <f t="shared" si="0"/>
        <v>2938.44</v>
      </c>
      <c r="K65" s="8">
        <f t="shared" si="1"/>
        <v>1576.5600000000002</v>
      </c>
      <c r="L65" s="8">
        <f t="shared" si="2"/>
        <v>598614.82999999996</v>
      </c>
      <c r="M65" s="9">
        <f t="shared" si="3"/>
        <v>4164.43</v>
      </c>
      <c r="N65" s="9">
        <f t="shared" si="4"/>
        <v>105385.17000000003</v>
      </c>
      <c r="O65" s="9">
        <f t="shared" si="5"/>
        <v>204059.83000000002</v>
      </c>
    </row>
    <row r="66" spans="8:15">
      <c r="H66" s="11">
        <f>IF(AND(L65&gt;0.005,H65&lt;&gt;""),64,"")</f>
        <v>64</v>
      </c>
      <c r="I66" s="12">
        <f>IF(H66&lt;&gt;"",EDATE(StartDate,63),"")</f>
        <v>47939</v>
      </c>
      <c r="J66" s="13">
        <f t="shared" si="0"/>
        <v>2930.72</v>
      </c>
      <c r="K66" s="13">
        <f t="shared" si="1"/>
        <v>1584.2800000000004</v>
      </c>
      <c r="L66" s="13">
        <f t="shared" si="2"/>
        <v>597030.55000000005</v>
      </c>
      <c r="M66" s="9">
        <f t="shared" si="3"/>
        <v>4164.43</v>
      </c>
      <c r="N66" s="9">
        <f t="shared" si="4"/>
        <v>106969.45000000003</v>
      </c>
      <c r="O66" s="9">
        <f t="shared" si="5"/>
        <v>206990.55000000002</v>
      </c>
    </row>
    <row r="67" spans="8:15">
      <c r="H67" s="6">
        <f>IF(AND(L66&gt;0.005,H66&lt;&gt;""),65,"")</f>
        <v>65</v>
      </c>
      <c r="I67" s="7">
        <f>IF(H67&lt;&gt;"",EDATE(StartDate,64),"")</f>
        <v>47969</v>
      </c>
      <c r="J67" s="8">
        <f t="shared" si="0"/>
        <v>2922.96</v>
      </c>
      <c r="K67" s="8">
        <f t="shared" si="1"/>
        <v>1592.0400000000002</v>
      </c>
      <c r="L67" s="8">
        <f t="shared" si="2"/>
        <v>595438.51</v>
      </c>
      <c r="M67" s="9">
        <f t="shared" si="3"/>
        <v>4164.43</v>
      </c>
      <c r="N67" s="9">
        <f t="shared" si="4"/>
        <v>108561.49000000002</v>
      </c>
      <c r="O67" s="9">
        <f t="shared" si="5"/>
        <v>209913.51</v>
      </c>
    </row>
    <row r="68" spans="8:15">
      <c r="H68" s="11">
        <f>IF(AND(L67&gt;0.005,H67&lt;&gt;""),66,"")</f>
        <v>66</v>
      </c>
      <c r="I68" s="12">
        <f>IF(H68&lt;&gt;"",EDATE(StartDate,65),"")</f>
        <v>48000</v>
      </c>
      <c r="J68" s="13">
        <f t="shared" ref="J68:J131" si="6">IF(H68&lt;&gt;"",ROUND(L67*AnnualRate/12,2),"")</f>
        <v>2915.17</v>
      </c>
      <c r="K68" s="13">
        <f t="shared" ref="K68:K131" si="7">IF(H68&lt;&gt;"",MIN(L67,(M68-J68)+SUMPRODUCT(($B$22:$B$31&lt;&gt;"")*($B$22:$B$31&lt;=I68)*(($C$22:$C$31="")+($C$22:$C$31&lt;&gt;"")*($C$22:$C$31&gt;=I68))*($E$22:$E$31="Monthly")*$D$22:$D$31)+SUMPRODUCT(($B$22:$B$31&lt;&gt;"")*($B$22:$B$31&lt;=I68)*(($C$22:$C$31="")+($C$22:$C$31&lt;&gt;"")*($C$22:$C$31&gt;=I68))*($E$22:$E$31="Annual")*(MONTH($B$22:$B$31)=MONTH(I68))*$D$22:$D$31)+SUMPRODUCT(($B$35:$B$49&lt;&gt;"")*(YEAR($B$35:$B$49)=YEAR(I68))*(MONTH($B$35:$B$49)=MONTH(I68))*$C$35:$C$49)),"")</f>
        <v>1599.8300000000002</v>
      </c>
      <c r="L68" s="13">
        <f t="shared" ref="L68:L131" si="8">IF(H68&lt;&gt;"",ROUND(L67-K68,2),"")</f>
        <v>593838.68000000005</v>
      </c>
      <c r="M68" s="9">
        <f t="shared" ref="M68:M131" si="9">IF(H68&lt;&gt;"",MIN(MonthlyPmt,L67+J68),"")</f>
        <v>4164.43</v>
      </c>
      <c r="N68" s="9">
        <f t="shared" ref="N68:N131" si="10">IF(H68&lt;&gt;"",N67+K68,"")</f>
        <v>110161.32000000002</v>
      </c>
      <c r="O68" s="9">
        <f t="shared" ref="O68:O131" si="11">IF(H68&lt;&gt;"",O67+J68,"")</f>
        <v>212828.68000000002</v>
      </c>
    </row>
    <row r="69" spans="8:15">
      <c r="H69" s="6">
        <f>IF(AND(L68&gt;0.005,H68&lt;&gt;""),67,"")</f>
        <v>67</v>
      </c>
      <c r="I69" s="7">
        <f>IF(H69&lt;&gt;"",EDATE(StartDate,66),"")</f>
        <v>48030</v>
      </c>
      <c r="J69" s="8">
        <f t="shared" si="6"/>
        <v>2907.34</v>
      </c>
      <c r="K69" s="8">
        <f t="shared" si="7"/>
        <v>1607.66</v>
      </c>
      <c r="L69" s="8">
        <f t="shared" si="8"/>
        <v>592231.02</v>
      </c>
      <c r="M69" s="9">
        <f t="shared" si="9"/>
        <v>4164.43</v>
      </c>
      <c r="N69" s="9">
        <f t="shared" si="10"/>
        <v>111768.98000000003</v>
      </c>
      <c r="O69" s="9">
        <f t="shared" si="11"/>
        <v>215736.02000000002</v>
      </c>
    </row>
    <row r="70" spans="8:15">
      <c r="H70" s="11">
        <f>IF(AND(L69&gt;0.005,H69&lt;&gt;""),68,"")</f>
        <v>68</v>
      </c>
      <c r="I70" s="12">
        <f>IF(H70&lt;&gt;"",EDATE(StartDate,67),"")</f>
        <v>48061</v>
      </c>
      <c r="J70" s="13">
        <f t="shared" si="6"/>
        <v>2899.46</v>
      </c>
      <c r="K70" s="13">
        <f t="shared" si="7"/>
        <v>1615.5400000000002</v>
      </c>
      <c r="L70" s="13">
        <f t="shared" si="8"/>
        <v>590615.48</v>
      </c>
      <c r="M70" s="9">
        <f t="shared" si="9"/>
        <v>4164.43</v>
      </c>
      <c r="N70" s="9">
        <f t="shared" si="10"/>
        <v>113384.52000000002</v>
      </c>
      <c r="O70" s="9">
        <f t="shared" si="11"/>
        <v>218635.48</v>
      </c>
    </row>
    <row r="71" spans="8:15">
      <c r="H71" s="6">
        <f>IF(AND(L70&gt;0.005,H70&lt;&gt;""),69,"")</f>
        <v>69</v>
      </c>
      <c r="I71" s="7">
        <f>IF(H71&lt;&gt;"",EDATE(StartDate,68),"")</f>
        <v>48092</v>
      </c>
      <c r="J71" s="8">
        <f t="shared" si="6"/>
        <v>2891.55</v>
      </c>
      <c r="K71" s="8">
        <f t="shared" si="7"/>
        <v>1623.45</v>
      </c>
      <c r="L71" s="8">
        <f t="shared" si="8"/>
        <v>588992.03</v>
      </c>
      <c r="M71" s="9">
        <f t="shared" si="9"/>
        <v>4164.43</v>
      </c>
      <c r="N71" s="9">
        <f t="shared" si="10"/>
        <v>115007.97000000002</v>
      </c>
      <c r="O71" s="9">
        <f t="shared" si="11"/>
        <v>221527.03</v>
      </c>
    </row>
    <row r="72" spans="8:15">
      <c r="H72" s="11">
        <f>IF(AND(L71&gt;0.005,H71&lt;&gt;""),70,"")</f>
        <v>70</v>
      </c>
      <c r="I72" s="12">
        <f>IF(H72&lt;&gt;"",EDATE(StartDate,69),"")</f>
        <v>48122</v>
      </c>
      <c r="J72" s="13">
        <f t="shared" si="6"/>
        <v>2883.61</v>
      </c>
      <c r="K72" s="13">
        <f t="shared" si="7"/>
        <v>1631.39</v>
      </c>
      <c r="L72" s="13">
        <f t="shared" si="8"/>
        <v>587360.64</v>
      </c>
      <c r="M72" s="9">
        <f t="shared" si="9"/>
        <v>4164.43</v>
      </c>
      <c r="N72" s="9">
        <f t="shared" si="10"/>
        <v>116639.36000000002</v>
      </c>
      <c r="O72" s="9">
        <f t="shared" si="11"/>
        <v>224410.63999999998</v>
      </c>
    </row>
    <row r="73" spans="8:15">
      <c r="H73" s="6">
        <f>IF(AND(L72&gt;0.005,H72&lt;&gt;""),71,"")</f>
        <v>71</v>
      </c>
      <c r="I73" s="7">
        <f>IF(H73&lt;&gt;"",EDATE(StartDate,70),"")</f>
        <v>48153</v>
      </c>
      <c r="J73" s="8">
        <f t="shared" si="6"/>
        <v>2875.62</v>
      </c>
      <c r="K73" s="8">
        <f t="shared" si="7"/>
        <v>1639.3800000000003</v>
      </c>
      <c r="L73" s="8">
        <f t="shared" si="8"/>
        <v>585721.26</v>
      </c>
      <c r="M73" s="9">
        <f t="shared" si="9"/>
        <v>4164.43</v>
      </c>
      <c r="N73" s="9">
        <f t="shared" si="10"/>
        <v>118278.74000000002</v>
      </c>
      <c r="O73" s="9">
        <f t="shared" si="11"/>
        <v>227286.25999999998</v>
      </c>
    </row>
    <row r="74" spans="8:15">
      <c r="H74" s="11">
        <f>IF(AND(L73&gt;0.005,H73&lt;&gt;""),72,"")</f>
        <v>72</v>
      </c>
      <c r="I74" s="12">
        <f>IF(H74&lt;&gt;"",EDATE(StartDate,71),"")</f>
        <v>48183</v>
      </c>
      <c r="J74" s="13">
        <f t="shared" si="6"/>
        <v>2867.59</v>
      </c>
      <c r="K74" s="13">
        <f t="shared" si="7"/>
        <v>1647.41</v>
      </c>
      <c r="L74" s="13">
        <f t="shared" si="8"/>
        <v>584073.85</v>
      </c>
      <c r="M74" s="9">
        <f t="shared" si="9"/>
        <v>4164.43</v>
      </c>
      <c r="N74" s="9">
        <f t="shared" si="10"/>
        <v>119926.15000000002</v>
      </c>
      <c r="O74" s="9">
        <f t="shared" si="11"/>
        <v>230153.84999999998</v>
      </c>
    </row>
    <row r="75" spans="8:15">
      <c r="H75" s="6">
        <f>IF(AND(L74&gt;0.005,H74&lt;&gt;""),73,"")</f>
        <v>73</v>
      </c>
      <c r="I75" s="7">
        <f>IF(H75&lt;&gt;"",EDATE(StartDate,72),"")</f>
        <v>48214</v>
      </c>
      <c r="J75" s="8">
        <f t="shared" si="6"/>
        <v>2859.53</v>
      </c>
      <c r="K75" s="8">
        <f t="shared" si="7"/>
        <v>1655.47</v>
      </c>
      <c r="L75" s="8">
        <f t="shared" si="8"/>
        <v>582418.38</v>
      </c>
      <c r="M75" s="9">
        <f t="shared" si="9"/>
        <v>4164.43</v>
      </c>
      <c r="N75" s="9">
        <f t="shared" si="10"/>
        <v>121581.62000000002</v>
      </c>
      <c r="O75" s="9">
        <f t="shared" si="11"/>
        <v>233013.37999999998</v>
      </c>
    </row>
    <row r="76" spans="8:15">
      <c r="H76" s="11">
        <f>IF(AND(L75&gt;0.005,H75&lt;&gt;""),74,"")</f>
        <v>74</v>
      </c>
      <c r="I76" s="12">
        <f>IF(H76&lt;&gt;"",EDATE(StartDate,73),"")</f>
        <v>48245</v>
      </c>
      <c r="J76" s="13">
        <f t="shared" si="6"/>
        <v>2851.42</v>
      </c>
      <c r="K76" s="13">
        <f t="shared" si="7"/>
        <v>1663.5800000000002</v>
      </c>
      <c r="L76" s="13">
        <f t="shared" si="8"/>
        <v>580754.80000000005</v>
      </c>
      <c r="M76" s="9">
        <f t="shared" si="9"/>
        <v>4164.43</v>
      </c>
      <c r="N76" s="9">
        <f t="shared" si="10"/>
        <v>123245.20000000003</v>
      </c>
      <c r="O76" s="9">
        <f t="shared" si="11"/>
        <v>235864.8</v>
      </c>
    </row>
    <row r="77" spans="8:15">
      <c r="H77" s="6">
        <f>IF(AND(L76&gt;0.005,H76&lt;&gt;""),75,"")</f>
        <v>75</v>
      </c>
      <c r="I77" s="7">
        <f>IF(H77&lt;&gt;"",EDATE(StartDate,74),"")</f>
        <v>48274</v>
      </c>
      <c r="J77" s="8">
        <f t="shared" si="6"/>
        <v>2843.28</v>
      </c>
      <c r="K77" s="8">
        <f t="shared" si="7"/>
        <v>1671.72</v>
      </c>
      <c r="L77" s="8">
        <f t="shared" si="8"/>
        <v>579083.07999999996</v>
      </c>
      <c r="M77" s="9">
        <f t="shared" si="9"/>
        <v>4164.43</v>
      </c>
      <c r="N77" s="9">
        <f t="shared" si="10"/>
        <v>124916.92000000003</v>
      </c>
      <c r="O77" s="9">
        <f t="shared" si="11"/>
        <v>238708.08</v>
      </c>
    </row>
    <row r="78" spans="8:15">
      <c r="H78" s="11">
        <f>IF(AND(L77&gt;0.005,H77&lt;&gt;""),76,"")</f>
        <v>76</v>
      </c>
      <c r="I78" s="12">
        <f>IF(H78&lt;&gt;"",EDATE(StartDate,75),"")</f>
        <v>48305</v>
      </c>
      <c r="J78" s="13">
        <f t="shared" si="6"/>
        <v>2835.09</v>
      </c>
      <c r="K78" s="13">
        <f t="shared" si="7"/>
        <v>1679.91</v>
      </c>
      <c r="L78" s="13">
        <f t="shared" si="8"/>
        <v>577403.17000000004</v>
      </c>
      <c r="M78" s="9">
        <f t="shared" si="9"/>
        <v>4164.43</v>
      </c>
      <c r="N78" s="9">
        <f t="shared" si="10"/>
        <v>126596.83000000003</v>
      </c>
      <c r="O78" s="9">
        <f t="shared" si="11"/>
        <v>241543.16999999998</v>
      </c>
    </row>
    <row r="79" spans="8:15">
      <c r="H79" s="6">
        <f>IF(AND(L78&gt;0.005,H78&lt;&gt;""),77,"")</f>
        <v>77</v>
      </c>
      <c r="I79" s="7">
        <f>IF(H79&lt;&gt;"",EDATE(StartDate,76),"")</f>
        <v>48335</v>
      </c>
      <c r="J79" s="8">
        <f t="shared" si="6"/>
        <v>2826.87</v>
      </c>
      <c r="K79" s="8">
        <f t="shared" si="7"/>
        <v>1688.1300000000003</v>
      </c>
      <c r="L79" s="8">
        <f t="shared" si="8"/>
        <v>575715.04</v>
      </c>
      <c r="M79" s="9">
        <f t="shared" si="9"/>
        <v>4164.43</v>
      </c>
      <c r="N79" s="9">
        <f t="shared" si="10"/>
        <v>128284.96000000004</v>
      </c>
      <c r="O79" s="9">
        <f t="shared" si="11"/>
        <v>244370.03999999998</v>
      </c>
    </row>
    <row r="80" spans="8:15">
      <c r="H80" s="11">
        <f>IF(AND(L79&gt;0.005,H79&lt;&gt;""),78,"")</f>
        <v>78</v>
      </c>
      <c r="I80" s="12">
        <f>IF(H80&lt;&gt;"",EDATE(StartDate,77),"")</f>
        <v>48366</v>
      </c>
      <c r="J80" s="13">
        <f t="shared" si="6"/>
        <v>2818.6</v>
      </c>
      <c r="K80" s="13">
        <f t="shared" si="7"/>
        <v>1696.4000000000003</v>
      </c>
      <c r="L80" s="13">
        <f t="shared" si="8"/>
        <v>574018.64</v>
      </c>
      <c r="M80" s="9">
        <f t="shared" si="9"/>
        <v>4164.43</v>
      </c>
      <c r="N80" s="9">
        <f t="shared" si="10"/>
        <v>129981.36000000003</v>
      </c>
      <c r="O80" s="9">
        <f t="shared" si="11"/>
        <v>247188.63999999998</v>
      </c>
    </row>
    <row r="81" spans="8:15">
      <c r="H81" s="6">
        <f>IF(AND(L80&gt;0.005,H80&lt;&gt;""),79,"")</f>
        <v>79</v>
      </c>
      <c r="I81" s="7">
        <f>IF(H81&lt;&gt;"",EDATE(StartDate,78),"")</f>
        <v>48396</v>
      </c>
      <c r="J81" s="8">
        <f t="shared" si="6"/>
        <v>2810.3</v>
      </c>
      <c r="K81" s="8">
        <f t="shared" si="7"/>
        <v>1704.7</v>
      </c>
      <c r="L81" s="8">
        <f t="shared" si="8"/>
        <v>572313.93999999994</v>
      </c>
      <c r="M81" s="9">
        <f t="shared" si="9"/>
        <v>4164.43</v>
      </c>
      <c r="N81" s="9">
        <f t="shared" si="10"/>
        <v>131686.06000000003</v>
      </c>
      <c r="O81" s="9">
        <f t="shared" si="11"/>
        <v>249998.93999999997</v>
      </c>
    </row>
    <row r="82" spans="8:15">
      <c r="H82" s="11">
        <f>IF(AND(L81&gt;0.005,H81&lt;&gt;""),80,"")</f>
        <v>80</v>
      </c>
      <c r="I82" s="12">
        <f>IF(H82&lt;&gt;"",EDATE(StartDate,79),"")</f>
        <v>48427</v>
      </c>
      <c r="J82" s="13">
        <f t="shared" si="6"/>
        <v>2801.95</v>
      </c>
      <c r="K82" s="13">
        <f t="shared" si="7"/>
        <v>1713.0500000000004</v>
      </c>
      <c r="L82" s="13">
        <f t="shared" si="8"/>
        <v>570600.89</v>
      </c>
      <c r="M82" s="9">
        <f t="shared" si="9"/>
        <v>4164.43</v>
      </c>
      <c r="N82" s="9">
        <f t="shared" si="10"/>
        <v>133399.11000000002</v>
      </c>
      <c r="O82" s="9">
        <f t="shared" si="11"/>
        <v>252800.88999999998</v>
      </c>
    </row>
    <row r="83" spans="8:15">
      <c r="H83" s="6">
        <f>IF(AND(L82&gt;0.005,H82&lt;&gt;""),81,"")</f>
        <v>81</v>
      </c>
      <c r="I83" s="7">
        <f>IF(H83&lt;&gt;"",EDATE(StartDate,80),"")</f>
        <v>48458</v>
      </c>
      <c r="J83" s="8">
        <f t="shared" si="6"/>
        <v>2793.57</v>
      </c>
      <c r="K83" s="8">
        <f t="shared" si="7"/>
        <v>1721.43</v>
      </c>
      <c r="L83" s="8">
        <f t="shared" si="8"/>
        <v>568879.46</v>
      </c>
      <c r="M83" s="9">
        <f t="shared" si="9"/>
        <v>4164.43</v>
      </c>
      <c r="N83" s="9">
        <f t="shared" si="10"/>
        <v>135120.54</v>
      </c>
      <c r="O83" s="9">
        <f t="shared" si="11"/>
        <v>255594.46</v>
      </c>
    </row>
    <row r="84" spans="8:15">
      <c r="H84" s="11">
        <f>IF(AND(L83&gt;0.005,H83&lt;&gt;""),82,"")</f>
        <v>82</v>
      </c>
      <c r="I84" s="12">
        <f>IF(H84&lt;&gt;"",EDATE(StartDate,81),"")</f>
        <v>48488</v>
      </c>
      <c r="J84" s="13">
        <f t="shared" si="6"/>
        <v>2785.14</v>
      </c>
      <c r="K84" s="13">
        <f t="shared" si="7"/>
        <v>1729.8600000000004</v>
      </c>
      <c r="L84" s="13">
        <f t="shared" si="8"/>
        <v>567149.6</v>
      </c>
      <c r="M84" s="9">
        <f t="shared" si="9"/>
        <v>4164.43</v>
      </c>
      <c r="N84" s="9">
        <f t="shared" si="10"/>
        <v>136850.4</v>
      </c>
      <c r="O84" s="9">
        <f t="shared" si="11"/>
        <v>258379.6</v>
      </c>
    </row>
    <row r="85" spans="8:15">
      <c r="H85" s="6">
        <f>IF(AND(L84&gt;0.005,H84&lt;&gt;""),83,"")</f>
        <v>83</v>
      </c>
      <c r="I85" s="7">
        <f>IF(H85&lt;&gt;"",EDATE(StartDate,82),"")</f>
        <v>48519</v>
      </c>
      <c r="J85" s="8">
        <f t="shared" si="6"/>
        <v>2776.67</v>
      </c>
      <c r="K85" s="8">
        <f t="shared" si="7"/>
        <v>1738.3300000000002</v>
      </c>
      <c r="L85" s="8">
        <f t="shared" si="8"/>
        <v>565411.27</v>
      </c>
      <c r="M85" s="9">
        <f t="shared" si="9"/>
        <v>4164.43</v>
      </c>
      <c r="N85" s="9">
        <f t="shared" si="10"/>
        <v>138588.72999999998</v>
      </c>
      <c r="O85" s="9">
        <f t="shared" si="11"/>
        <v>261156.27000000002</v>
      </c>
    </row>
    <row r="86" spans="8:15">
      <c r="H86" s="11">
        <f>IF(AND(L85&gt;0.005,H85&lt;&gt;""),84,"")</f>
        <v>84</v>
      </c>
      <c r="I86" s="12">
        <f>IF(H86&lt;&gt;"",EDATE(StartDate,83),"")</f>
        <v>48549</v>
      </c>
      <c r="J86" s="13">
        <f t="shared" si="6"/>
        <v>2768.16</v>
      </c>
      <c r="K86" s="13">
        <f t="shared" si="7"/>
        <v>1746.8400000000004</v>
      </c>
      <c r="L86" s="13">
        <f t="shared" si="8"/>
        <v>563664.43000000005</v>
      </c>
      <c r="M86" s="9">
        <f t="shared" si="9"/>
        <v>4164.43</v>
      </c>
      <c r="N86" s="9">
        <f t="shared" si="10"/>
        <v>140335.56999999998</v>
      </c>
      <c r="O86" s="9">
        <f t="shared" si="11"/>
        <v>263924.43</v>
      </c>
    </row>
    <row r="87" spans="8:15">
      <c r="H87" s="6">
        <f>IF(AND(L86&gt;0.005,H86&lt;&gt;""),85,"")</f>
        <v>85</v>
      </c>
      <c r="I87" s="7">
        <f>IF(H87&lt;&gt;"",EDATE(StartDate,84),"")</f>
        <v>48580</v>
      </c>
      <c r="J87" s="8">
        <f t="shared" si="6"/>
        <v>2759.61</v>
      </c>
      <c r="K87" s="8">
        <f t="shared" si="7"/>
        <v>1755.39</v>
      </c>
      <c r="L87" s="8">
        <f t="shared" si="8"/>
        <v>561909.04</v>
      </c>
      <c r="M87" s="9">
        <f t="shared" si="9"/>
        <v>4164.43</v>
      </c>
      <c r="N87" s="9">
        <f t="shared" si="10"/>
        <v>142090.96</v>
      </c>
      <c r="O87" s="9">
        <f t="shared" si="11"/>
        <v>266684.03999999998</v>
      </c>
    </row>
    <row r="88" spans="8:15">
      <c r="H88" s="11">
        <f>IF(AND(L87&gt;0.005,H87&lt;&gt;""),86,"")</f>
        <v>86</v>
      </c>
      <c r="I88" s="12">
        <f>IF(H88&lt;&gt;"",EDATE(StartDate,85),"")</f>
        <v>48611</v>
      </c>
      <c r="J88" s="13">
        <f t="shared" si="6"/>
        <v>2751.01</v>
      </c>
      <c r="K88" s="13">
        <f t="shared" si="7"/>
        <v>1763.99</v>
      </c>
      <c r="L88" s="13">
        <f t="shared" si="8"/>
        <v>560145.05000000005</v>
      </c>
      <c r="M88" s="9">
        <f t="shared" si="9"/>
        <v>4164.43</v>
      </c>
      <c r="N88" s="9">
        <f t="shared" si="10"/>
        <v>143854.94999999998</v>
      </c>
      <c r="O88" s="9">
        <f t="shared" si="11"/>
        <v>269435.05</v>
      </c>
    </row>
    <row r="89" spans="8:15">
      <c r="H89" s="6">
        <f>IF(AND(L88&gt;0.005,H88&lt;&gt;""),87,"")</f>
        <v>87</v>
      </c>
      <c r="I89" s="7">
        <f>IF(H89&lt;&gt;"",EDATE(StartDate,86),"")</f>
        <v>48639</v>
      </c>
      <c r="J89" s="8">
        <f t="shared" si="6"/>
        <v>2742.38</v>
      </c>
      <c r="K89" s="8">
        <f t="shared" si="7"/>
        <v>1772.6200000000001</v>
      </c>
      <c r="L89" s="8">
        <f t="shared" si="8"/>
        <v>558372.43000000005</v>
      </c>
      <c r="M89" s="9">
        <f t="shared" si="9"/>
        <v>4164.43</v>
      </c>
      <c r="N89" s="9">
        <f t="shared" si="10"/>
        <v>145627.56999999998</v>
      </c>
      <c r="O89" s="9">
        <f t="shared" si="11"/>
        <v>272177.43</v>
      </c>
    </row>
    <row r="90" spans="8:15">
      <c r="H90" s="11">
        <f>IF(AND(L89&gt;0.005,H89&lt;&gt;""),88,"")</f>
        <v>88</v>
      </c>
      <c r="I90" s="12">
        <f>IF(H90&lt;&gt;"",EDATE(StartDate,87),"")</f>
        <v>48670</v>
      </c>
      <c r="J90" s="13">
        <f t="shared" si="6"/>
        <v>2733.7</v>
      </c>
      <c r="K90" s="13">
        <f t="shared" si="7"/>
        <v>1781.3000000000004</v>
      </c>
      <c r="L90" s="13">
        <f t="shared" si="8"/>
        <v>556591.13</v>
      </c>
      <c r="M90" s="9">
        <f t="shared" si="9"/>
        <v>4164.43</v>
      </c>
      <c r="N90" s="9">
        <f t="shared" si="10"/>
        <v>147408.86999999997</v>
      </c>
      <c r="O90" s="9">
        <f t="shared" si="11"/>
        <v>274911.13</v>
      </c>
    </row>
    <row r="91" spans="8:15">
      <c r="H91" s="6">
        <f>IF(AND(L90&gt;0.005,H90&lt;&gt;""),89,"")</f>
        <v>89</v>
      </c>
      <c r="I91" s="7">
        <f>IF(H91&lt;&gt;"",EDATE(StartDate,88),"")</f>
        <v>48700</v>
      </c>
      <c r="J91" s="8">
        <f t="shared" si="6"/>
        <v>2724.98</v>
      </c>
      <c r="K91" s="8">
        <f t="shared" si="7"/>
        <v>1790.0200000000002</v>
      </c>
      <c r="L91" s="8">
        <f t="shared" si="8"/>
        <v>554801.11</v>
      </c>
      <c r="M91" s="9">
        <f t="shared" si="9"/>
        <v>4164.43</v>
      </c>
      <c r="N91" s="9">
        <f t="shared" si="10"/>
        <v>149198.88999999996</v>
      </c>
      <c r="O91" s="9">
        <f t="shared" si="11"/>
        <v>277636.11</v>
      </c>
    </row>
    <row r="92" spans="8:15">
      <c r="H92" s="11">
        <f>IF(AND(L91&gt;0.005,H91&lt;&gt;""),90,"")</f>
        <v>90</v>
      </c>
      <c r="I92" s="12">
        <f>IF(H92&lt;&gt;"",EDATE(StartDate,89),"")</f>
        <v>48731</v>
      </c>
      <c r="J92" s="13">
        <f t="shared" si="6"/>
        <v>2716.21</v>
      </c>
      <c r="K92" s="13">
        <f t="shared" si="7"/>
        <v>1798.7900000000002</v>
      </c>
      <c r="L92" s="13">
        <f t="shared" si="8"/>
        <v>553002.31999999995</v>
      </c>
      <c r="M92" s="9">
        <f t="shared" si="9"/>
        <v>4164.43</v>
      </c>
      <c r="N92" s="9">
        <f t="shared" si="10"/>
        <v>150997.67999999996</v>
      </c>
      <c r="O92" s="9">
        <f t="shared" si="11"/>
        <v>280352.32</v>
      </c>
    </row>
    <row r="93" spans="8:15">
      <c r="H93" s="6">
        <f>IF(AND(L92&gt;0.005,H92&lt;&gt;""),91,"")</f>
        <v>91</v>
      </c>
      <c r="I93" s="7">
        <f>IF(H93&lt;&gt;"",EDATE(StartDate,90),"")</f>
        <v>48761</v>
      </c>
      <c r="J93" s="8">
        <f t="shared" si="6"/>
        <v>2707.41</v>
      </c>
      <c r="K93" s="8">
        <f t="shared" si="7"/>
        <v>1807.5900000000004</v>
      </c>
      <c r="L93" s="8">
        <f t="shared" si="8"/>
        <v>551194.73</v>
      </c>
      <c r="M93" s="9">
        <f t="shared" si="9"/>
        <v>4164.43</v>
      </c>
      <c r="N93" s="9">
        <f t="shared" si="10"/>
        <v>152805.26999999996</v>
      </c>
      <c r="O93" s="9">
        <f t="shared" si="11"/>
        <v>283059.73</v>
      </c>
    </row>
    <row r="94" spans="8:15">
      <c r="H94" s="11">
        <f>IF(AND(L93&gt;0.005,H93&lt;&gt;""),92,"")</f>
        <v>92</v>
      </c>
      <c r="I94" s="12">
        <f>IF(H94&lt;&gt;"",EDATE(StartDate,91),"")</f>
        <v>48792</v>
      </c>
      <c r="J94" s="13">
        <f t="shared" si="6"/>
        <v>2698.56</v>
      </c>
      <c r="K94" s="13">
        <f t="shared" si="7"/>
        <v>1816.4400000000003</v>
      </c>
      <c r="L94" s="13">
        <f t="shared" si="8"/>
        <v>549378.29</v>
      </c>
      <c r="M94" s="9">
        <f t="shared" si="9"/>
        <v>4164.43</v>
      </c>
      <c r="N94" s="9">
        <f t="shared" si="10"/>
        <v>154621.70999999996</v>
      </c>
      <c r="O94" s="9">
        <f t="shared" si="11"/>
        <v>285758.28999999998</v>
      </c>
    </row>
    <row r="95" spans="8:15">
      <c r="H95" s="6">
        <f>IF(AND(L94&gt;0.005,H94&lt;&gt;""),93,"")</f>
        <v>93</v>
      </c>
      <c r="I95" s="7">
        <f>IF(H95&lt;&gt;"",EDATE(StartDate,92),"")</f>
        <v>48823</v>
      </c>
      <c r="J95" s="8">
        <f t="shared" si="6"/>
        <v>2689.66</v>
      </c>
      <c r="K95" s="8">
        <f t="shared" si="7"/>
        <v>1825.3400000000004</v>
      </c>
      <c r="L95" s="8">
        <f t="shared" si="8"/>
        <v>547552.94999999995</v>
      </c>
      <c r="M95" s="9">
        <f t="shared" si="9"/>
        <v>4164.43</v>
      </c>
      <c r="N95" s="9">
        <f t="shared" si="10"/>
        <v>156447.04999999996</v>
      </c>
      <c r="O95" s="9">
        <f t="shared" si="11"/>
        <v>288447.94999999995</v>
      </c>
    </row>
    <row r="96" spans="8:15">
      <c r="H96" s="11">
        <f>IF(AND(L95&gt;0.005,H95&lt;&gt;""),94,"")</f>
        <v>94</v>
      </c>
      <c r="I96" s="12">
        <f>IF(H96&lt;&gt;"",EDATE(StartDate,93),"")</f>
        <v>48853</v>
      </c>
      <c r="J96" s="13">
        <f t="shared" si="6"/>
        <v>2680.73</v>
      </c>
      <c r="K96" s="13">
        <f t="shared" si="7"/>
        <v>1834.2700000000002</v>
      </c>
      <c r="L96" s="13">
        <f t="shared" si="8"/>
        <v>545718.68000000005</v>
      </c>
      <c r="M96" s="9">
        <f t="shared" si="9"/>
        <v>4164.43</v>
      </c>
      <c r="N96" s="9">
        <f t="shared" si="10"/>
        <v>158281.31999999995</v>
      </c>
      <c r="O96" s="9">
        <f t="shared" si="11"/>
        <v>291128.67999999993</v>
      </c>
    </row>
    <row r="97" spans="8:15">
      <c r="H97" s="6">
        <f>IF(AND(L96&gt;0.005,H96&lt;&gt;""),95,"")</f>
        <v>95</v>
      </c>
      <c r="I97" s="7">
        <f>IF(H97&lt;&gt;"",EDATE(StartDate,94),"")</f>
        <v>48884</v>
      </c>
      <c r="J97" s="8">
        <f t="shared" si="6"/>
        <v>2671.75</v>
      </c>
      <c r="K97" s="8">
        <f t="shared" si="7"/>
        <v>1843.2500000000002</v>
      </c>
      <c r="L97" s="8">
        <f t="shared" si="8"/>
        <v>543875.43000000005</v>
      </c>
      <c r="M97" s="9">
        <f t="shared" si="9"/>
        <v>4164.43</v>
      </c>
      <c r="N97" s="9">
        <f t="shared" si="10"/>
        <v>160124.56999999995</v>
      </c>
      <c r="O97" s="9">
        <f t="shared" si="11"/>
        <v>293800.42999999993</v>
      </c>
    </row>
    <row r="98" spans="8:15">
      <c r="H98" s="11">
        <f>IF(AND(L97&gt;0.005,H97&lt;&gt;""),96,"")</f>
        <v>96</v>
      </c>
      <c r="I98" s="12">
        <f>IF(H98&lt;&gt;"",EDATE(StartDate,95),"")</f>
        <v>48914</v>
      </c>
      <c r="J98" s="13">
        <f t="shared" si="6"/>
        <v>2662.72</v>
      </c>
      <c r="K98" s="13">
        <f t="shared" si="7"/>
        <v>1852.2800000000004</v>
      </c>
      <c r="L98" s="13">
        <f t="shared" si="8"/>
        <v>542023.15</v>
      </c>
      <c r="M98" s="9">
        <f t="shared" si="9"/>
        <v>4164.43</v>
      </c>
      <c r="N98" s="9">
        <f t="shared" si="10"/>
        <v>161976.84999999995</v>
      </c>
      <c r="O98" s="9">
        <f t="shared" si="11"/>
        <v>296463.14999999991</v>
      </c>
    </row>
    <row r="99" spans="8:15">
      <c r="H99" s="6">
        <f>IF(AND(L98&gt;0.005,H98&lt;&gt;""),97,"")</f>
        <v>97</v>
      </c>
      <c r="I99" s="7">
        <f>IF(H99&lt;&gt;"",EDATE(StartDate,96),"")</f>
        <v>48945</v>
      </c>
      <c r="J99" s="8">
        <f t="shared" si="6"/>
        <v>2653.66</v>
      </c>
      <c r="K99" s="8">
        <f t="shared" si="7"/>
        <v>1861.3400000000004</v>
      </c>
      <c r="L99" s="8">
        <f t="shared" si="8"/>
        <v>540161.81000000006</v>
      </c>
      <c r="M99" s="9">
        <f t="shared" si="9"/>
        <v>4164.43</v>
      </c>
      <c r="N99" s="9">
        <f t="shared" si="10"/>
        <v>163838.18999999994</v>
      </c>
      <c r="O99" s="9">
        <f t="shared" si="11"/>
        <v>299116.80999999988</v>
      </c>
    </row>
    <row r="100" spans="8:15">
      <c r="H100" s="11">
        <f>IF(AND(L99&gt;0.005,H99&lt;&gt;""),98,"")</f>
        <v>98</v>
      </c>
      <c r="I100" s="12">
        <f>IF(H100&lt;&gt;"",EDATE(StartDate,97),"")</f>
        <v>48976</v>
      </c>
      <c r="J100" s="13">
        <f t="shared" si="6"/>
        <v>2644.54</v>
      </c>
      <c r="K100" s="13">
        <f t="shared" si="7"/>
        <v>1870.4600000000003</v>
      </c>
      <c r="L100" s="13">
        <f t="shared" si="8"/>
        <v>538291.35</v>
      </c>
      <c r="M100" s="9">
        <f t="shared" si="9"/>
        <v>4164.43</v>
      </c>
      <c r="N100" s="9">
        <f t="shared" si="10"/>
        <v>165708.64999999994</v>
      </c>
      <c r="O100" s="9">
        <f t="shared" si="11"/>
        <v>301761.34999999986</v>
      </c>
    </row>
    <row r="101" spans="8:15">
      <c r="H101" s="6">
        <f>IF(AND(L100&gt;0.005,H100&lt;&gt;""),99,"")</f>
        <v>99</v>
      </c>
      <c r="I101" s="7">
        <f>IF(H101&lt;&gt;"",EDATE(StartDate,98),"")</f>
        <v>49004</v>
      </c>
      <c r="J101" s="8">
        <f t="shared" si="6"/>
        <v>2635.38</v>
      </c>
      <c r="K101" s="8">
        <f t="shared" si="7"/>
        <v>1879.6200000000001</v>
      </c>
      <c r="L101" s="8">
        <f t="shared" si="8"/>
        <v>536411.73</v>
      </c>
      <c r="M101" s="9">
        <f t="shared" si="9"/>
        <v>4164.43</v>
      </c>
      <c r="N101" s="9">
        <f t="shared" si="10"/>
        <v>167588.26999999993</v>
      </c>
      <c r="O101" s="9">
        <f t="shared" si="11"/>
        <v>304396.72999999986</v>
      </c>
    </row>
    <row r="102" spans="8:15">
      <c r="H102" s="11">
        <f>IF(AND(L101&gt;0.005,H101&lt;&gt;""),100,"")</f>
        <v>100</v>
      </c>
      <c r="I102" s="12">
        <f>IF(H102&lt;&gt;"",EDATE(StartDate,99),"")</f>
        <v>49035</v>
      </c>
      <c r="J102" s="13">
        <f t="shared" si="6"/>
        <v>2626.18</v>
      </c>
      <c r="K102" s="13">
        <f t="shared" si="7"/>
        <v>1888.8200000000004</v>
      </c>
      <c r="L102" s="13">
        <f t="shared" si="8"/>
        <v>534522.91</v>
      </c>
      <c r="M102" s="9">
        <f t="shared" si="9"/>
        <v>4164.43</v>
      </c>
      <c r="N102" s="9">
        <f t="shared" si="10"/>
        <v>169477.08999999994</v>
      </c>
      <c r="O102" s="9">
        <f t="shared" si="11"/>
        <v>307022.90999999986</v>
      </c>
    </row>
    <row r="103" spans="8:15">
      <c r="H103" s="6">
        <f>IF(AND(L102&gt;0.005,H102&lt;&gt;""),101,"")</f>
        <v>101</v>
      </c>
      <c r="I103" s="7">
        <f>IF(H103&lt;&gt;"",EDATE(StartDate,100),"")</f>
        <v>49065</v>
      </c>
      <c r="J103" s="8">
        <f t="shared" si="6"/>
        <v>2616.94</v>
      </c>
      <c r="K103" s="8">
        <f t="shared" si="7"/>
        <v>1898.0600000000002</v>
      </c>
      <c r="L103" s="8">
        <f t="shared" si="8"/>
        <v>532624.85</v>
      </c>
      <c r="M103" s="9">
        <f t="shared" si="9"/>
        <v>4164.43</v>
      </c>
      <c r="N103" s="9">
        <f t="shared" si="10"/>
        <v>171375.14999999994</v>
      </c>
      <c r="O103" s="9">
        <f t="shared" si="11"/>
        <v>309639.84999999986</v>
      </c>
    </row>
    <row r="104" spans="8:15">
      <c r="H104" s="11">
        <f>IF(AND(L103&gt;0.005,H103&lt;&gt;""),102,"")</f>
        <v>102</v>
      </c>
      <c r="I104" s="12">
        <f>IF(H104&lt;&gt;"",EDATE(StartDate,101),"")</f>
        <v>49096</v>
      </c>
      <c r="J104" s="13">
        <f t="shared" si="6"/>
        <v>2607.64</v>
      </c>
      <c r="K104" s="13">
        <f t="shared" si="7"/>
        <v>1907.3600000000004</v>
      </c>
      <c r="L104" s="13">
        <f t="shared" si="8"/>
        <v>530717.49</v>
      </c>
      <c r="M104" s="9">
        <f t="shared" si="9"/>
        <v>4164.43</v>
      </c>
      <c r="N104" s="9">
        <f t="shared" si="10"/>
        <v>173282.50999999992</v>
      </c>
      <c r="O104" s="9">
        <f t="shared" si="11"/>
        <v>312247.48999999987</v>
      </c>
    </row>
    <row r="105" spans="8:15">
      <c r="H105" s="6">
        <f>IF(AND(L104&gt;0.005,H104&lt;&gt;""),103,"")</f>
        <v>103</v>
      </c>
      <c r="I105" s="7">
        <f>IF(H105&lt;&gt;"",EDATE(StartDate,102),"")</f>
        <v>49126</v>
      </c>
      <c r="J105" s="8">
        <f t="shared" si="6"/>
        <v>2598.3000000000002</v>
      </c>
      <c r="K105" s="8">
        <f t="shared" si="7"/>
        <v>1916.7</v>
      </c>
      <c r="L105" s="8">
        <f t="shared" si="8"/>
        <v>528800.79</v>
      </c>
      <c r="M105" s="9">
        <f t="shared" si="9"/>
        <v>4164.43</v>
      </c>
      <c r="N105" s="9">
        <f t="shared" si="10"/>
        <v>175199.20999999993</v>
      </c>
      <c r="O105" s="9">
        <f t="shared" si="11"/>
        <v>314845.78999999986</v>
      </c>
    </row>
    <row r="106" spans="8:15">
      <c r="H106" s="11">
        <f>IF(AND(L105&gt;0.005,H105&lt;&gt;""),104,"")</f>
        <v>104</v>
      </c>
      <c r="I106" s="12">
        <f>IF(H106&lt;&gt;"",EDATE(StartDate,103),"")</f>
        <v>49157</v>
      </c>
      <c r="J106" s="13">
        <f t="shared" si="6"/>
        <v>2588.92</v>
      </c>
      <c r="K106" s="13">
        <f t="shared" si="7"/>
        <v>1926.0800000000002</v>
      </c>
      <c r="L106" s="13">
        <f t="shared" si="8"/>
        <v>526874.71</v>
      </c>
      <c r="M106" s="9">
        <f t="shared" si="9"/>
        <v>4164.43</v>
      </c>
      <c r="N106" s="9">
        <f t="shared" si="10"/>
        <v>177125.28999999992</v>
      </c>
      <c r="O106" s="9">
        <f t="shared" si="11"/>
        <v>317434.70999999985</v>
      </c>
    </row>
    <row r="107" spans="8:15">
      <c r="H107" s="6">
        <f>IF(AND(L106&gt;0.005,H106&lt;&gt;""),105,"")</f>
        <v>105</v>
      </c>
      <c r="I107" s="7">
        <f>IF(H107&lt;&gt;"",EDATE(StartDate,104),"")</f>
        <v>49188</v>
      </c>
      <c r="J107" s="8">
        <f t="shared" si="6"/>
        <v>2579.4899999999998</v>
      </c>
      <c r="K107" s="8">
        <f t="shared" si="7"/>
        <v>1935.5100000000004</v>
      </c>
      <c r="L107" s="8">
        <f t="shared" si="8"/>
        <v>524939.19999999995</v>
      </c>
      <c r="M107" s="9">
        <f t="shared" si="9"/>
        <v>4164.43</v>
      </c>
      <c r="N107" s="9">
        <f t="shared" si="10"/>
        <v>179060.79999999993</v>
      </c>
      <c r="O107" s="9">
        <f t="shared" si="11"/>
        <v>320014.19999999984</v>
      </c>
    </row>
    <row r="108" spans="8:15">
      <c r="H108" s="11">
        <f>IF(AND(L107&gt;0.005,H107&lt;&gt;""),106,"")</f>
        <v>106</v>
      </c>
      <c r="I108" s="12">
        <f>IF(H108&lt;&gt;"",EDATE(StartDate,105),"")</f>
        <v>49218</v>
      </c>
      <c r="J108" s="13">
        <f t="shared" si="6"/>
        <v>2570.0100000000002</v>
      </c>
      <c r="K108" s="13">
        <f t="shared" si="7"/>
        <v>1944.99</v>
      </c>
      <c r="L108" s="13">
        <f t="shared" si="8"/>
        <v>522994.21</v>
      </c>
      <c r="M108" s="9">
        <f t="shared" si="9"/>
        <v>4164.43</v>
      </c>
      <c r="N108" s="9">
        <f t="shared" si="10"/>
        <v>181005.78999999992</v>
      </c>
      <c r="O108" s="9">
        <f t="shared" si="11"/>
        <v>322584.20999999985</v>
      </c>
    </row>
    <row r="109" spans="8:15">
      <c r="H109" s="6">
        <f>IF(AND(L108&gt;0.005,H108&lt;&gt;""),107,"")</f>
        <v>107</v>
      </c>
      <c r="I109" s="7">
        <f>IF(H109&lt;&gt;"",EDATE(StartDate,106),"")</f>
        <v>49249</v>
      </c>
      <c r="J109" s="8">
        <f t="shared" si="6"/>
        <v>2560.4899999999998</v>
      </c>
      <c r="K109" s="8">
        <f t="shared" si="7"/>
        <v>1954.5100000000004</v>
      </c>
      <c r="L109" s="8">
        <f t="shared" si="8"/>
        <v>521039.7</v>
      </c>
      <c r="M109" s="9">
        <f t="shared" si="9"/>
        <v>4164.43</v>
      </c>
      <c r="N109" s="9">
        <f t="shared" si="10"/>
        <v>182960.29999999993</v>
      </c>
      <c r="O109" s="9">
        <f t="shared" si="11"/>
        <v>325144.69999999984</v>
      </c>
    </row>
    <row r="110" spans="8:15">
      <c r="H110" s="11">
        <f>IF(AND(L109&gt;0.005,H109&lt;&gt;""),108,"")</f>
        <v>108</v>
      </c>
      <c r="I110" s="12">
        <f>IF(H110&lt;&gt;"",EDATE(StartDate,107),"")</f>
        <v>49279</v>
      </c>
      <c r="J110" s="13">
        <f t="shared" si="6"/>
        <v>2550.92</v>
      </c>
      <c r="K110" s="13">
        <f t="shared" si="7"/>
        <v>1964.0800000000002</v>
      </c>
      <c r="L110" s="13">
        <f t="shared" si="8"/>
        <v>519075.62</v>
      </c>
      <c r="M110" s="9">
        <f t="shared" si="9"/>
        <v>4164.43</v>
      </c>
      <c r="N110" s="9">
        <f t="shared" si="10"/>
        <v>184924.37999999992</v>
      </c>
      <c r="O110" s="9">
        <f t="shared" si="11"/>
        <v>327695.61999999982</v>
      </c>
    </row>
    <row r="111" spans="8:15">
      <c r="H111" s="6">
        <f>IF(AND(L110&gt;0.005,H110&lt;&gt;""),109,"")</f>
        <v>109</v>
      </c>
      <c r="I111" s="7">
        <f>IF(H111&lt;&gt;"",EDATE(StartDate,108),"")</f>
        <v>49310</v>
      </c>
      <c r="J111" s="8">
        <f t="shared" si="6"/>
        <v>2541.31</v>
      </c>
      <c r="K111" s="8">
        <f t="shared" si="7"/>
        <v>1973.6900000000003</v>
      </c>
      <c r="L111" s="8">
        <f t="shared" si="8"/>
        <v>517101.93</v>
      </c>
      <c r="M111" s="9">
        <f t="shared" si="9"/>
        <v>4164.43</v>
      </c>
      <c r="N111" s="9">
        <f t="shared" si="10"/>
        <v>186898.06999999992</v>
      </c>
      <c r="O111" s="9">
        <f t="shared" si="11"/>
        <v>330236.92999999982</v>
      </c>
    </row>
    <row r="112" spans="8:15">
      <c r="H112" s="11">
        <f>IF(AND(L111&gt;0.005,H111&lt;&gt;""),110,"")</f>
        <v>110</v>
      </c>
      <c r="I112" s="12">
        <f>IF(H112&lt;&gt;"",EDATE(StartDate,109),"")</f>
        <v>49341</v>
      </c>
      <c r="J112" s="13">
        <f t="shared" si="6"/>
        <v>2531.64</v>
      </c>
      <c r="K112" s="13">
        <f t="shared" si="7"/>
        <v>1983.3600000000004</v>
      </c>
      <c r="L112" s="13">
        <f t="shared" si="8"/>
        <v>515118.57</v>
      </c>
      <c r="M112" s="9">
        <f t="shared" si="9"/>
        <v>4164.43</v>
      </c>
      <c r="N112" s="9">
        <f t="shared" si="10"/>
        <v>188881.42999999991</v>
      </c>
      <c r="O112" s="9">
        <f t="shared" si="11"/>
        <v>332768.56999999983</v>
      </c>
    </row>
    <row r="113" spans="8:15">
      <c r="H113" s="6">
        <f>IF(AND(L112&gt;0.005,H112&lt;&gt;""),111,"")</f>
        <v>111</v>
      </c>
      <c r="I113" s="7">
        <f>IF(H113&lt;&gt;"",EDATE(StartDate,110),"")</f>
        <v>49369</v>
      </c>
      <c r="J113" s="8">
        <f t="shared" si="6"/>
        <v>2521.9299999999998</v>
      </c>
      <c r="K113" s="8">
        <f t="shared" si="7"/>
        <v>1993.0700000000004</v>
      </c>
      <c r="L113" s="8">
        <f t="shared" si="8"/>
        <v>513125.5</v>
      </c>
      <c r="M113" s="9">
        <f t="shared" si="9"/>
        <v>4164.43</v>
      </c>
      <c r="N113" s="9">
        <f t="shared" si="10"/>
        <v>190874.49999999991</v>
      </c>
      <c r="O113" s="9">
        <f t="shared" si="11"/>
        <v>335290.49999999983</v>
      </c>
    </row>
    <row r="114" spans="8:15">
      <c r="H114" s="11">
        <f>IF(AND(L113&gt;0.005,H113&lt;&gt;""),112,"")</f>
        <v>112</v>
      </c>
      <c r="I114" s="12">
        <f>IF(H114&lt;&gt;"",EDATE(StartDate,111),"")</f>
        <v>49400</v>
      </c>
      <c r="J114" s="13">
        <f t="shared" si="6"/>
        <v>2512.1799999999998</v>
      </c>
      <c r="K114" s="13">
        <f t="shared" si="7"/>
        <v>2002.8200000000004</v>
      </c>
      <c r="L114" s="13">
        <f t="shared" si="8"/>
        <v>511122.68</v>
      </c>
      <c r="M114" s="9">
        <f t="shared" si="9"/>
        <v>4164.43</v>
      </c>
      <c r="N114" s="9">
        <f t="shared" si="10"/>
        <v>192877.31999999992</v>
      </c>
      <c r="O114" s="9">
        <f t="shared" si="11"/>
        <v>337802.67999999982</v>
      </c>
    </row>
    <row r="115" spans="8:15">
      <c r="H115" s="6">
        <f>IF(AND(L114&gt;0.005,H114&lt;&gt;""),113,"")</f>
        <v>113</v>
      </c>
      <c r="I115" s="7">
        <f>IF(H115&lt;&gt;"",EDATE(StartDate,112),"")</f>
        <v>49430</v>
      </c>
      <c r="J115" s="8">
        <f t="shared" si="6"/>
        <v>2502.37</v>
      </c>
      <c r="K115" s="8">
        <f t="shared" si="7"/>
        <v>2012.6300000000003</v>
      </c>
      <c r="L115" s="8">
        <f t="shared" si="8"/>
        <v>509110.05</v>
      </c>
      <c r="M115" s="9">
        <f t="shared" si="9"/>
        <v>4164.43</v>
      </c>
      <c r="N115" s="9">
        <f t="shared" si="10"/>
        <v>194889.94999999992</v>
      </c>
      <c r="O115" s="9">
        <f t="shared" si="11"/>
        <v>340305.04999999981</v>
      </c>
    </row>
    <row r="116" spans="8:15">
      <c r="H116" s="11">
        <f>IF(AND(L115&gt;0.005,H115&lt;&gt;""),114,"")</f>
        <v>114</v>
      </c>
      <c r="I116" s="12">
        <f>IF(H116&lt;&gt;"",EDATE(StartDate,113),"")</f>
        <v>49461</v>
      </c>
      <c r="J116" s="13">
        <f t="shared" si="6"/>
        <v>2492.52</v>
      </c>
      <c r="K116" s="13">
        <f t="shared" si="7"/>
        <v>2022.4800000000002</v>
      </c>
      <c r="L116" s="13">
        <f t="shared" si="8"/>
        <v>507087.57</v>
      </c>
      <c r="M116" s="9">
        <f t="shared" si="9"/>
        <v>4164.43</v>
      </c>
      <c r="N116" s="9">
        <f t="shared" si="10"/>
        <v>196912.42999999993</v>
      </c>
      <c r="O116" s="9">
        <f t="shared" si="11"/>
        <v>342797.56999999983</v>
      </c>
    </row>
    <row r="117" spans="8:15">
      <c r="H117" s="6">
        <f>IF(AND(L116&gt;0.005,H116&lt;&gt;""),115,"")</f>
        <v>115</v>
      </c>
      <c r="I117" s="7">
        <f>IF(H117&lt;&gt;"",EDATE(StartDate,114),"")</f>
        <v>49491</v>
      </c>
      <c r="J117" s="8">
        <f t="shared" si="6"/>
        <v>2482.62</v>
      </c>
      <c r="K117" s="8">
        <f t="shared" si="7"/>
        <v>2032.3800000000003</v>
      </c>
      <c r="L117" s="8">
        <f t="shared" si="8"/>
        <v>505055.19</v>
      </c>
      <c r="M117" s="9">
        <f t="shared" si="9"/>
        <v>4164.43</v>
      </c>
      <c r="N117" s="9">
        <f t="shared" si="10"/>
        <v>198944.80999999994</v>
      </c>
      <c r="O117" s="9">
        <f t="shared" si="11"/>
        <v>345280.18999999983</v>
      </c>
    </row>
    <row r="118" spans="8:15">
      <c r="H118" s="11">
        <f>IF(AND(L117&gt;0.005,H117&lt;&gt;""),116,"")</f>
        <v>116</v>
      </c>
      <c r="I118" s="12">
        <f>IF(H118&lt;&gt;"",EDATE(StartDate,115),"")</f>
        <v>49522</v>
      </c>
      <c r="J118" s="13">
        <f t="shared" si="6"/>
        <v>2472.67</v>
      </c>
      <c r="K118" s="13">
        <f t="shared" si="7"/>
        <v>2042.3300000000002</v>
      </c>
      <c r="L118" s="13">
        <f t="shared" si="8"/>
        <v>503012.86</v>
      </c>
      <c r="M118" s="9">
        <f t="shared" si="9"/>
        <v>4164.43</v>
      </c>
      <c r="N118" s="9">
        <f t="shared" si="10"/>
        <v>200987.13999999993</v>
      </c>
      <c r="O118" s="9">
        <f t="shared" si="11"/>
        <v>347752.85999999981</v>
      </c>
    </row>
    <row r="119" spans="8:15">
      <c r="H119" s="6">
        <f>IF(AND(L118&gt;0.005,H118&lt;&gt;""),117,"")</f>
        <v>117</v>
      </c>
      <c r="I119" s="7">
        <f>IF(H119&lt;&gt;"",EDATE(StartDate,116),"")</f>
        <v>49553</v>
      </c>
      <c r="J119" s="8">
        <f t="shared" si="6"/>
        <v>2462.67</v>
      </c>
      <c r="K119" s="8">
        <f t="shared" si="7"/>
        <v>2052.3300000000004</v>
      </c>
      <c r="L119" s="8">
        <f t="shared" si="8"/>
        <v>500960.53</v>
      </c>
      <c r="M119" s="9">
        <f t="shared" si="9"/>
        <v>4164.43</v>
      </c>
      <c r="N119" s="9">
        <f t="shared" si="10"/>
        <v>203039.46999999991</v>
      </c>
      <c r="O119" s="9">
        <f t="shared" si="11"/>
        <v>350215.5299999998</v>
      </c>
    </row>
    <row r="120" spans="8:15">
      <c r="H120" s="11">
        <f>IF(AND(L119&gt;0.005,H119&lt;&gt;""),118,"")</f>
        <v>118</v>
      </c>
      <c r="I120" s="12">
        <f>IF(H120&lt;&gt;"",EDATE(StartDate,117),"")</f>
        <v>49583</v>
      </c>
      <c r="J120" s="13">
        <f t="shared" si="6"/>
        <v>2452.62</v>
      </c>
      <c r="K120" s="13">
        <f t="shared" si="7"/>
        <v>2062.3800000000006</v>
      </c>
      <c r="L120" s="13">
        <f t="shared" si="8"/>
        <v>498898.15</v>
      </c>
      <c r="M120" s="9">
        <f t="shared" si="9"/>
        <v>4164.43</v>
      </c>
      <c r="N120" s="9">
        <f t="shared" si="10"/>
        <v>205101.84999999992</v>
      </c>
      <c r="O120" s="9">
        <f t="shared" si="11"/>
        <v>352668.14999999979</v>
      </c>
    </row>
    <row r="121" spans="8:15">
      <c r="H121" s="6">
        <f>IF(AND(L120&gt;0.005,H120&lt;&gt;""),119,"")</f>
        <v>119</v>
      </c>
      <c r="I121" s="7">
        <f>IF(H121&lt;&gt;"",EDATE(StartDate,118),"")</f>
        <v>49614</v>
      </c>
      <c r="J121" s="8">
        <f t="shared" si="6"/>
        <v>2442.52</v>
      </c>
      <c r="K121" s="8">
        <f t="shared" si="7"/>
        <v>2072.4800000000005</v>
      </c>
      <c r="L121" s="8">
        <f t="shared" si="8"/>
        <v>496825.67</v>
      </c>
      <c r="M121" s="9">
        <f t="shared" si="9"/>
        <v>4164.43</v>
      </c>
      <c r="N121" s="9">
        <f t="shared" si="10"/>
        <v>207174.32999999993</v>
      </c>
      <c r="O121" s="9">
        <f t="shared" si="11"/>
        <v>355110.66999999981</v>
      </c>
    </row>
    <row r="122" spans="8:15">
      <c r="H122" s="11">
        <f>IF(AND(L121&gt;0.005,H121&lt;&gt;""),120,"")</f>
        <v>120</v>
      </c>
      <c r="I122" s="12">
        <f>IF(H122&lt;&gt;"",EDATE(StartDate,119),"")</f>
        <v>49644</v>
      </c>
      <c r="J122" s="13">
        <f t="shared" si="6"/>
        <v>2432.38</v>
      </c>
      <c r="K122" s="13">
        <f t="shared" si="7"/>
        <v>2082.6200000000003</v>
      </c>
      <c r="L122" s="13">
        <f t="shared" si="8"/>
        <v>494743.05</v>
      </c>
      <c r="M122" s="9">
        <f t="shared" si="9"/>
        <v>4164.43</v>
      </c>
      <c r="N122" s="9">
        <f t="shared" si="10"/>
        <v>209256.94999999992</v>
      </c>
      <c r="O122" s="9">
        <f t="shared" si="11"/>
        <v>357543.04999999981</v>
      </c>
    </row>
    <row r="123" spans="8:15">
      <c r="H123" s="6">
        <f>IF(AND(L122&gt;0.005,H122&lt;&gt;""),121,"")</f>
        <v>121</v>
      </c>
      <c r="I123" s="7">
        <f>IF(H123&lt;&gt;"",EDATE(StartDate,120),"")</f>
        <v>49675</v>
      </c>
      <c r="J123" s="8">
        <f t="shared" si="6"/>
        <v>2422.1799999999998</v>
      </c>
      <c r="K123" s="8">
        <f t="shared" si="7"/>
        <v>2092.8200000000006</v>
      </c>
      <c r="L123" s="8">
        <f t="shared" si="8"/>
        <v>492650.23</v>
      </c>
      <c r="M123" s="9">
        <f t="shared" si="9"/>
        <v>4164.43</v>
      </c>
      <c r="N123" s="9">
        <f t="shared" si="10"/>
        <v>211349.76999999993</v>
      </c>
      <c r="O123" s="9">
        <f t="shared" si="11"/>
        <v>359965.22999999981</v>
      </c>
    </row>
    <row r="124" spans="8:15">
      <c r="H124" s="11">
        <f>IF(AND(L123&gt;0.005,H123&lt;&gt;""),122,"")</f>
        <v>122</v>
      </c>
      <c r="I124" s="12">
        <f>IF(H124&lt;&gt;"",EDATE(StartDate,121),"")</f>
        <v>49706</v>
      </c>
      <c r="J124" s="13">
        <f t="shared" si="6"/>
        <v>2411.9299999999998</v>
      </c>
      <c r="K124" s="13">
        <f t="shared" si="7"/>
        <v>2103.0700000000006</v>
      </c>
      <c r="L124" s="13">
        <f t="shared" si="8"/>
        <v>490547.16</v>
      </c>
      <c r="M124" s="9">
        <f t="shared" si="9"/>
        <v>4164.43</v>
      </c>
      <c r="N124" s="9">
        <f t="shared" si="10"/>
        <v>213452.83999999994</v>
      </c>
      <c r="O124" s="9">
        <f t="shared" si="11"/>
        <v>362377.1599999998</v>
      </c>
    </row>
    <row r="125" spans="8:15">
      <c r="H125" s="6">
        <f>IF(AND(L124&gt;0.005,H124&lt;&gt;""),123,"")</f>
        <v>123</v>
      </c>
      <c r="I125" s="7">
        <f>IF(H125&lt;&gt;"",EDATE(StartDate,122),"")</f>
        <v>49735</v>
      </c>
      <c r="J125" s="8">
        <f t="shared" si="6"/>
        <v>2401.64</v>
      </c>
      <c r="K125" s="8">
        <f t="shared" si="7"/>
        <v>2113.3600000000006</v>
      </c>
      <c r="L125" s="8">
        <f t="shared" si="8"/>
        <v>488433.8</v>
      </c>
      <c r="M125" s="9">
        <f t="shared" si="9"/>
        <v>4164.43</v>
      </c>
      <c r="N125" s="9">
        <f t="shared" si="10"/>
        <v>215566.19999999995</v>
      </c>
      <c r="O125" s="9">
        <f t="shared" si="11"/>
        <v>364778.79999999981</v>
      </c>
    </row>
    <row r="126" spans="8:15">
      <c r="H126" s="11">
        <f>IF(AND(L125&gt;0.005,H125&lt;&gt;""),124,"")</f>
        <v>124</v>
      </c>
      <c r="I126" s="12">
        <f>IF(H126&lt;&gt;"",EDATE(StartDate,123),"")</f>
        <v>49766</v>
      </c>
      <c r="J126" s="13">
        <f t="shared" si="6"/>
        <v>2391.29</v>
      </c>
      <c r="K126" s="13">
        <f t="shared" si="7"/>
        <v>2123.7100000000005</v>
      </c>
      <c r="L126" s="13">
        <f t="shared" si="8"/>
        <v>486310.09</v>
      </c>
      <c r="M126" s="9">
        <f t="shared" si="9"/>
        <v>4164.43</v>
      </c>
      <c r="N126" s="9">
        <f t="shared" si="10"/>
        <v>217689.90999999995</v>
      </c>
      <c r="O126" s="9">
        <f t="shared" si="11"/>
        <v>367170.08999999979</v>
      </c>
    </row>
    <row r="127" spans="8:15">
      <c r="H127" s="6">
        <f>IF(AND(L126&gt;0.005,H126&lt;&gt;""),125,"")</f>
        <v>125</v>
      </c>
      <c r="I127" s="7">
        <f>IF(H127&lt;&gt;"",EDATE(StartDate,124),"")</f>
        <v>49796</v>
      </c>
      <c r="J127" s="8">
        <f t="shared" si="6"/>
        <v>2380.89</v>
      </c>
      <c r="K127" s="8">
        <f t="shared" si="7"/>
        <v>2134.1100000000006</v>
      </c>
      <c r="L127" s="8">
        <f t="shared" si="8"/>
        <v>484175.98</v>
      </c>
      <c r="M127" s="9">
        <f t="shared" si="9"/>
        <v>4164.43</v>
      </c>
      <c r="N127" s="9">
        <f t="shared" si="10"/>
        <v>219824.01999999996</v>
      </c>
      <c r="O127" s="9">
        <f t="shared" si="11"/>
        <v>369550.97999999981</v>
      </c>
    </row>
    <row r="128" spans="8:15">
      <c r="H128" s="11">
        <f>IF(AND(L127&gt;0.005,H127&lt;&gt;""),126,"")</f>
        <v>126</v>
      </c>
      <c r="I128" s="12">
        <f>IF(H128&lt;&gt;"",EDATE(StartDate,125),"")</f>
        <v>49827</v>
      </c>
      <c r="J128" s="13">
        <f t="shared" si="6"/>
        <v>2370.44</v>
      </c>
      <c r="K128" s="13">
        <f t="shared" si="7"/>
        <v>2144.5600000000004</v>
      </c>
      <c r="L128" s="13">
        <f t="shared" si="8"/>
        <v>482031.42</v>
      </c>
      <c r="M128" s="9">
        <f t="shared" si="9"/>
        <v>4164.43</v>
      </c>
      <c r="N128" s="9">
        <f t="shared" si="10"/>
        <v>221968.57999999996</v>
      </c>
      <c r="O128" s="9">
        <f t="shared" si="11"/>
        <v>371921.41999999981</v>
      </c>
    </row>
    <row r="129" spans="8:15">
      <c r="H129" s="6">
        <f>IF(AND(L128&gt;0.005,H128&lt;&gt;""),127,"")</f>
        <v>127</v>
      </c>
      <c r="I129" s="7">
        <f>IF(H129&lt;&gt;"",EDATE(StartDate,126),"")</f>
        <v>49857</v>
      </c>
      <c r="J129" s="8">
        <f t="shared" si="6"/>
        <v>2359.9499999999998</v>
      </c>
      <c r="K129" s="8">
        <f t="shared" si="7"/>
        <v>2155.0500000000006</v>
      </c>
      <c r="L129" s="8">
        <f t="shared" si="8"/>
        <v>479876.37</v>
      </c>
      <c r="M129" s="9">
        <f t="shared" si="9"/>
        <v>4164.43</v>
      </c>
      <c r="N129" s="9">
        <f t="shared" si="10"/>
        <v>224123.62999999995</v>
      </c>
      <c r="O129" s="9">
        <f t="shared" si="11"/>
        <v>374281.36999999982</v>
      </c>
    </row>
    <row r="130" spans="8:15">
      <c r="H130" s="11">
        <f>IF(AND(L129&gt;0.005,H129&lt;&gt;""),128,"")</f>
        <v>128</v>
      </c>
      <c r="I130" s="12">
        <f>IF(H130&lt;&gt;"",EDATE(StartDate,127),"")</f>
        <v>49888</v>
      </c>
      <c r="J130" s="13">
        <f t="shared" si="6"/>
        <v>2349.39</v>
      </c>
      <c r="K130" s="13">
        <f t="shared" si="7"/>
        <v>2165.6100000000006</v>
      </c>
      <c r="L130" s="13">
        <f t="shared" si="8"/>
        <v>477710.76</v>
      </c>
      <c r="M130" s="9">
        <f t="shared" si="9"/>
        <v>4164.43</v>
      </c>
      <c r="N130" s="9">
        <f t="shared" si="10"/>
        <v>226289.23999999993</v>
      </c>
      <c r="O130" s="9">
        <f t="shared" si="11"/>
        <v>376630.75999999983</v>
      </c>
    </row>
    <row r="131" spans="8:15">
      <c r="H131" s="6">
        <f>IF(AND(L130&gt;0.005,H130&lt;&gt;""),129,"")</f>
        <v>129</v>
      </c>
      <c r="I131" s="7">
        <f>IF(H131&lt;&gt;"",EDATE(StartDate,128),"")</f>
        <v>49919</v>
      </c>
      <c r="J131" s="8">
        <f t="shared" si="6"/>
        <v>2338.79</v>
      </c>
      <c r="K131" s="8">
        <f t="shared" si="7"/>
        <v>2176.2100000000005</v>
      </c>
      <c r="L131" s="8">
        <f t="shared" si="8"/>
        <v>475534.55</v>
      </c>
      <c r="M131" s="9">
        <f t="shared" si="9"/>
        <v>4164.43</v>
      </c>
      <c r="N131" s="9">
        <f t="shared" si="10"/>
        <v>228465.44999999992</v>
      </c>
      <c r="O131" s="9">
        <f t="shared" si="11"/>
        <v>378969.54999999981</v>
      </c>
    </row>
    <row r="132" spans="8:15">
      <c r="H132" s="11">
        <f>IF(AND(L131&gt;0.005,H131&lt;&gt;""),130,"")</f>
        <v>130</v>
      </c>
      <c r="I132" s="12">
        <f>IF(H132&lt;&gt;"",EDATE(StartDate,129),"")</f>
        <v>49949</v>
      </c>
      <c r="J132" s="13">
        <f t="shared" ref="J132:J195" si="12">IF(H132&lt;&gt;"",ROUND(L131*AnnualRate/12,2),"")</f>
        <v>2328.14</v>
      </c>
      <c r="K132" s="13">
        <f t="shared" ref="K132:K195" si="13">IF(H132&lt;&gt;"",MIN(L131,(M132-J132)+SUMPRODUCT(($B$22:$B$31&lt;&gt;"")*($B$22:$B$31&lt;=I132)*(($C$22:$C$31="")+($C$22:$C$31&lt;&gt;"")*($C$22:$C$31&gt;=I132))*($E$22:$E$31="Monthly")*$D$22:$D$31)+SUMPRODUCT(($B$22:$B$31&lt;&gt;"")*($B$22:$B$31&lt;=I132)*(($C$22:$C$31="")+($C$22:$C$31&lt;&gt;"")*($C$22:$C$31&gt;=I132))*($E$22:$E$31="Annual")*(MONTH($B$22:$B$31)=MONTH(I132))*$D$22:$D$31)+SUMPRODUCT(($B$35:$B$49&lt;&gt;"")*(YEAR($B$35:$B$49)=YEAR(I132))*(MONTH($B$35:$B$49)=MONTH(I132))*$C$35:$C$49)),"")</f>
        <v>2186.8600000000006</v>
      </c>
      <c r="L132" s="13">
        <f t="shared" ref="L132:L195" si="14">IF(H132&lt;&gt;"",ROUND(L131-K132,2),"")</f>
        <v>473347.69</v>
      </c>
      <c r="M132" s="9">
        <f t="shared" ref="M132:M195" si="15">IF(H132&lt;&gt;"",MIN(MonthlyPmt,L131+J132),"")</f>
        <v>4164.43</v>
      </c>
      <c r="N132" s="9">
        <f t="shared" ref="N132:N195" si="16">IF(H132&lt;&gt;"",N131+K132,"")</f>
        <v>230652.30999999994</v>
      </c>
      <c r="O132" s="9">
        <f t="shared" ref="O132:O195" si="17">IF(H132&lt;&gt;"",O131+J132,"")</f>
        <v>381297.68999999983</v>
      </c>
    </row>
    <row r="133" spans="8:15">
      <c r="H133" s="6">
        <f>IF(AND(L132&gt;0.005,H132&lt;&gt;""),131,"")</f>
        <v>131</v>
      </c>
      <c r="I133" s="7">
        <f>IF(H133&lt;&gt;"",EDATE(StartDate,130),"")</f>
        <v>49980</v>
      </c>
      <c r="J133" s="8">
        <f t="shared" si="12"/>
        <v>2317.4299999999998</v>
      </c>
      <c r="K133" s="8">
        <f t="shared" si="13"/>
        <v>2197.5700000000006</v>
      </c>
      <c r="L133" s="8">
        <f t="shared" si="14"/>
        <v>471150.12</v>
      </c>
      <c r="M133" s="9">
        <f t="shared" si="15"/>
        <v>4164.43</v>
      </c>
      <c r="N133" s="9">
        <f t="shared" si="16"/>
        <v>232849.87999999995</v>
      </c>
      <c r="O133" s="9">
        <f t="shared" si="17"/>
        <v>383615.11999999982</v>
      </c>
    </row>
    <row r="134" spans="8:15">
      <c r="H134" s="11">
        <f>IF(AND(L133&gt;0.005,H133&lt;&gt;""),132,"")</f>
        <v>132</v>
      </c>
      <c r="I134" s="12">
        <f>IF(H134&lt;&gt;"",EDATE(StartDate,131),"")</f>
        <v>50010</v>
      </c>
      <c r="J134" s="13">
        <f t="shared" si="12"/>
        <v>2306.67</v>
      </c>
      <c r="K134" s="13">
        <f t="shared" si="13"/>
        <v>2208.3300000000004</v>
      </c>
      <c r="L134" s="13">
        <f t="shared" si="14"/>
        <v>468941.79</v>
      </c>
      <c r="M134" s="9">
        <f t="shared" si="15"/>
        <v>4164.43</v>
      </c>
      <c r="N134" s="9">
        <f t="shared" si="16"/>
        <v>235058.20999999993</v>
      </c>
      <c r="O134" s="9">
        <f t="shared" si="17"/>
        <v>385921.7899999998</v>
      </c>
    </row>
    <row r="135" spans="8:15">
      <c r="H135" s="6">
        <f>IF(AND(L134&gt;0.005,H134&lt;&gt;""),133,"")</f>
        <v>133</v>
      </c>
      <c r="I135" s="7">
        <f>IF(H135&lt;&gt;"",EDATE(StartDate,132),"")</f>
        <v>50041</v>
      </c>
      <c r="J135" s="8">
        <f t="shared" si="12"/>
        <v>2295.86</v>
      </c>
      <c r="K135" s="8">
        <f t="shared" si="13"/>
        <v>2219.1400000000003</v>
      </c>
      <c r="L135" s="8">
        <f t="shared" si="14"/>
        <v>466722.65</v>
      </c>
      <c r="M135" s="9">
        <f t="shared" si="15"/>
        <v>4164.43</v>
      </c>
      <c r="N135" s="9">
        <f t="shared" si="16"/>
        <v>237277.34999999995</v>
      </c>
      <c r="O135" s="9">
        <f t="shared" si="17"/>
        <v>388217.64999999979</v>
      </c>
    </row>
    <row r="136" spans="8:15">
      <c r="H136" s="11">
        <f>IF(AND(L135&gt;0.005,H135&lt;&gt;""),134,"")</f>
        <v>134</v>
      </c>
      <c r="I136" s="12">
        <f>IF(H136&lt;&gt;"",EDATE(StartDate,133),"")</f>
        <v>50072</v>
      </c>
      <c r="J136" s="13">
        <f t="shared" si="12"/>
        <v>2285</v>
      </c>
      <c r="K136" s="13">
        <f t="shared" si="13"/>
        <v>2230.0000000000005</v>
      </c>
      <c r="L136" s="13">
        <f t="shared" si="14"/>
        <v>464492.65</v>
      </c>
      <c r="M136" s="9">
        <f t="shared" si="15"/>
        <v>4164.43</v>
      </c>
      <c r="N136" s="9">
        <f t="shared" si="16"/>
        <v>239507.34999999995</v>
      </c>
      <c r="O136" s="9">
        <f t="shared" si="17"/>
        <v>390502.64999999979</v>
      </c>
    </row>
    <row r="137" spans="8:15">
      <c r="H137" s="6">
        <f>IF(AND(L136&gt;0.005,H136&lt;&gt;""),135,"")</f>
        <v>135</v>
      </c>
      <c r="I137" s="7">
        <f>IF(H137&lt;&gt;"",EDATE(StartDate,134),"")</f>
        <v>50100</v>
      </c>
      <c r="J137" s="8">
        <f t="shared" si="12"/>
        <v>2274.08</v>
      </c>
      <c r="K137" s="8">
        <f t="shared" si="13"/>
        <v>2240.9200000000005</v>
      </c>
      <c r="L137" s="8">
        <f t="shared" si="14"/>
        <v>462251.73</v>
      </c>
      <c r="M137" s="9">
        <f t="shared" si="15"/>
        <v>4164.43</v>
      </c>
      <c r="N137" s="9">
        <f t="shared" si="16"/>
        <v>241748.26999999996</v>
      </c>
      <c r="O137" s="9">
        <f t="shared" si="17"/>
        <v>392776.72999999981</v>
      </c>
    </row>
    <row r="138" spans="8:15">
      <c r="H138" s="11">
        <f>IF(AND(L137&gt;0.005,H137&lt;&gt;""),136,"")</f>
        <v>136</v>
      </c>
      <c r="I138" s="12">
        <f>IF(H138&lt;&gt;"",EDATE(StartDate,135),"")</f>
        <v>50131</v>
      </c>
      <c r="J138" s="13">
        <f t="shared" si="12"/>
        <v>2263.11</v>
      </c>
      <c r="K138" s="13">
        <f t="shared" si="13"/>
        <v>2251.8900000000003</v>
      </c>
      <c r="L138" s="13">
        <f t="shared" si="14"/>
        <v>459999.84</v>
      </c>
      <c r="M138" s="9">
        <f t="shared" si="15"/>
        <v>4164.43</v>
      </c>
      <c r="N138" s="9">
        <f t="shared" si="16"/>
        <v>244000.15999999997</v>
      </c>
      <c r="O138" s="9">
        <f t="shared" si="17"/>
        <v>395039.83999999979</v>
      </c>
    </row>
    <row r="139" spans="8:15">
      <c r="H139" s="6">
        <f>IF(AND(L138&gt;0.005,H138&lt;&gt;""),137,"")</f>
        <v>137</v>
      </c>
      <c r="I139" s="7">
        <f>IF(H139&lt;&gt;"",EDATE(StartDate,136),"")</f>
        <v>50161</v>
      </c>
      <c r="J139" s="8">
        <f t="shared" si="12"/>
        <v>2252.08</v>
      </c>
      <c r="K139" s="8">
        <f t="shared" si="13"/>
        <v>2262.9200000000005</v>
      </c>
      <c r="L139" s="8">
        <f t="shared" si="14"/>
        <v>457736.92</v>
      </c>
      <c r="M139" s="9">
        <f t="shared" si="15"/>
        <v>4164.43</v>
      </c>
      <c r="N139" s="9">
        <f t="shared" si="16"/>
        <v>246263.08</v>
      </c>
      <c r="O139" s="9">
        <f t="shared" si="17"/>
        <v>397291.91999999981</v>
      </c>
    </row>
    <row r="140" spans="8:15">
      <c r="H140" s="11">
        <f>IF(AND(L139&gt;0.005,H139&lt;&gt;""),138,"")</f>
        <v>138</v>
      </c>
      <c r="I140" s="12">
        <f>IF(H140&lt;&gt;"",EDATE(StartDate,137),"")</f>
        <v>50192</v>
      </c>
      <c r="J140" s="13">
        <f t="shared" si="12"/>
        <v>2241</v>
      </c>
      <c r="K140" s="13">
        <f t="shared" si="13"/>
        <v>2274.0000000000005</v>
      </c>
      <c r="L140" s="13">
        <f t="shared" si="14"/>
        <v>455462.92</v>
      </c>
      <c r="M140" s="9">
        <f t="shared" si="15"/>
        <v>4164.43</v>
      </c>
      <c r="N140" s="9">
        <f t="shared" si="16"/>
        <v>248537.08</v>
      </c>
      <c r="O140" s="9">
        <f t="shared" si="17"/>
        <v>399532.91999999981</v>
      </c>
    </row>
    <row r="141" spans="8:15">
      <c r="H141" s="6">
        <f>IF(AND(L140&gt;0.005,H140&lt;&gt;""),139,"")</f>
        <v>139</v>
      </c>
      <c r="I141" s="7">
        <f>IF(H141&lt;&gt;"",EDATE(StartDate,138),"")</f>
        <v>50222</v>
      </c>
      <c r="J141" s="8">
        <f t="shared" si="12"/>
        <v>2229.87</v>
      </c>
      <c r="K141" s="8">
        <f t="shared" si="13"/>
        <v>2285.1300000000006</v>
      </c>
      <c r="L141" s="8">
        <f t="shared" si="14"/>
        <v>453177.79</v>
      </c>
      <c r="M141" s="9">
        <f t="shared" si="15"/>
        <v>4164.43</v>
      </c>
      <c r="N141" s="9">
        <f t="shared" si="16"/>
        <v>250822.21</v>
      </c>
      <c r="O141" s="9">
        <f t="shared" si="17"/>
        <v>401762.7899999998</v>
      </c>
    </row>
    <row r="142" spans="8:15">
      <c r="H142" s="11">
        <f>IF(AND(L141&gt;0.005,H141&lt;&gt;""),140,"")</f>
        <v>140</v>
      </c>
      <c r="I142" s="12">
        <f>IF(H142&lt;&gt;"",EDATE(StartDate,139),"")</f>
        <v>50253</v>
      </c>
      <c r="J142" s="13">
        <f t="shared" si="12"/>
        <v>2218.6799999999998</v>
      </c>
      <c r="K142" s="13">
        <f t="shared" si="13"/>
        <v>2296.3200000000006</v>
      </c>
      <c r="L142" s="13">
        <f t="shared" si="14"/>
        <v>450881.47</v>
      </c>
      <c r="M142" s="9">
        <f t="shared" si="15"/>
        <v>4164.43</v>
      </c>
      <c r="N142" s="9">
        <f t="shared" si="16"/>
        <v>253118.53</v>
      </c>
      <c r="O142" s="9">
        <f t="shared" si="17"/>
        <v>403981.4699999998</v>
      </c>
    </row>
    <row r="143" spans="8:15">
      <c r="H143" s="6">
        <f>IF(AND(L142&gt;0.005,H142&lt;&gt;""),141,"")</f>
        <v>141</v>
      </c>
      <c r="I143" s="7">
        <f>IF(H143&lt;&gt;"",EDATE(StartDate,140),"")</f>
        <v>50284</v>
      </c>
      <c r="J143" s="8">
        <f t="shared" si="12"/>
        <v>2207.44</v>
      </c>
      <c r="K143" s="8">
        <f t="shared" si="13"/>
        <v>2307.5600000000004</v>
      </c>
      <c r="L143" s="8">
        <f t="shared" si="14"/>
        <v>448573.91</v>
      </c>
      <c r="M143" s="9">
        <f t="shared" si="15"/>
        <v>4164.43</v>
      </c>
      <c r="N143" s="9">
        <f t="shared" si="16"/>
        <v>255426.09</v>
      </c>
      <c r="O143" s="9">
        <f t="shared" si="17"/>
        <v>406188.9099999998</v>
      </c>
    </row>
    <row r="144" spans="8:15">
      <c r="H144" s="11">
        <f>IF(AND(L143&gt;0.005,H143&lt;&gt;""),142,"")</f>
        <v>142</v>
      </c>
      <c r="I144" s="12">
        <f>IF(H144&lt;&gt;"",EDATE(StartDate,141),"")</f>
        <v>50314</v>
      </c>
      <c r="J144" s="13">
        <f t="shared" si="12"/>
        <v>2196.14</v>
      </c>
      <c r="K144" s="13">
        <f t="shared" si="13"/>
        <v>2318.8600000000006</v>
      </c>
      <c r="L144" s="13">
        <f t="shared" si="14"/>
        <v>446255.05</v>
      </c>
      <c r="M144" s="9">
        <f t="shared" si="15"/>
        <v>4164.43</v>
      </c>
      <c r="N144" s="9">
        <f t="shared" si="16"/>
        <v>257744.95</v>
      </c>
      <c r="O144" s="9">
        <f t="shared" si="17"/>
        <v>408385.04999999981</v>
      </c>
    </row>
    <row r="145" spans="8:15">
      <c r="H145" s="6">
        <f>IF(AND(L144&gt;0.005,H144&lt;&gt;""),143,"")</f>
        <v>143</v>
      </c>
      <c r="I145" s="7">
        <f>IF(H145&lt;&gt;"",EDATE(StartDate,142),"")</f>
        <v>50345</v>
      </c>
      <c r="J145" s="8">
        <f t="shared" si="12"/>
        <v>2184.79</v>
      </c>
      <c r="K145" s="8">
        <f t="shared" si="13"/>
        <v>2330.2100000000005</v>
      </c>
      <c r="L145" s="8">
        <f t="shared" si="14"/>
        <v>443924.84</v>
      </c>
      <c r="M145" s="9">
        <f t="shared" si="15"/>
        <v>4164.43</v>
      </c>
      <c r="N145" s="9">
        <f t="shared" si="16"/>
        <v>260075.16</v>
      </c>
      <c r="O145" s="9">
        <f t="shared" si="17"/>
        <v>410569.83999999979</v>
      </c>
    </row>
    <row r="146" spans="8:15">
      <c r="H146" s="11">
        <f>IF(AND(L145&gt;0.005,H145&lt;&gt;""),144,"")</f>
        <v>144</v>
      </c>
      <c r="I146" s="12">
        <f>IF(H146&lt;&gt;"",EDATE(StartDate,143),"")</f>
        <v>50375</v>
      </c>
      <c r="J146" s="13">
        <f t="shared" si="12"/>
        <v>2173.38</v>
      </c>
      <c r="K146" s="13">
        <f t="shared" si="13"/>
        <v>2341.6200000000003</v>
      </c>
      <c r="L146" s="13">
        <f t="shared" si="14"/>
        <v>441583.22</v>
      </c>
      <c r="M146" s="9">
        <f t="shared" si="15"/>
        <v>4164.43</v>
      </c>
      <c r="N146" s="9">
        <f t="shared" si="16"/>
        <v>262416.78000000003</v>
      </c>
      <c r="O146" s="9">
        <f t="shared" si="17"/>
        <v>412743.2199999998</v>
      </c>
    </row>
    <row r="147" spans="8:15">
      <c r="H147" s="6">
        <f>IF(AND(L146&gt;0.005,H146&lt;&gt;""),145,"")</f>
        <v>145</v>
      </c>
      <c r="I147" s="7">
        <f>IF(H147&lt;&gt;"",EDATE(StartDate,144),"")</f>
        <v>50406</v>
      </c>
      <c r="J147" s="8">
        <f t="shared" si="12"/>
        <v>2161.92</v>
      </c>
      <c r="K147" s="8">
        <f t="shared" si="13"/>
        <v>2353.0800000000004</v>
      </c>
      <c r="L147" s="8">
        <f t="shared" si="14"/>
        <v>439230.14</v>
      </c>
      <c r="M147" s="9">
        <f t="shared" si="15"/>
        <v>4164.43</v>
      </c>
      <c r="N147" s="9">
        <f t="shared" si="16"/>
        <v>264769.86000000004</v>
      </c>
      <c r="O147" s="9">
        <f t="shared" si="17"/>
        <v>414905.13999999978</v>
      </c>
    </row>
    <row r="148" spans="8:15">
      <c r="H148" s="11">
        <f>IF(AND(L147&gt;0.005,H147&lt;&gt;""),146,"")</f>
        <v>146</v>
      </c>
      <c r="I148" s="12">
        <f>IF(H148&lt;&gt;"",EDATE(StartDate,145),"")</f>
        <v>50437</v>
      </c>
      <c r="J148" s="13">
        <f t="shared" si="12"/>
        <v>2150.4</v>
      </c>
      <c r="K148" s="13">
        <f t="shared" si="13"/>
        <v>2364.6000000000004</v>
      </c>
      <c r="L148" s="13">
        <f t="shared" si="14"/>
        <v>436865.54</v>
      </c>
      <c r="M148" s="9">
        <f t="shared" si="15"/>
        <v>4164.43</v>
      </c>
      <c r="N148" s="9">
        <f t="shared" si="16"/>
        <v>267134.46000000002</v>
      </c>
      <c r="O148" s="9">
        <f t="shared" si="17"/>
        <v>417055.5399999998</v>
      </c>
    </row>
    <row r="149" spans="8:15">
      <c r="H149" s="6">
        <f>IF(AND(L148&gt;0.005,H148&lt;&gt;""),147,"")</f>
        <v>147</v>
      </c>
      <c r="I149" s="7">
        <f>IF(H149&lt;&gt;"",EDATE(StartDate,146),"")</f>
        <v>50465</v>
      </c>
      <c r="J149" s="8">
        <f t="shared" si="12"/>
        <v>2138.8200000000002</v>
      </c>
      <c r="K149" s="8">
        <f t="shared" si="13"/>
        <v>2376.1800000000003</v>
      </c>
      <c r="L149" s="8">
        <f t="shared" si="14"/>
        <v>434489.36</v>
      </c>
      <c r="M149" s="9">
        <f t="shared" si="15"/>
        <v>4164.43</v>
      </c>
      <c r="N149" s="9">
        <f t="shared" si="16"/>
        <v>269510.64</v>
      </c>
      <c r="O149" s="9">
        <f t="shared" si="17"/>
        <v>419194.35999999981</v>
      </c>
    </row>
    <row r="150" spans="8:15">
      <c r="H150" s="11">
        <f>IF(AND(L149&gt;0.005,H149&lt;&gt;""),148,"")</f>
        <v>148</v>
      </c>
      <c r="I150" s="12">
        <f>IF(H150&lt;&gt;"",EDATE(StartDate,147),"")</f>
        <v>50496</v>
      </c>
      <c r="J150" s="13">
        <f t="shared" si="12"/>
        <v>2127.19</v>
      </c>
      <c r="K150" s="13">
        <f t="shared" si="13"/>
        <v>2387.8100000000004</v>
      </c>
      <c r="L150" s="13">
        <f t="shared" si="14"/>
        <v>432101.55</v>
      </c>
      <c r="M150" s="9">
        <f t="shared" si="15"/>
        <v>4164.43</v>
      </c>
      <c r="N150" s="9">
        <f t="shared" si="16"/>
        <v>271898.45</v>
      </c>
      <c r="O150" s="9">
        <f t="shared" si="17"/>
        <v>421321.54999999981</v>
      </c>
    </row>
    <row r="151" spans="8:15">
      <c r="H151" s="6">
        <f>IF(AND(L150&gt;0.005,H150&lt;&gt;""),149,"")</f>
        <v>149</v>
      </c>
      <c r="I151" s="7">
        <f>IF(H151&lt;&gt;"",EDATE(StartDate,148),"")</f>
        <v>50526</v>
      </c>
      <c r="J151" s="8">
        <f t="shared" si="12"/>
        <v>2115.5</v>
      </c>
      <c r="K151" s="8">
        <f t="shared" si="13"/>
        <v>2399.5000000000005</v>
      </c>
      <c r="L151" s="8">
        <f t="shared" si="14"/>
        <v>429702.05</v>
      </c>
      <c r="M151" s="9">
        <f t="shared" si="15"/>
        <v>4164.43</v>
      </c>
      <c r="N151" s="9">
        <f t="shared" si="16"/>
        <v>274297.95</v>
      </c>
      <c r="O151" s="9">
        <f t="shared" si="17"/>
        <v>423437.04999999981</v>
      </c>
    </row>
    <row r="152" spans="8:15">
      <c r="H152" s="11">
        <f>IF(AND(L151&gt;0.005,H151&lt;&gt;""),150,"")</f>
        <v>150</v>
      </c>
      <c r="I152" s="12">
        <f>IF(H152&lt;&gt;"",EDATE(StartDate,149),"")</f>
        <v>50557</v>
      </c>
      <c r="J152" s="13">
        <f t="shared" si="12"/>
        <v>2103.75</v>
      </c>
      <c r="K152" s="13">
        <f t="shared" si="13"/>
        <v>2411.2500000000005</v>
      </c>
      <c r="L152" s="13">
        <f t="shared" si="14"/>
        <v>427290.8</v>
      </c>
      <c r="M152" s="9">
        <f t="shared" si="15"/>
        <v>4164.43</v>
      </c>
      <c r="N152" s="9">
        <f t="shared" si="16"/>
        <v>276709.2</v>
      </c>
      <c r="O152" s="9">
        <f t="shared" si="17"/>
        <v>425540.79999999981</v>
      </c>
    </row>
    <row r="153" spans="8:15">
      <c r="H153" s="6">
        <f>IF(AND(L152&gt;0.005,H152&lt;&gt;""),151,"")</f>
        <v>151</v>
      </c>
      <c r="I153" s="7">
        <f>IF(H153&lt;&gt;"",EDATE(StartDate,150),"")</f>
        <v>50587</v>
      </c>
      <c r="J153" s="8">
        <f t="shared" si="12"/>
        <v>2091.94</v>
      </c>
      <c r="K153" s="8">
        <f t="shared" si="13"/>
        <v>2423.0600000000004</v>
      </c>
      <c r="L153" s="8">
        <f t="shared" si="14"/>
        <v>424867.74</v>
      </c>
      <c r="M153" s="9">
        <f t="shared" si="15"/>
        <v>4164.43</v>
      </c>
      <c r="N153" s="9">
        <f t="shared" si="16"/>
        <v>279132.26</v>
      </c>
      <c r="O153" s="9">
        <f t="shared" si="17"/>
        <v>427632.73999999982</v>
      </c>
    </row>
    <row r="154" spans="8:15">
      <c r="H154" s="11">
        <f>IF(AND(L153&gt;0.005,H153&lt;&gt;""),152,"")</f>
        <v>152</v>
      </c>
      <c r="I154" s="12">
        <f>IF(H154&lt;&gt;"",EDATE(StartDate,151),"")</f>
        <v>50618</v>
      </c>
      <c r="J154" s="13">
        <f t="shared" si="12"/>
        <v>2080.08</v>
      </c>
      <c r="K154" s="13">
        <f t="shared" si="13"/>
        <v>2434.9200000000005</v>
      </c>
      <c r="L154" s="13">
        <f t="shared" si="14"/>
        <v>422432.82</v>
      </c>
      <c r="M154" s="9">
        <f t="shared" si="15"/>
        <v>4164.43</v>
      </c>
      <c r="N154" s="9">
        <f t="shared" si="16"/>
        <v>281567.18</v>
      </c>
      <c r="O154" s="9">
        <f t="shared" si="17"/>
        <v>429712.81999999983</v>
      </c>
    </row>
    <row r="155" spans="8:15">
      <c r="H155" s="6">
        <f>IF(AND(L154&gt;0.005,H154&lt;&gt;""),153,"")</f>
        <v>153</v>
      </c>
      <c r="I155" s="7">
        <f>IF(H155&lt;&gt;"",EDATE(StartDate,152),"")</f>
        <v>50649</v>
      </c>
      <c r="J155" s="8">
        <f t="shared" si="12"/>
        <v>2068.16</v>
      </c>
      <c r="K155" s="8">
        <f t="shared" si="13"/>
        <v>2446.8400000000006</v>
      </c>
      <c r="L155" s="8">
        <f t="shared" si="14"/>
        <v>419985.98</v>
      </c>
      <c r="M155" s="9">
        <f t="shared" si="15"/>
        <v>4164.43</v>
      </c>
      <c r="N155" s="9">
        <f t="shared" si="16"/>
        <v>284014.02</v>
      </c>
      <c r="O155" s="9">
        <f t="shared" si="17"/>
        <v>431780.97999999981</v>
      </c>
    </row>
    <row r="156" spans="8:15">
      <c r="H156" s="11">
        <f>IF(AND(L155&gt;0.005,H155&lt;&gt;""),154,"")</f>
        <v>154</v>
      </c>
      <c r="I156" s="12">
        <f>IF(H156&lt;&gt;"",EDATE(StartDate,153),"")</f>
        <v>50679</v>
      </c>
      <c r="J156" s="13">
        <f t="shared" si="12"/>
        <v>2056.1799999999998</v>
      </c>
      <c r="K156" s="13">
        <f t="shared" si="13"/>
        <v>2458.8200000000006</v>
      </c>
      <c r="L156" s="13">
        <f t="shared" si="14"/>
        <v>417527.16</v>
      </c>
      <c r="M156" s="9">
        <f t="shared" si="15"/>
        <v>4164.43</v>
      </c>
      <c r="N156" s="9">
        <f t="shared" si="16"/>
        <v>286472.84000000003</v>
      </c>
      <c r="O156" s="9">
        <f t="shared" si="17"/>
        <v>433837.1599999998</v>
      </c>
    </row>
    <row r="157" spans="8:15">
      <c r="H157" s="6">
        <f>IF(AND(L156&gt;0.005,H156&lt;&gt;""),155,"")</f>
        <v>155</v>
      </c>
      <c r="I157" s="7">
        <f>IF(H157&lt;&gt;"",EDATE(StartDate,154),"")</f>
        <v>50710</v>
      </c>
      <c r="J157" s="8">
        <f t="shared" si="12"/>
        <v>2044.14</v>
      </c>
      <c r="K157" s="8">
        <f t="shared" si="13"/>
        <v>2470.86</v>
      </c>
      <c r="L157" s="8">
        <f t="shared" si="14"/>
        <v>415056.3</v>
      </c>
      <c r="M157" s="9">
        <f t="shared" si="15"/>
        <v>4164.43</v>
      </c>
      <c r="N157" s="9">
        <f t="shared" si="16"/>
        <v>288943.7</v>
      </c>
      <c r="O157" s="9">
        <f t="shared" si="17"/>
        <v>435881.29999999981</v>
      </c>
    </row>
    <row r="158" spans="8:15">
      <c r="H158" s="11">
        <f>IF(AND(L157&gt;0.005,H157&lt;&gt;""),156,"")</f>
        <v>156</v>
      </c>
      <c r="I158" s="12">
        <f>IF(H158&lt;&gt;"",EDATE(StartDate,155),"")</f>
        <v>50740</v>
      </c>
      <c r="J158" s="13">
        <f t="shared" si="12"/>
        <v>2032.05</v>
      </c>
      <c r="K158" s="13">
        <f t="shared" si="13"/>
        <v>2482.9500000000003</v>
      </c>
      <c r="L158" s="13">
        <f t="shared" si="14"/>
        <v>412573.35</v>
      </c>
      <c r="M158" s="9">
        <f t="shared" si="15"/>
        <v>4164.43</v>
      </c>
      <c r="N158" s="9">
        <f t="shared" si="16"/>
        <v>291426.65000000002</v>
      </c>
      <c r="O158" s="9">
        <f t="shared" si="17"/>
        <v>437913.3499999998</v>
      </c>
    </row>
    <row r="159" spans="8:15">
      <c r="H159" s="6">
        <f>IF(AND(L158&gt;0.005,H158&lt;&gt;""),157,"")</f>
        <v>157</v>
      </c>
      <c r="I159" s="7">
        <f>IF(H159&lt;&gt;"",EDATE(StartDate,156),"")</f>
        <v>50771</v>
      </c>
      <c r="J159" s="8">
        <f t="shared" si="12"/>
        <v>2019.89</v>
      </c>
      <c r="K159" s="8">
        <f t="shared" si="13"/>
        <v>2495.11</v>
      </c>
      <c r="L159" s="8">
        <f t="shared" si="14"/>
        <v>410078.24</v>
      </c>
      <c r="M159" s="9">
        <f t="shared" si="15"/>
        <v>4164.43</v>
      </c>
      <c r="N159" s="9">
        <f t="shared" si="16"/>
        <v>293921.76</v>
      </c>
      <c r="O159" s="9">
        <f t="shared" si="17"/>
        <v>439933.23999999982</v>
      </c>
    </row>
    <row r="160" spans="8:15">
      <c r="H160" s="11">
        <f>IF(AND(L159&gt;0.005,H159&lt;&gt;""),158,"")</f>
        <v>158</v>
      </c>
      <c r="I160" s="12">
        <f>IF(H160&lt;&gt;"",EDATE(StartDate,157),"")</f>
        <v>50802</v>
      </c>
      <c r="J160" s="13">
        <f t="shared" si="12"/>
        <v>2007.67</v>
      </c>
      <c r="K160" s="13">
        <f t="shared" si="13"/>
        <v>2507.3300000000004</v>
      </c>
      <c r="L160" s="13">
        <f t="shared" si="14"/>
        <v>407570.91</v>
      </c>
      <c r="M160" s="9">
        <f t="shared" si="15"/>
        <v>4164.43</v>
      </c>
      <c r="N160" s="9">
        <f t="shared" si="16"/>
        <v>296429.09000000003</v>
      </c>
      <c r="O160" s="9">
        <f t="shared" si="17"/>
        <v>441940.9099999998</v>
      </c>
    </row>
    <row r="161" spans="8:15">
      <c r="H161" s="6">
        <f>IF(AND(L160&gt;0.005,H160&lt;&gt;""),159,"")</f>
        <v>159</v>
      </c>
      <c r="I161" s="7">
        <f>IF(H161&lt;&gt;"",EDATE(StartDate,158),"")</f>
        <v>50830</v>
      </c>
      <c r="J161" s="8">
        <f t="shared" si="12"/>
        <v>1995.4</v>
      </c>
      <c r="K161" s="8">
        <f t="shared" si="13"/>
        <v>2519.6000000000004</v>
      </c>
      <c r="L161" s="8">
        <f t="shared" si="14"/>
        <v>405051.31</v>
      </c>
      <c r="M161" s="9">
        <f t="shared" si="15"/>
        <v>4164.43</v>
      </c>
      <c r="N161" s="9">
        <f t="shared" si="16"/>
        <v>298948.69</v>
      </c>
      <c r="O161" s="9">
        <f t="shared" si="17"/>
        <v>443936.30999999982</v>
      </c>
    </row>
    <row r="162" spans="8:15">
      <c r="H162" s="11">
        <f>IF(AND(L161&gt;0.005,H161&lt;&gt;""),160,"")</f>
        <v>160</v>
      </c>
      <c r="I162" s="12">
        <f>IF(H162&lt;&gt;"",EDATE(StartDate,159),"")</f>
        <v>50861</v>
      </c>
      <c r="J162" s="13">
        <f t="shared" si="12"/>
        <v>1983.06</v>
      </c>
      <c r="K162" s="13">
        <f t="shared" si="13"/>
        <v>2531.9400000000005</v>
      </c>
      <c r="L162" s="13">
        <f t="shared" si="14"/>
        <v>402519.37</v>
      </c>
      <c r="M162" s="9">
        <f t="shared" si="15"/>
        <v>4164.43</v>
      </c>
      <c r="N162" s="9">
        <f t="shared" si="16"/>
        <v>301480.63</v>
      </c>
      <c r="O162" s="9">
        <f t="shared" si="17"/>
        <v>445919.36999999982</v>
      </c>
    </row>
    <row r="163" spans="8:15">
      <c r="H163" s="6">
        <f>IF(AND(L162&gt;0.005,H162&lt;&gt;""),161,"")</f>
        <v>161</v>
      </c>
      <c r="I163" s="7">
        <f>IF(H163&lt;&gt;"",EDATE(StartDate,160),"")</f>
        <v>50891</v>
      </c>
      <c r="J163" s="8">
        <f t="shared" si="12"/>
        <v>1970.67</v>
      </c>
      <c r="K163" s="8">
        <f t="shared" si="13"/>
        <v>2544.3300000000004</v>
      </c>
      <c r="L163" s="8">
        <f t="shared" si="14"/>
        <v>399975.04</v>
      </c>
      <c r="M163" s="9">
        <f t="shared" si="15"/>
        <v>4164.43</v>
      </c>
      <c r="N163" s="9">
        <f t="shared" si="16"/>
        <v>304024.96000000002</v>
      </c>
      <c r="O163" s="9">
        <f t="shared" si="17"/>
        <v>447890.0399999998</v>
      </c>
    </row>
    <row r="164" spans="8:15">
      <c r="H164" s="11">
        <f>IF(AND(L163&gt;0.005,H163&lt;&gt;""),162,"")</f>
        <v>162</v>
      </c>
      <c r="I164" s="12">
        <f>IF(H164&lt;&gt;"",EDATE(StartDate,161),"")</f>
        <v>50922</v>
      </c>
      <c r="J164" s="13">
        <f t="shared" si="12"/>
        <v>1958.21</v>
      </c>
      <c r="K164" s="13">
        <f t="shared" si="13"/>
        <v>2556.7900000000004</v>
      </c>
      <c r="L164" s="13">
        <f t="shared" si="14"/>
        <v>397418.25</v>
      </c>
      <c r="M164" s="9">
        <f t="shared" si="15"/>
        <v>4164.43</v>
      </c>
      <c r="N164" s="9">
        <f t="shared" si="16"/>
        <v>306581.75</v>
      </c>
      <c r="O164" s="9">
        <f t="shared" si="17"/>
        <v>449848.24999999983</v>
      </c>
    </row>
    <row r="165" spans="8:15">
      <c r="H165" s="6">
        <f>IF(AND(L164&gt;0.005,H164&lt;&gt;""),163,"")</f>
        <v>163</v>
      </c>
      <c r="I165" s="7">
        <f>IF(H165&lt;&gt;"",EDATE(StartDate,162),"")</f>
        <v>50952</v>
      </c>
      <c r="J165" s="8">
        <f t="shared" si="12"/>
        <v>1945.69</v>
      </c>
      <c r="K165" s="8">
        <f t="shared" si="13"/>
        <v>2569.3100000000004</v>
      </c>
      <c r="L165" s="8">
        <f t="shared" si="14"/>
        <v>394848.94</v>
      </c>
      <c r="M165" s="9">
        <f t="shared" si="15"/>
        <v>4164.43</v>
      </c>
      <c r="N165" s="9">
        <f t="shared" si="16"/>
        <v>309151.06</v>
      </c>
      <c r="O165" s="9">
        <f t="shared" si="17"/>
        <v>451793.93999999983</v>
      </c>
    </row>
    <row r="166" spans="8:15">
      <c r="H166" s="11">
        <f>IF(AND(L165&gt;0.005,H165&lt;&gt;""),164,"")</f>
        <v>164</v>
      </c>
      <c r="I166" s="12">
        <f>IF(H166&lt;&gt;"",EDATE(StartDate,163),"")</f>
        <v>50983</v>
      </c>
      <c r="J166" s="13">
        <f t="shared" si="12"/>
        <v>1933.11</v>
      </c>
      <c r="K166" s="13">
        <f t="shared" si="13"/>
        <v>2581.8900000000008</v>
      </c>
      <c r="L166" s="13">
        <f t="shared" si="14"/>
        <v>392267.05</v>
      </c>
      <c r="M166" s="9">
        <f t="shared" si="15"/>
        <v>4164.43</v>
      </c>
      <c r="N166" s="9">
        <f t="shared" si="16"/>
        <v>311732.95</v>
      </c>
      <c r="O166" s="9">
        <f t="shared" si="17"/>
        <v>453727.04999999981</v>
      </c>
    </row>
    <row r="167" spans="8:15">
      <c r="H167" s="6">
        <f>IF(AND(L166&gt;0.005,H166&lt;&gt;""),165,"")</f>
        <v>165</v>
      </c>
      <c r="I167" s="7">
        <f>IF(H167&lt;&gt;"",EDATE(StartDate,164),"")</f>
        <v>51014</v>
      </c>
      <c r="J167" s="8">
        <f t="shared" si="12"/>
        <v>1920.47</v>
      </c>
      <c r="K167" s="8">
        <f t="shared" si="13"/>
        <v>2594.5300000000002</v>
      </c>
      <c r="L167" s="8">
        <f t="shared" si="14"/>
        <v>389672.52</v>
      </c>
      <c r="M167" s="9">
        <f t="shared" si="15"/>
        <v>4164.43</v>
      </c>
      <c r="N167" s="9">
        <f t="shared" si="16"/>
        <v>314327.48000000004</v>
      </c>
      <c r="O167" s="9">
        <f t="shared" si="17"/>
        <v>455647.51999999979</v>
      </c>
    </row>
    <row r="168" spans="8:15">
      <c r="H168" s="11">
        <f>IF(AND(L167&gt;0.005,H167&lt;&gt;""),166,"")</f>
        <v>166</v>
      </c>
      <c r="I168" s="12">
        <f>IF(H168&lt;&gt;"",EDATE(StartDate,165),"")</f>
        <v>51044</v>
      </c>
      <c r="J168" s="13">
        <f t="shared" si="12"/>
        <v>1907.77</v>
      </c>
      <c r="K168" s="13">
        <f t="shared" si="13"/>
        <v>2607.2300000000005</v>
      </c>
      <c r="L168" s="13">
        <f t="shared" si="14"/>
        <v>387065.29</v>
      </c>
      <c r="M168" s="9">
        <f t="shared" si="15"/>
        <v>4164.43</v>
      </c>
      <c r="N168" s="9">
        <f t="shared" si="16"/>
        <v>316934.71000000002</v>
      </c>
      <c r="O168" s="9">
        <f t="shared" si="17"/>
        <v>457555.2899999998</v>
      </c>
    </row>
    <row r="169" spans="8:15">
      <c r="H169" s="6">
        <f>IF(AND(L168&gt;0.005,H168&lt;&gt;""),167,"")</f>
        <v>167</v>
      </c>
      <c r="I169" s="7">
        <f>IF(H169&lt;&gt;"",EDATE(StartDate,166),"")</f>
        <v>51075</v>
      </c>
      <c r="J169" s="8">
        <f t="shared" si="12"/>
        <v>1895.01</v>
      </c>
      <c r="K169" s="8">
        <f t="shared" si="13"/>
        <v>2619.9900000000002</v>
      </c>
      <c r="L169" s="8">
        <f t="shared" si="14"/>
        <v>384445.3</v>
      </c>
      <c r="M169" s="9">
        <f t="shared" si="15"/>
        <v>4164.43</v>
      </c>
      <c r="N169" s="9">
        <f t="shared" si="16"/>
        <v>319554.7</v>
      </c>
      <c r="O169" s="9">
        <f t="shared" si="17"/>
        <v>459450.29999999981</v>
      </c>
    </row>
    <row r="170" spans="8:15">
      <c r="H170" s="11">
        <f>IF(AND(L169&gt;0.005,H169&lt;&gt;""),168,"")</f>
        <v>168</v>
      </c>
      <c r="I170" s="12">
        <f>IF(H170&lt;&gt;"",EDATE(StartDate,167),"")</f>
        <v>51105</v>
      </c>
      <c r="J170" s="13">
        <f t="shared" si="12"/>
        <v>1882.18</v>
      </c>
      <c r="K170" s="13">
        <f t="shared" si="13"/>
        <v>2632.82</v>
      </c>
      <c r="L170" s="13">
        <f t="shared" si="14"/>
        <v>381812.47999999998</v>
      </c>
      <c r="M170" s="9">
        <f t="shared" si="15"/>
        <v>4164.43</v>
      </c>
      <c r="N170" s="9">
        <f t="shared" si="16"/>
        <v>322187.52000000002</v>
      </c>
      <c r="O170" s="9">
        <f t="shared" si="17"/>
        <v>461332.47999999981</v>
      </c>
    </row>
    <row r="171" spans="8:15">
      <c r="H171" s="6">
        <f>IF(AND(L170&gt;0.005,H170&lt;&gt;""),169,"")</f>
        <v>169</v>
      </c>
      <c r="I171" s="7">
        <f>IF(H171&lt;&gt;"",EDATE(StartDate,168),"")</f>
        <v>51136</v>
      </c>
      <c r="J171" s="8">
        <f t="shared" si="12"/>
        <v>1869.29</v>
      </c>
      <c r="K171" s="8">
        <f t="shared" si="13"/>
        <v>2645.7100000000005</v>
      </c>
      <c r="L171" s="8">
        <f t="shared" si="14"/>
        <v>379166.77</v>
      </c>
      <c r="M171" s="9">
        <f t="shared" si="15"/>
        <v>4164.43</v>
      </c>
      <c r="N171" s="9">
        <f t="shared" si="16"/>
        <v>324833.23000000004</v>
      </c>
      <c r="O171" s="9">
        <f t="shared" si="17"/>
        <v>463201.76999999979</v>
      </c>
    </row>
    <row r="172" spans="8:15">
      <c r="H172" s="11">
        <f>IF(AND(L171&gt;0.005,H171&lt;&gt;""),170,"")</f>
        <v>170</v>
      </c>
      <c r="I172" s="12">
        <f>IF(H172&lt;&gt;"",EDATE(StartDate,169),"")</f>
        <v>51167</v>
      </c>
      <c r="J172" s="13">
        <f t="shared" si="12"/>
        <v>1856.34</v>
      </c>
      <c r="K172" s="13">
        <f t="shared" si="13"/>
        <v>2658.6600000000003</v>
      </c>
      <c r="L172" s="13">
        <f t="shared" si="14"/>
        <v>376508.11</v>
      </c>
      <c r="M172" s="9">
        <f t="shared" si="15"/>
        <v>4164.43</v>
      </c>
      <c r="N172" s="9">
        <f t="shared" si="16"/>
        <v>327491.89</v>
      </c>
      <c r="O172" s="9">
        <f t="shared" si="17"/>
        <v>465058.10999999981</v>
      </c>
    </row>
    <row r="173" spans="8:15">
      <c r="H173" s="6">
        <f>IF(AND(L172&gt;0.005,H172&lt;&gt;""),171,"")</f>
        <v>171</v>
      </c>
      <c r="I173" s="7">
        <f>IF(H173&lt;&gt;"",EDATE(StartDate,170),"")</f>
        <v>51196</v>
      </c>
      <c r="J173" s="8">
        <f t="shared" si="12"/>
        <v>1843.32</v>
      </c>
      <c r="K173" s="8">
        <f t="shared" si="13"/>
        <v>2671.6800000000007</v>
      </c>
      <c r="L173" s="8">
        <f t="shared" si="14"/>
        <v>373836.43</v>
      </c>
      <c r="M173" s="9">
        <f t="shared" si="15"/>
        <v>4164.43</v>
      </c>
      <c r="N173" s="9">
        <f t="shared" si="16"/>
        <v>330163.57</v>
      </c>
      <c r="O173" s="9">
        <f t="shared" si="17"/>
        <v>466901.42999999982</v>
      </c>
    </row>
    <row r="174" spans="8:15">
      <c r="H174" s="11">
        <f>IF(AND(L173&gt;0.005,H173&lt;&gt;""),172,"")</f>
        <v>172</v>
      </c>
      <c r="I174" s="12">
        <f>IF(H174&lt;&gt;"",EDATE(StartDate,171),"")</f>
        <v>51227</v>
      </c>
      <c r="J174" s="13">
        <f t="shared" si="12"/>
        <v>1830.24</v>
      </c>
      <c r="K174" s="13">
        <f t="shared" si="13"/>
        <v>2684.7600000000007</v>
      </c>
      <c r="L174" s="13">
        <f t="shared" si="14"/>
        <v>371151.67</v>
      </c>
      <c r="M174" s="9">
        <f t="shared" si="15"/>
        <v>4164.43</v>
      </c>
      <c r="N174" s="9">
        <f t="shared" si="16"/>
        <v>332848.33</v>
      </c>
      <c r="O174" s="9">
        <f t="shared" si="17"/>
        <v>468731.66999999981</v>
      </c>
    </row>
    <row r="175" spans="8:15">
      <c r="H175" s="6">
        <f>IF(AND(L174&gt;0.005,H174&lt;&gt;""),173,"")</f>
        <v>173</v>
      </c>
      <c r="I175" s="7">
        <f>IF(H175&lt;&gt;"",EDATE(StartDate,172),"")</f>
        <v>51257</v>
      </c>
      <c r="J175" s="8">
        <f t="shared" si="12"/>
        <v>1817.1</v>
      </c>
      <c r="K175" s="8">
        <f t="shared" si="13"/>
        <v>2697.9000000000005</v>
      </c>
      <c r="L175" s="8">
        <f t="shared" si="14"/>
        <v>368453.77</v>
      </c>
      <c r="M175" s="9">
        <f t="shared" si="15"/>
        <v>4164.43</v>
      </c>
      <c r="N175" s="9">
        <f t="shared" si="16"/>
        <v>335546.23000000004</v>
      </c>
      <c r="O175" s="9">
        <f t="shared" si="17"/>
        <v>470548.76999999979</v>
      </c>
    </row>
    <row r="176" spans="8:15">
      <c r="H176" s="11">
        <f>IF(AND(L175&gt;0.005,H175&lt;&gt;""),174,"")</f>
        <v>174</v>
      </c>
      <c r="I176" s="12">
        <f>IF(H176&lt;&gt;"",EDATE(StartDate,173),"")</f>
        <v>51288</v>
      </c>
      <c r="J176" s="13">
        <f t="shared" si="12"/>
        <v>1803.89</v>
      </c>
      <c r="K176" s="13">
        <f t="shared" si="13"/>
        <v>2711.11</v>
      </c>
      <c r="L176" s="13">
        <f t="shared" si="14"/>
        <v>365742.66</v>
      </c>
      <c r="M176" s="9">
        <f t="shared" si="15"/>
        <v>4164.43</v>
      </c>
      <c r="N176" s="9">
        <f t="shared" si="16"/>
        <v>338257.34</v>
      </c>
      <c r="O176" s="9">
        <f t="shared" si="17"/>
        <v>472352.6599999998</v>
      </c>
    </row>
    <row r="177" spans="8:15">
      <c r="H177" s="6">
        <f>IF(AND(L176&gt;0.005,H176&lt;&gt;""),175,"")</f>
        <v>175</v>
      </c>
      <c r="I177" s="7">
        <f>IF(H177&lt;&gt;"",EDATE(StartDate,174),"")</f>
        <v>51318</v>
      </c>
      <c r="J177" s="8">
        <f t="shared" si="12"/>
        <v>1790.62</v>
      </c>
      <c r="K177" s="8">
        <f t="shared" si="13"/>
        <v>2724.3800000000006</v>
      </c>
      <c r="L177" s="8">
        <f t="shared" si="14"/>
        <v>363018.28</v>
      </c>
      <c r="M177" s="9">
        <f t="shared" si="15"/>
        <v>4164.43</v>
      </c>
      <c r="N177" s="9">
        <f t="shared" si="16"/>
        <v>340981.72000000003</v>
      </c>
      <c r="O177" s="9">
        <f t="shared" si="17"/>
        <v>474143.2799999998</v>
      </c>
    </row>
    <row r="178" spans="8:15">
      <c r="H178" s="11">
        <f>IF(AND(L177&gt;0.005,H177&lt;&gt;""),176,"")</f>
        <v>176</v>
      </c>
      <c r="I178" s="12">
        <f>IF(H178&lt;&gt;"",EDATE(StartDate,175),"")</f>
        <v>51349</v>
      </c>
      <c r="J178" s="13">
        <f t="shared" si="12"/>
        <v>1777.28</v>
      </c>
      <c r="K178" s="13">
        <f t="shared" si="13"/>
        <v>2737.7200000000007</v>
      </c>
      <c r="L178" s="13">
        <f t="shared" si="14"/>
        <v>360280.56</v>
      </c>
      <c r="M178" s="9">
        <f t="shared" si="15"/>
        <v>4164.43</v>
      </c>
      <c r="N178" s="9">
        <f t="shared" si="16"/>
        <v>343719.44</v>
      </c>
      <c r="O178" s="9">
        <f t="shared" si="17"/>
        <v>475920.55999999982</v>
      </c>
    </row>
    <row r="179" spans="8:15">
      <c r="H179" s="6">
        <f>IF(AND(L178&gt;0.005,H178&lt;&gt;""),177,"")</f>
        <v>177</v>
      </c>
      <c r="I179" s="7">
        <f>IF(H179&lt;&gt;"",EDATE(StartDate,176),"")</f>
        <v>51380</v>
      </c>
      <c r="J179" s="8">
        <f t="shared" si="12"/>
        <v>1763.87</v>
      </c>
      <c r="K179" s="8">
        <f t="shared" si="13"/>
        <v>2751.1300000000006</v>
      </c>
      <c r="L179" s="8">
        <f t="shared" si="14"/>
        <v>357529.43</v>
      </c>
      <c r="M179" s="9">
        <f t="shared" si="15"/>
        <v>4164.43</v>
      </c>
      <c r="N179" s="9">
        <f t="shared" si="16"/>
        <v>346470.57</v>
      </c>
      <c r="O179" s="9">
        <f t="shared" si="17"/>
        <v>477684.42999999982</v>
      </c>
    </row>
    <row r="180" spans="8:15">
      <c r="H180" s="11">
        <f>IF(AND(L179&gt;0.005,H179&lt;&gt;""),178,"")</f>
        <v>178</v>
      </c>
      <c r="I180" s="12">
        <f>IF(H180&lt;&gt;"",EDATE(StartDate,177),"")</f>
        <v>51410</v>
      </c>
      <c r="J180" s="13">
        <f t="shared" si="12"/>
        <v>1750.4</v>
      </c>
      <c r="K180" s="13">
        <f t="shared" si="13"/>
        <v>2764.6000000000004</v>
      </c>
      <c r="L180" s="13">
        <f t="shared" si="14"/>
        <v>354764.83</v>
      </c>
      <c r="M180" s="9">
        <f t="shared" si="15"/>
        <v>4164.43</v>
      </c>
      <c r="N180" s="9">
        <f t="shared" si="16"/>
        <v>349235.17</v>
      </c>
      <c r="O180" s="9">
        <f t="shared" si="17"/>
        <v>479434.82999999984</v>
      </c>
    </row>
    <row r="181" spans="8:15">
      <c r="H181" s="6">
        <f>IF(AND(L180&gt;0.005,H180&lt;&gt;""),179,"")</f>
        <v>179</v>
      </c>
      <c r="I181" s="7">
        <f>IF(H181&lt;&gt;"",EDATE(StartDate,178),"")</f>
        <v>51441</v>
      </c>
      <c r="J181" s="8">
        <f t="shared" si="12"/>
        <v>1736.87</v>
      </c>
      <c r="K181" s="8">
        <f t="shared" si="13"/>
        <v>2778.1300000000006</v>
      </c>
      <c r="L181" s="8">
        <f t="shared" si="14"/>
        <v>351986.7</v>
      </c>
      <c r="M181" s="9">
        <f t="shared" si="15"/>
        <v>4164.43</v>
      </c>
      <c r="N181" s="9">
        <f t="shared" si="16"/>
        <v>352013.3</v>
      </c>
      <c r="O181" s="9">
        <f t="shared" si="17"/>
        <v>481171.69999999984</v>
      </c>
    </row>
    <row r="182" spans="8:15">
      <c r="H182" s="11">
        <f>IF(AND(L181&gt;0.005,H181&lt;&gt;""),180,"")</f>
        <v>180</v>
      </c>
      <c r="I182" s="12">
        <f>IF(H182&lt;&gt;"",EDATE(StartDate,179),"")</f>
        <v>51471</v>
      </c>
      <c r="J182" s="13">
        <f t="shared" si="12"/>
        <v>1723.27</v>
      </c>
      <c r="K182" s="13">
        <f t="shared" si="13"/>
        <v>2791.7300000000005</v>
      </c>
      <c r="L182" s="13">
        <f t="shared" si="14"/>
        <v>349194.97</v>
      </c>
      <c r="M182" s="9">
        <f t="shared" si="15"/>
        <v>4164.43</v>
      </c>
      <c r="N182" s="9">
        <f t="shared" si="16"/>
        <v>354805.02999999997</v>
      </c>
      <c r="O182" s="9">
        <f t="shared" si="17"/>
        <v>482894.96999999986</v>
      </c>
    </row>
    <row r="183" spans="8:15">
      <c r="H183" s="6">
        <f>IF(AND(L182&gt;0.005,H182&lt;&gt;""),181,"")</f>
        <v>181</v>
      </c>
      <c r="I183" s="7">
        <f>IF(H183&lt;&gt;"",EDATE(StartDate,180),"")</f>
        <v>51502</v>
      </c>
      <c r="J183" s="8">
        <f t="shared" si="12"/>
        <v>1709.6</v>
      </c>
      <c r="K183" s="8">
        <f t="shared" si="13"/>
        <v>2805.4000000000005</v>
      </c>
      <c r="L183" s="8">
        <f t="shared" si="14"/>
        <v>346389.57</v>
      </c>
      <c r="M183" s="9">
        <f t="shared" si="15"/>
        <v>4164.43</v>
      </c>
      <c r="N183" s="9">
        <f t="shared" si="16"/>
        <v>357610.43</v>
      </c>
      <c r="O183" s="9">
        <f t="shared" si="17"/>
        <v>484604.56999999983</v>
      </c>
    </row>
    <row r="184" spans="8:15">
      <c r="H184" s="11">
        <f>IF(AND(L183&gt;0.005,H183&lt;&gt;""),182,"")</f>
        <v>182</v>
      </c>
      <c r="I184" s="12">
        <f>IF(H184&lt;&gt;"",EDATE(StartDate,181),"")</f>
        <v>51533</v>
      </c>
      <c r="J184" s="13">
        <f t="shared" si="12"/>
        <v>1695.87</v>
      </c>
      <c r="K184" s="13">
        <f t="shared" si="13"/>
        <v>2819.1300000000006</v>
      </c>
      <c r="L184" s="13">
        <f t="shared" si="14"/>
        <v>343570.44</v>
      </c>
      <c r="M184" s="9">
        <f t="shared" si="15"/>
        <v>4164.43</v>
      </c>
      <c r="N184" s="9">
        <f t="shared" si="16"/>
        <v>360429.56</v>
      </c>
      <c r="O184" s="9">
        <f t="shared" si="17"/>
        <v>486300.43999999983</v>
      </c>
    </row>
    <row r="185" spans="8:15">
      <c r="H185" s="6">
        <f>IF(AND(L184&gt;0.005,H184&lt;&gt;""),183,"")</f>
        <v>183</v>
      </c>
      <c r="I185" s="7">
        <f>IF(H185&lt;&gt;"",EDATE(StartDate,182),"")</f>
        <v>51561</v>
      </c>
      <c r="J185" s="8">
        <f t="shared" si="12"/>
        <v>1682.06</v>
      </c>
      <c r="K185" s="8">
        <f t="shared" si="13"/>
        <v>2832.9400000000005</v>
      </c>
      <c r="L185" s="8">
        <f t="shared" si="14"/>
        <v>340737.5</v>
      </c>
      <c r="M185" s="9">
        <f t="shared" si="15"/>
        <v>4164.43</v>
      </c>
      <c r="N185" s="9">
        <f t="shared" si="16"/>
        <v>363262.5</v>
      </c>
      <c r="O185" s="9">
        <f t="shared" si="17"/>
        <v>487982.49999999983</v>
      </c>
    </row>
    <row r="186" spans="8:15">
      <c r="H186" s="11">
        <f>IF(AND(L185&gt;0.005,H185&lt;&gt;""),184,"")</f>
        <v>184</v>
      </c>
      <c r="I186" s="12">
        <f>IF(H186&lt;&gt;"",EDATE(StartDate,183),"")</f>
        <v>51592</v>
      </c>
      <c r="J186" s="13">
        <f t="shared" si="12"/>
        <v>1668.19</v>
      </c>
      <c r="K186" s="13">
        <f t="shared" si="13"/>
        <v>2846.8100000000004</v>
      </c>
      <c r="L186" s="13">
        <f t="shared" si="14"/>
        <v>337890.69</v>
      </c>
      <c r="M186" s="9">
        <f t="shared" si="15"/>
        <v>4164.43</v>
      </c>
      <c r="N186" s="9">
        <f t="shared" si="16"/>
        <v>366109.31</v>
      </c>
      <c r="O186" s="9">
        <f t="shared" si="17"/>
        <v>489650.68999999983</v>
      </c>
    </row>
    <row r="187" spans="8:15">
      <c r="H187" s="6">
        <f>IF(AND(L186&gt;0.005,H186&lt;&gt;""),185,"")</f>
        <v>185</v>
      </c>
      <c r="I187" s="7">
        <f>IF(H187&lt;&gt;"",EDATE(StartDate,184),"")</f>
        <v>51622</v>
      </c>
      <c r="J187" s="8">
        <f t="shared" si="12"/>
        <v>1654.26</v>
      </c>
      <c r="K187" s="8">
        <f t="shared" si="13"/>
        <v>2860.7400000000002</v>
      </c>
      <c r="L187" s="8">
        <f t="shared" si="14"/>
        <v>335029.95</v>
      </c>
      <c r="M187" s="9">
        <f t="shared" si="15"/>
        <v>4164.43</v>
      </c>
      <c r="N187" s="9">
        <f t="shared" si="16"/>
        <v>368970.05</v>
      </c>
      <c r="O187" s="9">
        <f t="shared" si="17"/>
        <v>491304.94999999984</v>
      </c>
    </row>
    <row r="188" spans="8:15">
      <c r="H188" s="11">
        <f>IF(AND(L187&gt;0.005,H187&lt;&gt;""),186,"")</f>
        <v>186</v>
      </c>
      <c r="I188" s="12">
        <f>IF(H188&lt;&gt;"",EDATE(StartDate,185),"")</f>
        <v>51653</v>
      </c>
      <c r="J188" s="13">
        <f t="shared" si="12"/>
        <v>1640.25</v>
      </c>
      <c r="K188" s="13">
        <f t="shared" si="13"/>
        <v>2874.7500000000005</v>
      </c>
      <c r="L188" s="13">
        <f t="shared" si="14"/>
        <v>332155.2</v>
      </c>
      <c r="M188" s="9">
        <f t="shared" si="15"/>
        <v>4164.43</v>
      </c>
      <c r="N188" s="9">
        <f t="shared" si="16"/>
        <v>371844.8</v>
      </c>
      <c r="O188" s="9">
        <f t="shared" si="17"/>
        <v>492945.19999999984</v>
      </c>
    </row>
    <row r="189" spans="8:15">
      <c r="H189" s="6">
        <f>IF(AND(L188&gt;0.005,H188&lt;&gt;""),187,"")</f>
        <v>187</v>
      </c>
      <c r="I189" s="7">
        <f>IF(H189&lt;&gt;"",EDATE(StartDate,186),"")</f>
        <v>51683</v>
      </c>
      <c r="J189" s="8">
        <f t="shared" si="12"/>
        <v>1626.18</v>
      </c>
      <c r="K189" s="8">
        <f t="shared" si="13"/>
        <v>2888.82</v>
      </c>
      <c r="L189" s="8">
        <f t="shared" si="14"/>
        <v>329266.38</v>
      </c>
      <c r="M189" s="9">
        <f t="shared" si="15"/>
        <v>4164.43</v>
      </c>
      <c r="N189" s="9">
        <f t="shared" si="16"/>
        <v>374733.62</v>
      </c>
      <c r="O189" s="9">
        <f t="shared" si="17"/>
        <v>494571.37999999983</v>
      </c>
    </row>
    <row r="190" spans="8:15">
      <c r="H190" s="11">
        <f>IF(AND(L189&gt;0.005,H189&lt;&gt;""),188,"")</f>
        <v>188</v>
      </c>
      <c r="I190" s="12">
        <f>IF(H190&lt;&gt;"",EDATE(StartDate,187),"")</f>
        <v>51714</v>
      </c>
      <c r="J190" s="13">
        <f t="shared" si="12"/>
        <v>1612.03</v>
      </c>
      <c r="K190" s="13">
        <f t="shared" si="13"/>
        <v>2902.9700000000007</v>
      </c>
      <c r="L190" s="13">
        <f t="shared" si="14"/>
        <v>326363.40999999997</v>
      </c>
      <c r="M190" s="9">
        <f t="shared" si="15"/>
        <v>4164.43</v>
      </c>
      <c r="N190" s="9">
        <f t="shared" si="16"/>
        <v>377636.58999999997</v>
      </c>
      <c r="O190" s="9">
        <f t="shared" si="17"/>
        <v>496183.40999999986</v>
      </c>
    </row>
    <row r="191" spans="8:15">
      <c r="H191" s="6">
        <f>IF(AND(L190&gt;0.005,H190&lt;&gt;""),189,"")</f>
        <v>189</v>
      </c>
      <c r="I191" s="7">
        <f>IF(H191&lt;&gt;"",EDATE(StartDate,188),"")</f>
        <v>51745</v>
      </c>
      <c r="J191" s="8">
        <f t="shared" si="12"/>
        <v>1597.82</v>
      </c>
      <c r="K191" s="8">
        <f t="shared" si="13"/>
        <v>2917.1800000000007</v>
      </c>
      <c r="L191" s="8">
        <f t="shared" si="14"/>
        <v>323446.23</v>
      </c>
      <c r="M191" s="9">
        <f t="shared" si="15"/>
        <v>4164.43</v>
      </c>
      <c r="N191" s="9">
        <f t="shared" si="16"/>
        <v>380553.76999999996</v>
      </c>
      <c r="O191" s="9">
        <f t="shared" si="17"/>
        <v>497781.22999999986</v>
      </c>
    </row>
    <row r="192" spans="8:15">
      <c r="H192" s="11">
        <f>IF(AND(L191&gt;0.005,H191&lt;&gt;""),190,"")</f>
        <v>190</v>
      </c>
      <c r="I192" s="12">
        <f>IF(H192&lt;&gt;"",EDATE(StartDate,189),"")</f>
        <v>51775</v>
      </c>
      <c r="J192" s="13">
        <f t="shared" si="12"/>
        <v>1583.54</v>
      </c>
      <c r="K192" s="13">
        <f t="shared" si="13"/>
        <v>2931.4600000000005</v>
      </c>
      <c r="L192" s="13">
        <f t="shared" si="14"/>
        <v>320514.77</v>
      </c>
      <c r="M192" s="9">
        <f t="shared" si="15"/>
        <v>4164.43</v>
      </c>
      <c r="N192" s="9">
        <f t="shared" si="16"/>
        <v>383485.23</v>
      </c>
      <c r="O192" s="9">
        <f t="shared" si="17"/>
        <v>499364.76999999984</v>
      </c>
    </row>
    <row r="193" spans="8:15">
      <c r="H193" s="6">
        <f>IF(AND(L192&gt;0.005,H192&lt;&gt;""),191,"")</f>
        <v>191</v>
      </c>
      <c r="I193" s="7">
        <f>IF(H193&lt;&gt;"",EDATE(StartDate,190),"")</f>
        <v>51806</v>
      </c>
      <c r="J193" s="8">
        <f t="shared" si="12"/>
        <v>1569.19</v>
      </c>
      <c r="K193" s="8">
        <f t="shared" si="13"/>
        <v>2945.8100000000004</v>
      </c>
      <c r="L193" s="8">
        <f t="shared" si="14"/>
        <v>317568.96000000002</v>
      </c>
      <c r="M193" s="9">
        <f t="shared" si="15"/>
        <v>4164.43</v>
      </c>
      <c r="N193" s="9">
        <f t="shared" si="16"/>
        <v>386431.04</v>
      </c>
      <c r="O193" s="9">
        <f t="shared" si="17"/>
        <v>500933.95999999985</v>
      </c>
    </row>
    <row r="194" spans="8:15">
      <c r="H194" s="11">
        <f>IF(AND(L193&gt;0.005,H193&lt;&gt;""),192,"")</f>
        <v>192</v>
      </c>
      <c r="I194" s="12">
        <f>IF(H194&lt;&gt;"",EDATE(StartDate,191),"")</f>
        <v>51836</v>
      </c>
      <c r="J194" s="13">
        <f t="shared" si="12"/>
        <v>1554.76</v>
      </c>
      <c r="K194" s="13">
        <f t="shared" si="13"/>
        <v>2960.2400000000002</v>
      </c>
      <c r="L194" s="13">
        <f t="shared" si="14"/>
        <v>314608.71999999997</v>
      </c>
      <c r="M194" s="9">
        <f t="shared" si="15"/>
        <v>4164.43</v>
      </c>
      <c r="N194" s="9">
        <f t="shared" si="16"/>
        <v>389391.27999999997</v>
      </c>
      <c r="O194" s="9">
        <f t="shared" si="17"/>
        <v>502488.71999999986</v>
      </c>
    </row>
    <row r="195" spans="8:15">
      <c r="H195" s="6">
        <f>IF(AND(L194&gt;0.005,H194&lt;&gt;""),193,"")</f>
        <v>193</v>
      </c>
      <c r="I195" s="7">
        <f>IF(H195&lt;&gt;"",EDATE(StartDate,192),"")</f>
        <v>51867</v>
      </c>
      <c r="J195" s="8">
        <f t="shared" si="12"/>
        <v>1540.27</v>
      </c>
      <c r="K195" s="8">
        <f t="shared" si="13"/>
        <v>2974.7300000000005</v>
      </c>
      <c r="L195" s="8">
        <f t="shared" si="14"/>
        <v>311633.99</v>
      </c>
      <c r="M195" s="9">
        <f t="shared" si="15"/>
        <v>4164.43</v>
      </c>
      <c r="N195" s="9">
        <f t="shared" si="16"/>
        <v>392366.00999999995</v>
      </c>
      <c r="O195" s="9">
        <f t="shared" si="17"/>
        <v>504028.98999999987</v>
      </c>
    </row>
    <row r="196" spans="8:15">
      <c r="H196" s="11">
        <f>IF(AND(L195&gt;0.005,H195&lt;&gt;""),194,"")</f>
        <v>194</v>
      </c>
      <c r="I196" s="12">
        <f>IF(H196&lt;&gt;"",EDATE(StartDate,193),"")</f>
        <v>51898</v>
      </c>
      <c r="J196" s="13">
        <f t="shared" ref="J196:J259" si="18">IF(H196&lt;&gt;"",ROUND(L195*AnnualRate/12,2),"")</f>
        <v>1525.71</v>
      </c>
      <c r="K196" s="13">
        <f t="shared" ref="K196:K259" si="19">IF(H196&lt;&gt;"",MIN(L195,(M196-J196)+SUMPRODUCT(($B$22:$B$31&lt;&gt;"")*($B$22:$B$31&lt;=I196)*(($C$22:$C$31="")+($C$22:$C$31&lt;&gt;"")*($C$22:$C$31&gt;=I196))*($E$22:$E$31="Monthly")*$D$22:$D$31)+SUMPRODUCT(($B$22:$B$31&lt;&gt;"")*($B$22:$B$31&lt;=I196)*(($C$22:$C$31="")+($C$22:$C$31&lt;&gt;"")*($C$22:$C$31&gt;=I196))*($E$22:$E$31="Annual")*(MONTH($B$22:$B$31)=MONTH(I196))*$D$22:$D$31)+SUMPRODUCT(($B$35:$B$49&lt;&gt;"")*(YEAR($B$35:$B$49)=YEAR(I196))*(MONTH($B$35:$B$49)=MONTH(I196))*$C$35:$C$49)),"")</f>
        <v>2989.2900000000004</v>
      </c>
      <c r="L196" s="13">
        <f t="shared" ref="L196:L259" si="20">IF(H196&lt;&gt;"",ROUND(L195-K196,2),"")</f>
        <v>308644.7</v>
      </c>
      <c r="M196" s="9">
        <f t="shared" ref="M196:M259" si="21">IF(H196&lt;&gt;"",MIN(MonthlyPmt,L195+J196),"")</f>
        <v>4164.43</v>
      </c>
      <c r="N196" s="9">
        <f t="shared" ref="N196:N259" si="22">IF(H196&lt;&gt;"",N195+K196,"")</f>
        <v>395355.29999999993</v>
      </c>
      <c r="O196" s="9">
        <f t="shared" ref="O196:O259" si="23">IF(H196&lt;&gt;"",O195+J196,"")</f>
        <v>505554.6999999999</v>
      </c>
    </row>
    <row r="197" spans="8:15">
      <c r="H197" s="6">
        <f>IF(AND(L196&gt;0.005,H196&lt;&gt;""),195,"")</f>
        <v>195</v>
      </c>
      <c r="I197" s="7">
        <f>IF(H197&lt;&gt;"",EDATE(StartDate,194),"")</f>
        <v>51926</v>
      </c>
      <c r="J197" s="8">
        <f t="shared" si="18"/>
        <v>1511.07</v>
      </c>
      <c r="K197" s="8">
        <f t="shared" si="19"/>
        <v>3003.9300000000007</v>
      </c>
      <c r="L197" s="8">
        <f t="shared" si="20"/>
        <v>305640.77</v>
      </c>
      <c r="M197" s="9">
        <f t="shared" si="21"/>
        <v>4164.43</v>
      </c>
      <c r="N197" s="9">
        <f t="shared" si="22"/>
        <v>398359.22999999992</v>
      </c>
      <c r="O197" s="9">
        <f t="shared" si="23"/>
        <v>507065.7699999999</v>
      </c>
    </row>
    <row r="198" spans="8:15">
      <c r="H198" s="11">
        <f>IF(AND(L197&gt;0.005,H197&lt;&gt;""),196,"")</f>
        <v>196</v>
      </c>
      <c r="I198" s="12">
        <f>IF(H198&lt;&gt;"",EDATE(StartDate,195),"")</f>
        <v>51957</v>
      </c>
      <c r="J198" s="13">
        <f t="shared" si="18"/>
        <v>1496.37</v>
      </c>
      <c r="K198" s="13">
        <f t="shared" si="19"/>
        <v>3018.6300000000006</v>
      </c>
      <c r="L198" s="13">
        <f t="shared" si="20"/>
        <v>302622.14</v>
      </c>
      <c r="M198" s="9">
        <f t="shared" si="21"/>
        <v>4164.43</v>
      </c>
      <c r="N198" s="9">
        <f t="shared" si="22"/>
        <v>401377.85999999993</v>
      </c>
      <c r="O198" s="9">
        <f t="shared" si="23"/>
        <v>508562.1399999999</v>
      </c>
    </row>
    <row r="199" spans="8:15">
      <c r="H199" s="6">
        <f>IF(AND(L198&gt;0.005,H198&lt;&gt;""),197,"")</f>
        <v>197</v>
      </c>
      <c r="I199" s="7">
        <f>IF(H199&lt;&gt;"",EDATE(StartDate,196),"")</f>
        <v>51987</v>
      </c>
      <c r="J199" s="8">
        <f t="shared" si="18"/>
        <v>1481.59</v>
      </c>
      <c r="K199" s="8">
        <f t="shared" si="19"/>
        <v>3033.4100000000003</v>
      </c>
      <c r="L199" s="8">
        <f t="shared" si="20"/>
        <v>299588.73</v>
      </c>
      <c r="M199" s="9">
        <f t="shared" si="21"/>
        <v>4164.43</v>
      </c>
      <c r="N199" s="9">
        <f t="shared" si="22"/>
        <v>404411.2699999999</v>
      </c>
      <c r="O199" s="9">
        <f t="shared" si="23"/>
        <v>510043.72999999992</v>
      </c>
    </row>
    <row r="200" spans="8:15">
      <c r="H200" s="11">
        <f>IF(AND(L199&gt;0.005,H199&lt;&gt;""),198,"")</f>
        <v>198</v>
      </c>
      <c r="I200" s="12">
        <f>IF(H200&lt;&gt;"",EDATE(StartDate,197),"")</f>
        <v>52018</v>
      </c>
      <c r="J200" s="13">
        <f t="shared" si="18"/>
        <v>1466.74</v>
      </c>
      <c r="K200" s="13">
        <f t="shared" si="19"/>
        <v>3048.2600000000007</v>
      </c>
      <c r="L200" s="13">
        <f t="shared" si="20"/>
        <v>296540.46999999997</v>
      </c>
      <c r="M200" s="9">
        <f t="shared" si="21"/>
        <v>4164.43</v>
      </c>
      <c r="N200" s="9">
        <f t="shared" si="22"/>
        <v>407459.52999999991</v>
      </c>
      <c r="O200" s="9">
        <f t="shared" si="23"/>
        <v>511510.46999999991</v>
      </c>
    </row>
    <row r="201" spans="8:15">
      <c r="H201" s="6">
        <f>IF(AND(L200&gt;0.005,H200&lt;&gt;""),199,"")</f>
        <v>199</v>
      </c>
      <c r="I201" s="7">
        <f>IF(H201&lt;&gt;"",EDATE(StartDate,198),"")</f>
        <v>52048</v>
      </c>
      <c r="J201" s="8">
        <f t="shared" si="18"/>
        <v>1451.81</v>
      </c>
      <c r="K201" s="8">
        <f t="shared" si="19"/>
        <v>3063.1900000000005</v>
      </c>
      <c r="L201" s="8">
        <f t="shared" si="20"/>
        <v>293477.28000000003</v>
      </c>
      <c r="M201" s="9">
        <f t="shared" si="21"/>
        <v>4164.43</v>
      </c>
      <c r="N201" s="9">
        <f t="shared" si="22"/>
        <v>410522.71999999991</v>
      </c>
      <c r="O201" s="9">
        <f t="shared" si="23"/>
        <v>512962.27999999991</v>
      </c>
    </row>
    <row r="202" spans="8:15">
      <c r="H202" s="11">
        <f>IF(AND(L201&gt;0.005,H201&lt;&gt;""),200,"")</f>
        <v>200</v>
      </c>
      <c r="I202" s="12">
        <f>IF(H202&lt;&gt;"",EDATE(StartDate,199),"")</f>
        <v>52079</v>
      </c>
      <c r="J202" s="13">
        <f t="shared" si="18"/>
        <v>1436.82</v>
      </c>
      <c r="K202" s="13">
        <f t="shared" si="19"/>
        <v>3078.1800000000007</v>
      </c>
      <c r="L202" s="13">
        <f t="shared" si="20"/>
        <v>290399.09999999998</v>
      </c>
      <c r="M202" s="9">
        <f t="shared" si="21"/>
        <v>4164.43</v>
      </c>
      <c r="N202" s="9">
        <f t="shared" si="22"/>
        <v>413600.89999999991</v>
      </c>
      <c r="O202" s="9">
        <f t="shared" si="23"/>
        <v>514399.09999999992</v>
      </c>
    </row>
    <row r="203" spans="8:15">
      <c r="H203" s="6">
        <f>IF(AND(L202&gt;0.005,H202&lt;&gt;""),201,"")</f>
        <v>201</v>
      </c>
      <c r="I203" s="7">
        <f>IF(H203&lt;&gt;"",EDATE(StartDate,200),"")</f>
        <v>52110</v>
      </c>
      <c r="J203" s="8">
        <f t="shared" si="18"/>
        <v>1421.75</v>
      </c>
      <c r="K203" s="8">
        <f t="shared" si="19"/>
        <v>3093.2500000000005</v>
      </c>
      <c r="L203" s="8">
        <f t="shared" si="20"/>
        <v>287305.84999999998</v>
      </c>
      <c r="M203" s="9">
        <f t="shared" si="21"/>
        <v>4164.43</v>
      </c>
      <c r="N203" s="9">
        <f t="shared" si="22"/>
        <v>416694.14999999991</v>
      </c>
      <c r="O203" s="9">
        <f t="shared" si="23"/>
        <v>515820.84999999992</v>
      </c>
    </row>
    <row r="204" spans="8:15">
      <c r="H204" s="11">
        <f>IF(AND(L203&gt;0.005,H203&lt;&gt;""),202,"")</f>
        <v>202</v>
      </c>
      <c r="I204" s="12">
        <f>IF(H204&lt;&gt;"",EDATE(StartDate,201),"")</f>
        <v>52140</v>
      </c>
      <c r="J204" s="13">
        <f t="shared" si="18"/>
        <v>1406.6</v>
      </c>
      <c r="K204" s="13">
        <f t="shared" si="19"/>
        <v>3108.4000000000005</v>
      </c>
      <c r="L204" s="13">
        <f t="shared" si="20"/>
        <v>284197.45</v>
      </c>
      <c r="M204" s="9">
        <f t="shared" si="21"/>
        <v>4164.43</v>
      </c>
      <c r="N204" s="9">
        <f t="shared" si="22"/>
        <v>419802.54999999993</v>
      </c>
      <c r="O204" s="9">
        <f t="shared" si="23"/>
        <v>517227.4499999999</v>
      </c>
    </row>
    <row r="205" spans="8:15">
      <c r="H205" s="6">
        <f>IF(AND(L204&gt;0.005,H204&lt;&gt;""),203,"")</f>
        <v>203</v>
      </c>
      <c r="I205" s="7">
        <f>IF(H205&lt;&gt;"",EDATE(StartDate,202),"")</f>
        <v>52171</v>
      </c>
      <c r="J205" s="8">
        <f t="shared" si="18"/>
        <v>1391.38</v>
      </c>
      <c r="K205" s="8">
        <f t="shared" si="19"/>
        <v>3123.6200000000003</v>
      </c>
      <c r="L205" s="8">
        <f t="shared" si="20"/>
        <v>281073.83</v>
      </c>
      <c r="M205" s="9">
        <f t="shared" si="21"/>
        <v>4164.43</v>
      </c>
      <c r="N205" s="9">
        <f t="shared" si="22"/>
        <v>422926.16999999993</v>
      </c>
      <c r="O205" s="9">
        <f t="shared" si="23"/>
        <v>518618.8299999999</v>
      </c>
    </row>
    <row r="206" spans="8:15">
      <c r="H206" s="11">
        <f>IF(AND(L205&gt;0.005,H205&lt;&gt;""),204,"")</f>
        <v>204</v>
      </c>
      <c r="I206" s="12">
        <f>IF(H206&lt;&gt;"",EDATE(StartDate,203),"")</f>
        <v>52201</v>
      </c>
      <c r="J206" s="13">
        <f t="shared" si="18"/>
        <v>1376.09</v>
      </c>
      <c r="K206" s="13">
        <f t="shared" si="19"/>
        <v>3138.9100000000003</v>
      </c>
      <c r="L206" s="13">
        <f t="shared" si="20"/>
        <v>277934.92</v>
      </c>
      <c r="M206" s="9">
        <f t="shared" si="21"/>
        <v>4164.43</v>
      </c>
      <c r="N206" s="9">
        <f t="shared" si="22"/>
        <v>426065.0799999999</v>
      </c>
      <c r="O206" s="9">
        <f t="shared" si="23"/>
        <v>519994.91999999993</v>
      </c>
    </row>
    <row r="207" spans="8:15">
      <c r="H207" s="6">
        <f>IF(AND(L206&gt;0.005,H206&lt;&gt;""),205,"")</f>
        <v>205</v>
      </c>
      <c r="I207" s="7">
        <f>IF(H207&lt;&gt;"",EDATE(StartDate,204),"")</f>
        <v>52232</v>
      </c>
      <c r="J207" s="8">
        <f t="shared" si="18"/>
        <v>1360.72</v>
      </c>
      <c r="K207" s="8">
        <f t="shared" si="19"/>
        <v>3154.28</v>
      </c>
      <c r="L207" s="8">
        <f t="shared" si="20"/>
        <v>274780.64</v>
      </c>
      <c r="M207" s="9">
        <f t="shared" si="21"/>
        <v>4164.43</v>
      </c>
      <c r="N207" s="9">
        <f t="shared" si="22"/>
        <v>429219.35999999993</v>
      </c>
      <c r="O207" s="9">
        <f t="shared" si="23"/>
        <v>521355.6399999999</v>
      </c>
    </row>
    <row r="208" spans="8:15">
      <c r="H208" s="11">
        <f>IF(AND(L207&gt;0.005,H207&lt;&gt;""),206,"")</f>
        <v>206</v>
      </c>
      <c r="I208" s="12">
        <f>IF(H208&lt;&gt;"",EDATE(StartDate,205),"")</f>
        <v>52263</v>
      </c>
      <c r="J208" s="13">
        <f t="shared" si="18"/>
        <v>1345.28</v>
      </c>
      <c r="K208" s="13">
        <f t="shared" si="19"/>
        <v>3169.7200000000007</v>
      </c>
      <c r="L208" s="13">
        <f t="shared" si="20"/>
        <v>271610.92</v>
      </c>
      <c r="M208" s="9">
        <f t="shared" si="21"/>
        <v>4164.43</v>
      </c>
      <c r="N208" s="9">
        <f t="shared" si="22"/>
        <v>432389.0799999999</v>
      </c>
      <c r="O208" s="9">
        <f t="shared" si="23"/>
        <v>522700.91999999993</v>
      </c>
    </row>
    <row r="209" spans="8:15">
      <c r="H209" s="6">
        <f>IF(AND(L208&gt;0.005,H208&lt;&gt;""),207,"")</f>
        <v>207</v>
      </c>
      <c r="I209" s="7">
        <f>IF(H209&lt;&gt;"",EDATE(StartDate,206),"")</f>
        <v>52291</v>
      </c>
      <c r="J209" s="8">
        <f t="shared" si="18"/>
        <v>1329.76</v>
      </c>
      <c r="K209" s="8">
        <f t="shared" si="19"/>
        <v>3185.2400000000002</v>
      </c>
      <c r="L209" s="8">
        <f t="shared" si="20"/>
        <v>268425.68</v>
      </c>
      <c r="M209" s="9">
        <f t="shared" si="21"/>
        <v>4164.43</v>
      </c>
      <c r="N209" s="9">
        <f t="shared" si="22"/>
        <v>435574.31999999989</v>
      </c>
      <c r="O209" s="9">
        <f t="shared" si="23"/>
        <v>524030.67999999993</v>
      </c>
    </row>
    <row r="210" spans="8:15">
      <c r="H210" s="11">
        <f>IF(AND(L209&gt;0.005,H209&lt;&gt;""),208,"")</f>
        <v>208</v>
      </c>
      <c r="I210" s="12">
        <f>IF(H210&lt;&gt;"",EDATE(StartDate,207),"")</f>
        <v>52322</v>
      </c>
      <c r="J210" s="13">
        <f t="shared" si="18"/>
        <v>1314.17</v>
      </c>
      <c r="K210" s="13">
        <f t="shared" si="19"/>
        <v>3200.8300000000004</v>
      </c>
      <c r="L210" s="13">
        <f t="shared" si="20"/>
        <v>265224.84999999998</v>
      </c>
      <c r="M210" s="9">
        <f t="shared" si="21"/>
        <v>4164.43</v>
      </c>
      <c r="N210" s="9">
        <f t="shared" si="22"/>
        <v>438775.14999999991</v>
      </c>
      <c r="O210" s="9">
        <f t="shared" si="23"/>
        <v>525344.85</v>
      </c>
    </row>
    <row r="211" spans="8:15">
      <c r="H211" s="6">
        <f>IF(AND(L210&gt;0.005,H210&lt;&gt;""),209,"")</f>
        <v>209</v>
      </c>
      <c r="I211" s="7">
        <f>IF(H211&lt;&gt;"",EDATE(StartDate,208),"")</f>
        <v>52352</v>
      </c>
      <c r="J211" s="8">
        <f t="shared" si="18"/>
        <v>1298.5</v>
      </c>
      <c r="K211" s="8">
        <f t="shared" si="19"/>
        <v>3216.5000000000005</v>
      </c>
      <c r="L211" s="8">
        <f t="shared" si="20"/>
        <v>262008.35</v>
      </c>
      <c r="M211" s="9">
        <f t="shared" si="21"/>
        <v>4164.43</v>
      </c>
      <c r="N211" s="9">
        <f t="shared" si="22"/>
        <v>441991.64999999991</v>
      </c>
      <c r="O211" s="9">
        <f t="shared" si="23"/>
        <v>526643.35</v>
      </c>
    </row>
    <row r="212" spans="8:15">
      <c r="H212" s="11">
        <f>IF(AND(L211&gt;0.005,H211&lt;&gt;""),210,"")</f>
        <v>210</v>
      </c>
      <c r="I212" s="12">
        <f>IF(H212&lt;&gt;"",EDATE(StartDate,209),"")</f>
        <v>52383</v>
      </c>
      <c r="J212" s="13">
        <f t="shared" si="18"/>
        <v>1282.75</v>
      </c>
      <c r="K212" s="13">
        <f t="shared" si="19"/>
        <v>3232.2500000000005</v>
      </c>
      <c r="L212" s="13">
        <f t="shared" si="20"/>
        <v>258776.1</v>
      </c>
      <c r="M212" s="9">
        <f t="shared" si="21"/>
        <v>4164.43</v>
      </c>
      <c r="N212" s="9">
        <f t="shared" si="22"/>
        <v>445223.89999999991</v>
      </c>
      <c r="O212" s="9">
        <f t="shared" si="23"/>
        <v>527926.1</v>
      </c>
    </row>
    <row r="213" spans="8:15">
      <c r="H213" s="6">
        <f>IF(AND(L212&gt;0.005,H212&lt;&gt;""),211,"")</f>
        <v>211</v>
      </c>
      <c r="I213" s="7">
        <f>IF(H213&lt;&gt;"",EDATE(StartDate,210),"")</f>
        <v>52413</v>
      </c>
      <c r="J213" s="8">
        <f t="shared" si="18"/>
        <v>1266.92</v>
      </c>
      <c r="K213" s="8">
        <f t="shared" si="19"/>
        <v>3248.0800000000004</v>
      </c>
      <c r="L213" s="8">
        <f t="shared" si="20"/>
        <v>255528.02</v>
      </c>
      <c r="M213" s="9">
        <f t="shared" si="21"/>
        <v>4164.43</v>
      </c>
      <c r="N213" s="9">
        <f t="shared" si="22"/>
        <v>448471.97999999992</v>
      </c>
      <c r="O213" s="9">
        <f t="shared" si="23"/>
        <v>529193.02</v>
      </c>
    </row>
    <row r="214" spans="8:15">
      <c r="H214" s="11">
        <f>IF(AND(L213&gt;0.005,H213&lt;&gt;""),212,"")</f>
        <v>212</v>
      </c>
      <c r="I214" s="12">
        <f>IF(H214&lt;&gt;"",EDATE(StartDate,211),"")</f>
        <v>52444</v>
      </c>
      <c r="J214" s="13">
        <f t="shared" si="18"/>
        <v>1251.02</v>
      </c>
      <c r="K214" s="13">
        <f t="shared" si="19"/>
        <v>3263.9800000000005</v>
      </c>
      <c r="L214" s="13">
        <f t="shared" si="20"/>
        <v>252264.04</v>
      </c>
      <c r="M214" s="9">
        <f t="shared" si="21"/>
        <v>4164.43</v>
      </c>
      <c r="N214" s="9">
        <f t="shared" si="22"/>
        <v>451735.9599999999</v>
      </c>
      <c r="O214" s="9">
        <f t="shared" si="23"/>
        <v>530444.04</v>
      </c>
    </row>
    <row r="215" spans="8:15">
      <c r="H215" s="6">
        <f>IF(AND(L214&gt;0.005,H214&lt;&gt;""),213,"")</f>
        <v>213</v>
      </c>
      <c r="I215" s="7">
        <f>IF(H215&lt;&gt;"",EDATE(StartDate,212),"")</f>
        <v>52475</v>
      </c>
      <c r="J215" s="8">
        <f t="shared" si="18"/>
        <v>1235.04</v>
      </c>
      <c r="K215" s="8">
        <f t="shared" si="19"/>
        <v>3279.9600000000005</v>
      </c>
      <c r="L215" s="8">
        <f t="shared" si="20"/>
        <v>248984.08</v>
      </c>
      <c r="M215" s="9">
        <f t="shared" si="21"/>
        <v>4164.43</v>
      </c>
      <c r="N215" s="9">
        <f t="shared" si="22"/>
        <v>455015.91999999993</v>
      </c>
      <c r="O215" s="9">
        <f t="shared" si="23"/>
        <v>531679.08000000007</v>
      </c>
    </row>
    <row r="216" spans="8:15">
      <c r="H216" s="11">
        <f>IF(AND(L215&gt;0.005,H215&lt;&gt;""),214,"")</f>
        <v>214</v>
      </c>
      <c r="I216" s="12">
        <f>IF(H216&lt;&gt;"",EDATE(StartDate,213),"")</f>
        <v>52505</v>
      </c>
      <c r="J216" s="13">
        <f t="shared" si="18"/>
        <v>1218.98</v>
      </c>
      <c r="K216" s="13">
        <f t="shared" si="19"/>
        <v>3296.0200000000004</v>
      </c>
      <c r="L216" s="13">
        <f t="shared" si="20"/>
        <v>245688.06</v>
      </c>
      <c r="M216" s="9">
        <f t="shared" si="21"/>
        <v>4164.43</v>
      </c>
      <c r="N216" s="9">
        <f t="shared" si="22"/>
        <v>458311.93999999994</v>
      </c>
      <c r="O216" s="9">
        <f t="shared" si="23"/>
        <v>532898.06000000006</v>
      </c>
    </row>
    <row r="217" spans="8:15">
      <c r="H217" s="6">
        <f>IF(AND(L216&gt;0.005,H216&lt;&gt;""),215,"")</f>
        <v>215</v>
      </c>
      <c r="I217" s="7">
        <f>IF(H217&lt;&gt;"",EDATE(StartDate,214),"")</f>
        <v>52536</v>
      </c>
      <c r="J217" s="8">
        <f t="shared" si="18"/>
        <v>1202.8499999999999</v>
      </c>
      <c r="K217" s="8">
        <f t="shared" si="19"/>
        <v>3312.1500000000005</v>
      </c>
      <c r="L217" s="8">
        <f t="shared" si="20"/>
        <v>242375.91</v>
      </c>
      <c r="M217" s="9">
        <f t="shared" si="21"/>
        <v>4164.43</v>
      </c>
      <c r="N217" s="9">
        <f t="shared" si="22"/>
        <v>461624.08999999997</v>
      </c>
      <c r="O217" s="9">
        <f t="shared" si="23"/>
        <v>534100.91</v>
      </c>
    </row>
    <row r="218" spans="8:15">
      <c r="H218" s="11">
        <f>IF(AND(L217&gt;0.005,H217&lt;&gt;""),216,"")</f>
        <v>216</v>
      </c>
      <c r="I218" s="12">
        <f>IF(H218&lt;&gt;"",EDATE(StartDate,215),"")</f>
        <v>52566</v>
      </c>
      <c r="J218" s="13">
        <f t="shared" si="18"/>
        <v>1186.6300000000001</v>
      </c>
      <c r="K218" s="13">
        <f t="shared" si="19"/>
        <v>3328.3700000000003</v>
      </c>
      <c r="L218" s="13">
        <f t="shared" si="20"/>
        <v>239047.54</v>
      </c>
      <c r="M218" s="9">
        <f t="shared" si="21"/>
        <v>4164.43</v>
      </c>
      <c r="N218" s="9">
        <f t="shared" si="22"/>
        <v>464952.45999999996</v>
      </c>
      <c r="O218" s="9">
        <f t="shared" si="23"/>
        <v>535287.54</v>
      </c>
    </row>
    <row r="219" spans="8:15">
      <c r="H219" s="6">
        <f>IF(AND(L218&gt;0.005,H218&lt;&gt;""),217,"")</f>
        <v>217</v>
      </c>
      <c r="I219" s="7">
        <f>IF(H219&lt;&gt;"",EDATE(StartDate,216),"")</f>
        <v>52597</v>
      </c>
      <c r="J219" s="8">
        <f t="shared" si="18"/>
        <v>1170.3399999999999</v>
      </c>
      <c r="K219" s="8">
        <f t="shared" si="19"/>
        <v>3344.6600000000003</v>
      </c>
      <c r="L219" s="8">
        <f t="shared" si="20"/>
        <v>235702.88</v>
      </c>
      <c r="M219" s="9">
        <f t="shared" si="21"/>
        <v>4164.43</v>
      </c>
      <c r="N219" s="9">
        <f t="shared" si="22"/>
        <v>468297.11999999994</v>
      </c>
      <c r="O219" s="9">
        <f t="shared" si="23"/>
        <v>536457.88</v>
      </c>
    </row>
    <row r="220" spans="8:15">
      <c r="H220" s="11">
        <f>IF(AND(L219&gt;0.005,H219&lt;&gt;""),218,"")</f>
        <v>218</v>
      </c>
      <c r="I220" s="12">
        <f>IF(H220&lt;&gt;"",EDATE(StartDate,217),"")</f>
        <v>52628</v>
      </c>
      <c r="J220" s="13">
        <f t="shared" si="18"/>
        <v>1153.96</v>
      </c>
      <c r="K220" s="13">
        <f t="shared" si="19"/>
        <v>3361.0400000000004</v>
      </c>
      <c r="L220" s="13">
        <f t="shared" si="20"/>
        <v>232341.84</v>
      </c>
      <c r="M220" s="9">
        <f t="shared" si="21"/>
        <v>4164.43</v>
      </c>
      <c r="N220" s="9">
        <f t="shared" si="22"/>
        <v>471658.15999999992</v>
      </c>
      <c r="O220" s="9">
        <f t="shared" si="23"/>
        <v>537611.84</v>
      </c>
    </row>
    <row r="221" spans="8:15">
      <c r="H221" s="6">
        <f>IF(AND(L220&gt;0.005,H220&lt;&gt;""),219,"")</f>
        <v>219</v>
      </c>
      <c r="I221" s="7">
        <f>IF(H221&lt;&gt;"",EDATE(StartDate,218),"")</f>
        <v>52657</v>
      </c>
      <c r="J221" s="8">
        <f t="shared" si="18"/>
        <v>1137.51</v>
      </c>
      <c r="K221" s="8">
        <f t="shared" si="19"/>
        <v>3377.4900000000002</v>
      </c>
      <c r="L221" s="8">
        <f t="shared" si="20"/>
        <v>228964.35</v>
      </c>
      <c r="M221" s="9">
        <f t="shared" si="21"/>
        <v>4164.43</v>
      </c>
      <c r="N221" s="9">
        <f t="shared" si="22"/>
        <v>475035.64999999991</v>
      </c>
      <c r="O221" s="9">
        <f t="shared" si="23"/>
        <v>538749.35</v>
      </c>
    </row>
    <row r="222" spans="8:15">
      <c r="H222" s="11">
        <f>IF(AND(L221&gt;0.005,H221&lt;&gt;""),220,"")</f>
        <v>220</v>
      </c>
      <c r="I222" s="12">
        <f>IF(H222&lt;&gt;"",EDATE(StartDate,219),"")</f>
        <v>52688</v>
      </c>
      <c r="J222" s="13">
        <f t="shared" si="18"/>
        <v>1120.97</v>
      </c>
      <c r="K222" s="13">
        <f t="shared" si="19"/>
        <v>3394.03</v>
      </c>
      <c r="L222" s="13">
        <f t="shared" si="20"/>
        <v>225570.32</v>
      </c>
      <c r="M222" s="9">
        <f t="shared" si="21"/>
        <v>4164.43</v>
      </c>
      <c r="N222" s="9">
        <f t="shared" si="22"/>
        <v>478429.67999999993</v>
      </c>
      <c r="O222" s="9">
        <f t="shared" si="23"/>
        <v>539870.31999999995</v>
      </c>
    </row>
    <row r="223" spans="8:15">
      <c r="H223" s="6">
        <f>IF(AND(L222&gt;0.005,H222&lt;&gt;""),221,"")</f>
        <v>221</v>
      </c>
      <c r="I223" s="7">
        <f>IF(H223&lt;&gt;"",EDATE(StartDate,220),"")</f>
        <v>52718</v>
      </c>
      <c r="J223" s="8">
        <f t="shared" si="18"/>
        <v>1104.3499999999999</v>
      </c>
      <c r="K223" s="8">
        <f t="shared" si="19"/>
        <v>3410.6500000000005</v>
      </c>
      <c r="L223" s="8">
        <f t="shared" si="20"/>
        <v>222159.67</v>
      </c>
      <c r="M223" s="9">
        <f t="shared" si="21"/>
        <v>4164.43</v>
      </c>
      <c r="N223" s="9">
        <f t="shared" si="22"/>
        <v>481840.32999999996</v>
      </c>
      <c r="O223" s="9">
        <f t="shared" si="23"/>
        <v>540974.66999999993</v>
      </c>
    </row>
    <row r="224" spans="8:15">
      <c r="H224" s="11">
        <f>IF(AND(L223&gt;0.005,H223&lt;&gt;""),222,"")</f>
        <v>222</v>
      </c>
      <c r="I224" s="12">
        <f>IF(H224&lt;&gt;"",EDATE(StartDate,221),"")</f>
        <v>52749</v>
      </c>
      <c r="J224" s="13">
        <f t="shared" si="18"/>
        <v>1087.6600000000001</v>
      </c>
      <c r="K224" s="13">
        <f t="shared" si="19"/>
        <v>3427.3400000000006</v>
      </c>
      <c r="L224" s="13">
        <f t="shared" si="20"/>
        <v>218732.33</v>
      </c>
      <c r="M224" s="9">
        <f t="shared" si="21"/>
        <v>4164.43</v>
      </c>
      <c r="N224" s="9">
        <f t="shared" si="22"/>
        <v>485267.67</v>
      </c>
      <c r="O224" s="9">
        <f t="shared" si="23"/>
        <v>542062.32999999996</v>
      </c>
    </row>
    <row r="225" spans="8:15">
      <c r="H225" s="6">
        <f>IF(AND(L224&gt;0.005,H224&lt;&gt;""),223,"")</f>
        <v>223</v>
      </c>
      <c r="I225" s="7">
        <f>IF(H225&lt;&gt;"",EDATE(StartDate,222),"")</f>
        <v>52779</v>
      </c>
      <c r="J225" s="8">
        <f t="shared" si="18"/>
        <v>1070.8800000000001</v>
      </c>
      <c r="K225" s="8">
        <f t="shared" si="19"/>
        <v>3444.1200000000003</v>
      </c>
      <c r="L225" s="8">
        <f t="shared" si="20"/>
        <v>215288.21</v>
      </c>
      <c r="M225" s="9">
        <f t="shared" si="21"/>
        <v>4164.43</v>
      </c>
      <c r="N225" s="9">
        <f t="shared" si="22"/>
        <v>488711.79</v>
      </c>
      <c r="O225" s="9">
        <f t="shared" si="23"/>
        <v>543133.21</v>
      </c>
    </row>
    <row r="226" spans="8:15">
      <c r="H226" s="11">
        <f>IF(AND(L225&gt;0.005,H225&lt;&gt;""),224,"")</f>
        <v>224</v>
      </c>
      <c r="I226" s="12">
        <f>IF(H226&lt;&gt;"",EDATE(StartDate,223),"")</f>
        <v>52810</v>
      </c>
      <c r="J226" s="13">
        <f t="shared" si="18"/>
        <v>1054.02</v>
      </c>
      <c r="K226" s="13">
        <f t="shared" si="19"/>
        <v>3460.9800000000005</v>
      </c>
      <c r="L226" s="13">
        <f t="shared" si="20"/>
        <v>211827.23</v>
      </c>
      <c r="M226" s="9">
        <f t="shared" si="21"/>
        <v>4164.43</v>
      </c>
      <c r="N226" s="9">
        <f t="shared" si="22"/>
        <v>492172.76999999996</v>
      </c>
      <c r="O226" s="9">
        <f t="shared" si="23"/>
        <v>544187.23</v>
      </c>
    </row>
    <row r="227" spans="8:15">
      <c r="H227" s="6">
        <f>IF(AND(L226&gt;0.005,H226&lt;&gt;""),225,"")</f>
        <v>225</v>
      </c>
      <c r="I227" s="7">
        <f>IF(H227&lt;&gt;"",EDATE(StartDate,224),"")</f>
        <v>52841</v>
      </c>
      <c r="J227" s="8">
        <f t="shared" si="18"/>
        <v>1037.07</v>
      </c>
      <c r="K227" s="8">
        <f t="shared" si="19"/>
        <v>3477.9300000000007</v>
      </c>
      <c r="L227" s="8">
        <f t="shared" si="20"/>
        <v>208349.3</v>
      </c>
      <c r="M227" s="9">
        <f t="shared" si="21"/>
        <v>4164.43</v>
      </c>
      <c r="N227" s="9">
        <f t="shared" si="22"/>
        <v>495650.69999999995</v>
      </c>
      <c r="O227" s="9">
        <f t="shared" si="23"/>
        <v>545224.29999999993</v>
      </c>
    </row>
    <row r="228" spans="8:15">
      <c r="H228" s="11">
        <f>IF(AND(L227&gt;0.005,H227&lt;&gt;""),226,"")</f>
        <v>226</v>
      </c>
      <c r="I228" s="12">
        <f>IF(H228&lt;&gt;"",EDATE(StartDate,225),"")</f>
        <v>52871</v>
      </c>
      <c r="J228" s="13">
        <f t="shared" si="18"/>
        <v>1020.04</v>
      </c>
      <c r="K228" s="13">
        <f t="shared" si="19"/>
        <v>3494.9600000000005</v>
      </c>
      <c r="L228" s="13">
        <f t="shared" si="20"/>
        <v>204854.34</v>
      </c>
      <c r="M228" s="9">
        <f t="shared" si="21"/>
        <v>4164.43</v>
      </c>
      <c r="N228" s="9">
        <f t="shared" si="22"/>
        <v>499145.66</v>
      </c>
      <c r="O228" s="9">
        <f t="shared" si="23"/>
        <v>546244.34</v>
      </c>
    </row>
    <row r="229" spans="8:15">
      <c r="H229" s="6">
        <f>IF(AND(L228&gt;0.005,H228&lt;&gt;""),227,"")</f>
        <v>227</v>
      </c>
      <c r="I229" s="7">
        <f>IF(H229&lt;&gt;"",EDATE(StartDate,226),"")</f>
        <v>52902</v>
      </c>
      <c r="J229" s="8">
        <f t="shared" si="18"/>
        <v>1002.93</v>
      </c>
      <c r="K229" s="8">
        <f t="shared" si="19"/>
        <v>3512.0700000000006</v>
      </c>
      <c r="L229" s="8">
        <f t="shared" si="20"/>
        <v>201342.27</v>
      </c>
      <c r="M229" s="9">
        <f t="shared" si="21"/>
        <v>4164.43</v>
      </c>
      <c r="N229" s="9">
        <f t="shared" si="22"/>
        <v>502657.73</v>
      </c>
      <c r="O229" s="9">
        <f t="shared" si="23"/>
        <v>547247.27</v>
      </c>
    </row>
    <row r="230" spans="8:15">
      <c r="H230" s="11">
        <f>IF(AND(L229&gt;0.005,H229&lt;&gt;""),228,"")</f>
        <v>228</v>
      </c>
      <c r="I230" s="12">
        <f>IF(H230&lt;&gt;"",EDATE(StartDate,227),"")</f>
        <v>52932</v>
      </c>
      <c r="J230" s="13">
        <f t="shared" si="18"/>
        <v>985.74</v>
      </c>
      <c r="K230" s="13">
        <f t="shared" si="19"/>
        <v>3529.2600000000007</v>
      </c>
      <c r="L230" s="13">
        <f t="shared" si="20"/>
        <v>197813.01</v>
      </c>
      <c r="M230" s="9">
        <f t="shared" si="21"/>
        <v>4164.43</v>
      </c>
      <c r="N230" s="9">
        <f t="shared" si="22"/>
        <v>506186.99</v>
      </c>
      <c r="O230" s="9">
        <f t="shared" si="23"/>
        <v>548233.01</v>
      </c>
    </row>
    <row r="231" spans="8:15">
      <c r="H231" s="6">
        <f>IF(AND(L230&gt;0.005,H230&lt;&gt;""),229,"")</f>
        <v>229</v>
      </c>
      <c r="I231" s="7">
        <f>IF(H231&lt;&gt;"",EDATE(StartDate,228),"")</f>
        <v>52963</v>
      </c>
      <c r="J231" s="8">
        <f t="shared" si="18"/>
        <v>968.46</v>
      </c>
      <c r="K231" s="8">
        <f t="shared" si="19"/>
        <v>3546.5400000000004</v>
      </c>
      <c r="L231" s="8">
        <f t="shared" si="20"/>
        <v>194266.47</v>
      </c>
      <c r="M231" s="9">
        <f t="shared" si="21"/>
        <v>4164.43</v>
      </c>
      <c r="N231" s="9">
        <f t="shared" si="22"/>
        <v>509733.52999999997</v>
      </c>
      <c r="O231" s="9">
        <f t="shared" si="23"/>
        <v>549201.47</v>
      </c>
    </row>
    <row r="232" spans="8:15">
      <c r="H232" s="11">
        <f>IF(AND(L231&gt;0.005,H231&lt;&gt;""),230,"")</f>
        <v>230</v>
      </c>
      <c r="I232" s="12">
        <f>IF(H232&lt;&gt;"",EDATE(StartDate,229),"")</f>
        <v>52994</v>
      </c>
      <c r="J232" s="13">
        <f t="shared" si="18"/>
        <v>951.1</v>
      </c>
      <c r="K232" s="13">
        <f t="shared" si="19"/>
        <v>3563.9000000000005</v>
      </c>
      <c r="L232" s="13">
        <f t="shared" si="20"/>
        <v>190702.57</v>
      </c>
      <c r="M232" s="9">
        <f t="shared" si="21"/>
        <v>4164.43</v>
      </c>
      <c r="N232" s="9">
        <f t="shared" si="22"/>
        <v>513297.43</v>
      </c>
      <c r="O232" s="9">
        <f t="shared" si="23"/>
        <v>550152.56999999995</v>
      </c>
    </row>
    <row r="233" spans="8:15">
      <c r="H233" s="6">
        <f>IF(AND(L232&gt;0.005,H232&lt;&gt;""),231,"")</f>
        <v>231</v>
      </c>
      <c r="I233" s="7">
        <f>IF(H233&lt;&gt;"",EDATE(StartDate,230),"")</f>
        <v>53022</v>
      </c>
      <c r="J233" s="8">
        <f t="shared" si="18"/>
        <v>933.65</v>
      </c>
      <c r="K233" s="8">
        <f t="shared" si="19"/>
        <v>3581.3500000000004</v>
      </c>
      <c r="L233" s="8">
        <f t="shared" si="20"/>
        <v>187121.22</v>
      </c>
      <c r="M233" s="9">
        <f t="shared" si="21"/>
        <v>4164.43</v>
      </c>
      <c r="N233" s="9">
        <f t="shared" si="22"/>
        <v>516878.77999999997</v>
      </c>
      <c r="O233" s="9">
        <f t="shared" si="23"/>
        <v>551086.22</v>
      </c>
    </row>
    <row r="234" spans="8:15">
      <c r="H234" s="11">
        <f>IF(AND(L233&gt;0.005,H233&lt;&gt;""),232,"")</f>
        <v>232</v>
      </c>
      <c r="I234" s="12">
        <f>IF(H234&lt;&gt;"",EDATE(StartDate,231),"")</f>
        <v>53053</v>
      </c>
      <c r="J234" s="13">
        <f t="shared" si="18"/>
        <v>916.11</v>
      </c>
      <c r="K234" s="13">
        <f t="shared" si="19"/>
        <v>3598.8900000000003</v>
      </c>
      <c r="L234" s="13">
        <f t="shared" si="20"/>
        <v>183522.33</v>
      </c>
      <c r="M234" s="9">
        <f t="shared" si="21"/>
        <v>4164.43</v>
      </c>
      <c r="N234" s="9">
        <f t="shared" si="22"/>
        <v>520477.67</v>
      </c>
      <c r="O234" s="9">
        <f t="shared" si="23"/>
        <v>552002.32999999996</v>
      </c>
    </row>
    <row r="235" spans="8:15">
      <c r="H235" s="6">
        <f>IF(AND(L234&gt;0.005,H234&lt;&gt;""),233,"")</f>
        <v>233</v>
      </c>
      <c r="I235" s="7">
        <f>IF(H235&lt;&gt;"",EDATE(StartDate,232),"")</f>
        <v>53083</v>
      </c>
      <c r="J235" s="8">
        <f t="shared" si="18"/>
        <v>898.49</v>
      </c>
      <c r="K235" s="8">
        <f t="shared" si="19"/>
        <v>3616.5100000000007</v>
      </c>
      <c r="L235" s="8">
        <f t="shared" si="20"/>
        <v>179905.82</v>
      </c>
      <c r="M235" s="9">
        <f t="shared" si="21"/>
        <v>4164.43</v>
      </c>
      <c r="N235" s="9">
        <f t="shared" si="22"/>
        <v>524094.18</v>
      </c>
      <c r="O235" s="9">
        <f t="shared" si="23"/>
        <v>552900.81999999995</v>
      </c>
    </row>
    <row r="236" spans="8:15">
      <c r="H236" s="11">
        <f>IF(AND(L235&gt;0.005,H235&lt;&gt;""),234,"")</f>
        <v>234</v>
      </c>
      <c r="I236" s="12">
        <f>IF(H236&lt;&gt;"",EDATE(StartDate,233),"")</f>
        <v>53114</v>
      </c>
      <c r="J236" s="13">
        <f t="shared" si="18"/>
        <v>880.79</v>
      </c>
      <c r="K236" s="13">
        <f t="shared" si="19"/>
        <v>3634.2100000000005</v>
      </c>
      <c r="L236" s="13">
        <f t="shared" si="20"/>
        <v>176271.61</v>
      </c>
      <c r="M236" s="9">
        <f t="shared" si="21"/>
        <v>4164.43</v>
      </c>
      <c r="N236" s="9">
        <f t="shared" si="22"/>
        <v>527728.39</v>
      </c>
      <c r="O236" s="9">
        <f t="shared" si="23"/>
        <v>553781.61</v>
      </c>
    </row>
    <row r="237" spans="8:15">
      <c r="H237" s="6">
        <f>IF(AND(L236&gt;0.005,H236&lt;&gt;""),235,"")</f>
        <v>235</v>
      </c>
      <c r="I237" s="7">
        <f>IF(H237&lt;&gt;"",EDATE(StartDate,234),"")</f>
        <v>53144</v>
      </c>
      <c r="J237" s="8">
        <f t="shared" si="18"/>
        <v>863</v>
      </c>
      <c r="K237" s="8">
        <f t="shared" si="19"/>
        <v>3652.0000000000005</v>
      </c>
      <c r="L237" s="8">
        <f t="shared" si="20"/>
        <v>172619.61</v>
      </c>
      <c r="M237" s="9">
        <f t="shared" si="21"/>
        <v>4164.43</v>
      </c>
      <c r="N237" s="9">
        <f t="shared" si="22"/>
        <v>531380.39</v>
      </c>
      <c r="O237" s="9">
        <f t="shared" si="23"/>
        <v>554644.61</v>
      </c>
    </row>
    <row r="238" spans="8:15">
      <c r="H238" s="11">
        <f>IF(AND(L237&gt;0.005,H237&lt;&gt;""),236,"")</f>
        <v>236</v>
      </c>
      <c r="I238" s="12">
        <f>IF(H238&lt;&gt;"",EDATE(StartDate,235),"")</f>
        <v>53175</v>
      </c>
      <c r="J238" s="13">
        <f t="shared" si="18"/>
        <v>845.12</v>
      </c>
      <c r="K238" s="13">
        <f t="shared" si="19"/>
        <v>3669.8800000000006</v>
      </c>
      <c r="L238" s="13">
        <f t="shared" si="20"/>
        <v>168949.73</v>
      </c>
      <c r="M238" s="9">
        <f t="shared" si="21"/>
        <v>4164.43</v>
      </c>
      <c r="N238" s="9">
        <f t="shared" si="22"/>
        <v>535050.27</v>
      </c>
      <c r="O238" s="9">
        <f t="shared" si="23"/>
        <v>555489.73</v>
      </c>
    </row>
    <row r="239" spans="8:15">
      <c r="H239" s="6">
        <f>IF(AND(L238&gt;0.005,H238&lt;&gt;""),237,"")</f>
        <v>237</v>
      </c>
      <c r="I239" s="7">
        <f>IF(H239&lt;&gt;"",EDATE(StartDate,236),"")</f>
        <v>53206</v>
      </c>
      <c r="J239" s="8">
        <f t="shared" si="18"/>
        <v>827.15</v>
      </c>
      <c r="K239" s="8">
        <f t="shared" si="19"/>
        <v>3687.8500000000004</v>
      </c>
      <c r="L239" s="8">
        <f t="shared" si="20"/>
        <v>165261.88</v>
      </c>
      <c r="M239" s="9">
        <f t="shared" si="21"/>
        <v>4164.43</v>
      </c>
      <c r="N239" s="9">
        <f t="shared" si="22"/>
        <v>538738.12</v>
      </c>
      <c r="O239" s="9">
        <f t="shared" si="23"/>
        <v>556316.88</v>
      </c>
    </row>
    <row r="240" spans="8:15">
      <c r="H240" s="11">
        <f>IF(AND(L239&gt;0.005,H239&lt;&gt;""),238,"")</f>
        <v>238</v>
      </c>
      <c r="I240" s="12">
        <f>IF(H240&lt;&gt;"",EDATE(StartDate,237),"")</f>
        <v>53236</v>
      </c>
      <c r="J240" s="13">
        <f t="shared" si="18"/>
        <v>809.09</v>
      </c>
      <c r="K240" s="13">
        <f t="shared" si="19"/>
        <v>3705.9100000000003</v>
      </c>
      <c r="L240" s="13">
        <f t="shared" si="20"/>
        <v>161555.97</v>
      </c>
      <c r="M240" s="9">
        <f t="shared" si="21"/>
        <v>4164.43</v>
      </c>
      <c r="N240" s="9">
        <f t="shared" si="22"/>
        <v>542444.03</v>
      </c>
      <c r="O240" s="9">
        <f t="shared" si="23"/>
        <v>557125.97</v>
      </c>
    </row>
    <row r="241" spans="8:15">
      <c r="H241" s="6">
        <f>IF(AND(L240&gt;0.005,H240&lt;&gt;""),239,"")</f>
        <v>239</v>
      </c>
      <c r="I241" s="7">
        <f>IF(H241&lt;&gt;"",EDATE(StartDate,238),"")</f>
        <v>53267</v>
      </c>
      <c r="J241" s="8">
        <f t="shared" si="18"/>
        <v>790.95</v>
      </c>
      <c r="K241" s="8">
        <f t="shared" si="19"/>
        <v>3724.0500000000006</v>
      </c>
      <c r="L241" s="8">
        <f t="shared" si="20"/>
        <v>157831.92000000001</v>
      </c>
      <c r="M241" s="9">
        <f t="shared" si="21"/>
        <v>4164.43</v>
      </c>
      <c r="N241" s="9">
        <f t="shared" si="22"/>
        <v>546168.08000000007</v>
      </c>
      <c r="O241" s="9">
        <f t="shared" si="23"/>
        <v>557916.91999999993</v>
      </c>
    </row>
    <row r="242" spans="8:15">
      <c r="H242" s="11">
        <f>IF(AND(L241&gt;0.005,H241&lt;&gt;""),240,"")</f>
        <v>240</v>
      </c>
      <c r="I242" s="12">
        <f>IF(H242&lt;&gt;"",EDATE(StartDate,239),"")</f>
        <v>53297</v>
      </c>
      <c r="J242" s="13">
        <f t="shared" si="18"/>
        <v>772.72</v>
      </c>
      <c r="K242" s="13">
        <f t="shared" si="19"/>
        <v>3742.28</v>
      </c>
      <c r="L242" s="13">
        <f t="shared" si="20"/>
        <v>154089.64000000001</v>
      </c>
      <c r="M242" s="9">
        <f t="shared" si="21"/>
        <v>4164.43</v>
      </c>
      <c r="N242" s="9">
        <f t="shared" si="22"/>
        <v>549910.3600000001</v>
      </c>
      <c r="O242" s="9">
        <f t="shared" si="23"/>
        <v>558689.6399999999</v>
      </c>
    </row>
    <row r="243" spans="8:15">
      <c r="H243" s="6">
        <f>IF(AND(L242&gt;0.005,H242&lt;&gt;""),241,"")</f>
        <v>241</v>
      </c>
      <c r="I243" s="7">
        <f>IF(H243&lt;&gt;"",EDATE(StartDate,240),"")</f>
        <v>53328</v>
      </c>
      <c r="J243" s="8">
        <f t="shared" si="18"/>
        <v>754.4</v>
      </c>
      <c r="K243" s="8">
        <f t="shared" si="19"/>
        <v>3760.6000000000004</v>
      </c>
      <c r="L243" s="8">
        <f t="shared" si="20"/>
        <v>150329.04</v>
      </c>
      <c r="M243" s="9">
        <f t="shared" si="21"/>
        <v>4164.43</v>
      </c>
      <c r="N243" s="9">
        <f t="shared" si="22"/>
        <v>553670.96000000008</v>
      </c>
      <c r="O243" s="9">
        <f t="shared" si="23"/>
        <v>559444.03999999992</v>
      </c>
    </row>
    <row r="244" spans="8:15">
      <c r="H244" s="11">
        <f>IF(AND(L243&gt;0.005,H243&lt;&gt;""),242,"")</f>
        <v>242</v>
      </c>
      <c r="I244" s="12">
        <f>IF(H244&lt;&gt;"",EDATE(StartDate,241),"")</f>
        <v>53359</v>
      </c>
      <c r="J244" s="13">
        <f t="shared" si="18"/>
        <v>735.99</v>
      </c>
      <c r="K244" s="13">
        <f t="shared" si="19"/>
        <v>3779.0100000000007</v>
      </c>
      <c r="L244" s="13">
        <f t="shared" si="20"/>
        <v>146550.03</v>
      </c>
      <c r="M244" s="9">
        <f t="shared" si="21"/>
        <v>4164.43</v>
      </c>
      <c r="N244" s="9">
        <f t="shared" si="22"/>
        <v>557449.97000000009</v>
      </c>
      <c r="O244" s="9">
        <f t="shared" si="23"/>
        <v>560180.02999999991</v>
      </c>
    </row>
    <row r="245" spans="8:15">
      <c r="H245" s="6">
        <f>IF(AND(L244&gt;0.005,H244&lt;&gt;""),243,"")</f>
        <v>243</v>
      </c>
      <c r="I245" s="7">
        <f>IF(H245&lt;&gt;"",EDATE(StartDate,242),"")</f>
        <v>53387</v>
      </c>
      <c r="J245" s="8">
        <f t="shared" si="18"/>
        <v>717.48</v>
      </c>
      <c r="K245" s="8">
        <f t="shared" si="19"/>
        <v>3797.5200000000004</v>
      </c>
      <c r="L245" s="8">
        <f t="shared" si="20"/>
        <v>142752.51</v>
      </c>
      <c r="M245" s="9">
        <f t="shared" si="21"/>
        <v>4164.43</v>
      </c>
      <c r="N245" s="9">
        <f t="shared" si="22"/>
        <v>561247.49000000011</v>
      </c>
      <c r="O245" s="9">
        <f t="shared" si="23"/>
        <v>560897.50999999989</v>
      </c>
    </row>
    <row r="246" spans="8:15">
      <c r="H246" s="11">
        <f>IF(AND(L245&gt;0.005,H245&lt;&gt;""),244,"")</f>
        <v>244</v>
      </c>
      <c r="I246" s="12">
        <f>IF(H246&lt;&gt;"",EDATE(StartDate,243),"")</f>
        <v>53418</v>
      </c>
      <c r="J246" s="13">
        <f t="shared" si="18"/>
        <v>698.89</v>
      </c>
      <c r="K246" s="13">
        <f t="shared" si="19"/>
        <v>3816.1100000000006</v>
      </c>
      <c r="L246" s="13">
        <f t="shared" si="20"/>
        <v>138936.4</v>
      </c>
      <c r="M246" s="9">
        <f t="shared" si="21"/>
        <v>4164.43</v>
      </c>
      <c r="N246" s="9">
        <f t="shared" si="22"/>
        <v>565063.60000000009</v>
      </c>
      <c r="O246" s="9">
        <f t="shared" si="23"/>
        <v>561596.39999999991</v>
      </c>
    </row>
    <row r="247" spans="8:15">
      <c r="H247" s="6">
        <f>IF(AND(L246&gt;0.005,H246&lt;&gt;""),245,"")</f>
        <v>245</v>
      </c>
      <c r="I247" s="7">
        <f>IF(H247&lt;&gt;"",EDATE(StartDate,244),"")</f>
        <v>53448</v>
      </c>
      <c r="J247" s="8">
        <f t="shared" si="18"/>
        <v>680.21</v>
      </c>
      <c r="K247" s="8">
        <f t="shared" si="19"/>
        <v>3834.7900000000004</v>
      </c>
      <c r="L247" s="8">
        <f t="shared" si="20"/>
        <v>135101.60999999999</v>
      </c>
      <c r="M247" s="9">
        <f t="shared" si="21"/>
        <v>4164.43</v>
      </c>
      <c r="N247" s="9">
        <f t="shared" si="22"/>
        <v>568898.39000000013</v>
      </c>
      <c r="O247" s="9">
        <f t="shared" si="23"/>
        <v>562276.60999999987</v>
      </c>
    </row>
    <row r="248" spans="8:15">
      <c r="H248" s="11">
        <f>IF(AND(L247&gt;0.005,H247&lt;&gt;""),246,"")</f>
        <v>246</v>
      </c>
      <c r="I248" s="12">
        <f>IF(H248&lt;&gt;"",EDATE(StartDate,245),"")</f>
        <v>53479</v>
      </c>
      <c r="J248" s="13">
        <f t="shared" si="18"/>
        <v>661.43</v>
      </c>
      <c r="K248" s="13">
        <f t="shared" si="19"/>
        <v>3853.5700000000006</v>
      </c>
      <c r="L248" s="13">
        <f t="shared" si="20"/>
        <v>131248.04</v>
      </c>
      <c r="M248" s="9">
        <f t="shared" si="21"/>
        <v>4164.43</v>
      </c>
      <c r="N248" s="9">
        <f t="shared" si="22"/>
        <v>572751.96000000008</v>
      </c>
      <c r="O248" s="9">
        <f t="shared" si="23"/>
        <v>562938.03999999992</v>
      </c>
    </row>
    <row r="249" spans="8:15">
      <c r="H249" s="6">
        <f>IF(AND(L248&gt;0.005,H248&lt;&gt;""),247,"")</f>
        <v>247</v>
      </c>
      <c r="I249" s="7">
        <f>IF(H249&lt;&gt;"",EDATE(StartDate,246),"")</f>
        <v>53509</v>
      </c>
      <c r="J249" s="8">
        <f t="shared" si="18"/>
        <v>642.57000000000005</v>
      </c>
      <c r="K249" s="8">
        <f t="shared" si="19"/>
        <v>3872.4300000000003</v>
      </c>
      <c r="L249" s="8">
        <f t="shared" si="20"/>
        <v>127375.61</v>
      </c>
      <c r="M249" s="9">
        <f t="shared" si="21"/>
        <v>4164.43</v>
      </c>
      <c r="N249" s="9">
        <f t="shared" si="22"/>
        <v>576624.39000000013</v>
      </c>
      <c r="O249" s="9">
        <f t="shared" si="23"/>
        <v>563580.60999999987</v>
      </c>
    </row>
    <row r="250" spans="8:15">
      <c r="H250" s="11">
        <f>IF(AND(L249&gt;0.005,H249&lt;&gt;""),248,"")</f>
        <v>248</v>
      </c>
      <c r="I250" s="12">
        <f>IF(H250&lt;&gt;"",EDATE(StartDate,247),"")</f>
        <v>53540</v>
      </c>
      <c r="J250" s="13">
        <f t="shared" si="18"/>
        <v>623.61</v>
      </c>
      <c r="K250" s="13">
        <f t="shared" si="19"/>
        <v>3891.3900000000003</v>
      </c>
      <c r="L250" s="13">
        <f t="shared" si="20"/>
        <v>123484.22</v>
      </c>
      <c r="M250" s="9">
        <f t="shared" si="21"/>
        <v>4164.43</v>
      </c>
      <c r="N250" s="9">
        <f t="shared" si="22"/>
        <v>580515.78000000014</v>
      </c>
      <c r="O250" s="9">
        <f t="shared" si="23"/>
        <v>564204.21999999986</v>
      </c>
    </row>
    <row r="251" spans="8:15">
      <c r="H251" s="6">
        <f>IF(AND(L250&gt;0.005,H250&lt;&gt;""),249,"")</f>
        <v>249</v>
      </c>
      <c r="I251" s="7">
        <f>IF(H251&lt;&gt;"",EDATE(StartDate,248),"")</f>
        <v>53571</v>
      </c>
      <c r="J251" s="8">
        <f t="shared" si="18"/>
        <v>604.55999999999995</v>
      </c>
      <c r="K251" s="8">
        <f t="shared" si="19"/>
        <v>3910.4400000000005</v>
      </c>
      <c r="L251" s="8">
        <f t="shared" si="20"/>
        <v>119573.78</v>
      </c>
      <c r="M251" s="9">
        <f t="shared" si="21"/>
        <v>4164.43</v>
      </c>
      <c r="N251" s="9">
        <f t="shared" si="22"/>
        <v>584426.22000000009</v>
      </c>
      <c r="O251" s="9">
        <f t="shared" si="23"/>
        <v>564808.77999999991</v>
      </c>
    </row>
    <row r="252" spans="8:15">
      <c r="H252" s="11">
        <f>IF(AND(L251&gt;0.005,H251&lt;&gt;""),250,"")</f>
        <v>250</v>
      </c>
      <c r="I252" s="12">
        <f>IF(H252&lt;&gt;"",EDATE(StartDate,249),"")</f>
        <v>53601</v>
      </c>
      <c r="J252" s="13">
        <f t="shared" si="18"/>
        <v>585.41</v>
      </c>
      <c r="K252" s="13">
        <f t="shared" si="19"/>
        <v>3929.5900000000006</v>
      </c>
      <c r="L252" s="13">
        <f t="shared" si="20"/>
        <v>115644.19</v>
      </c>
      <c r="M252" s="9">
        <f t="shared" si="21"/>
        <v>4164.43</v>
      </c>
      <c r="N252" s="9">
        <f t="shared" si="22"/>
        <v>588355.81000000006</v>
      </c>
      <c r="O252" s="9">
        <f t="shared" si="23"/>
        <v>565394.18999999994</v>
      </c>
    </row>
    <row r="253" spans="8:15">
      <c r="H253" s="6">
        <f>IF(AND(L252&gt;0.005,H252&lt;&gt;""),251,"")</f>
        <v>251</v>
      </c>
      <c r="I253" s="7">
        <f>IF(H253&lt;&gt;"",EDATE(StartDate,250),"")</f>
        <v>53632</v>
      </c>
      <c r="J253" s="8">
        <f t="shared" si="18"/>
        <v>566.16999999999996</v>
      </c>
      <c r="K253" s="8">
        <f t="shared" si="19"/>
        <v>3948.8300000000004</v>
      </c>
      <c r="L253" s="8">
        <f t="shared" si="20"/>
        <v>111695.36</v>
      </c>
      <c r="M253" s="9">
        <f t="shared" si="21"/>
        <v>4164.43</v>
      </c>
      <c r="N253" s="9">
        <f t="shared" si="22"/>
        <v>592304.64000000001</v>
      </c>
      <c r="O253" s="9">
        <f t="shared" si="23"/>
        <v>565960.36</v>
      </c>
    </row>
    <row r="254" spans="8:15">
      <c r="H254" s="11">
        <f>IF(AND(L253&gt;0.005,H253&lt;&gt;""),252,"")</f>
        <v>252</v>
      </c>
      <c r="I254" s="12">
        <f>IF(H254&lt;&gt;"",EDATE(StartDate,251),"")</f>
        <v>53662</v>
      </c>
      <c r="J254" s="13">
        <f t="shared" si="18"/>
        <v>546.84</v>
      </c>
      <c r="K254" s="13">
        <f t="shared" si="19"/>
        <v>3968.1600000000003</v>
      </c>
      <c r="L254" s="13">
        <f t="shared" si="20"/>
        <v>107727.2</v>
      </c>
      <c r="M254" s="9">
        <f t="shared" si="21"/>
        <v>4164.43</v>
      </c>
      <c r="N254" s="9">
        <f t="shared" si="22"/>
        <v>596272.80000000005</v>
      </c>
      <c r="O254" s="9">
        <f t="shared" si="23"/>
        <v>566507.19999999995</v>
      </c>
    </row>
    <row r="255" spans="8:15">
      <c r="H255" s="6">
        <f>IF(AND(L254&gt;0.005,H254&lt;&gt;""),253,"")</f>
        <v>253</v>
      </c>
      <c r="I255" s="7">
        <f>IF(H255&lt;&gt;"",EDATE(StartDate,252),"")</f>
        <v>53693</v>
      </c>
      <c r="J255" s="8">
        <f t="shared" si="18"/>
        <v>527.41</v>
      </c>
      <c r="K255" s="8">
        <f t="shared" si="19"/>
        <v>3987.5900000000006</v>
      </c>
      <c r="L255" s="8">
        <f t="shared" si="20"/>
        <v>103739.61</v>
      </c>
      <c r="M255" s="9">
        <f t="shared" si="21"/>
        <v>4164.43</v>
      </c>
      <c r="N255" s="9">
        <f t="shared" si="22"/>
        <v>600260.39</v>
      </c>
      <c r="O255" s="9">
        <f t="shared" si="23"/>
        <v>567034.61</v>
      </c>
    </row>
    <row r="256" spans="8:15">
      <c r="H256" s="11">
        <f>IF(AND(L255&gt;0.005,H255&lt;&gt;""),254,"")</f>
        <v>254</v>
      </c>
      <c r="I256" s="12">
        <f>IF(H256&lt;&gt;"",EDATE(StartDate,253),"")</f>
        <v>53724</v>
      </c>
      <c r="J256" s="13">
        <f t="shared" si="18"/>
        <v>507.89</v>
      </c>
      <c r="K256" s="13">
        <f t="shared" si="19"/>
        <v>4007.1100000000006</v>
      </c>
      <c r="L256" s="13">
        <f t="shared" si="20"/>
        <v>99732.5</v>
      </c>
      <c r="M256" s="9">
        <f t="shared" si="21"/>
        <v>4164.43</v>
      </c>
      <c r="N256" s="9">
        <f t="shared" si="22"/>
        <v>604267.5</v>
      </c>
      <c r="O256" s="9">
        <f t="shared" si="23"/>
        <v>567542.5</v>
      </c>
    </row>
    <row r="257" spans="8:15">
      <c r="H257" s="6">
        <f>IF(AND(L256&gt;0.005,H256&lt;&gt;""),255,"")</f>
        <v>255</v>
      </c>
      <c r="I257" s="7">
        <f>IF(H257&lt;&gt;"",EDATE(StartDate,254),"")</f>
        <v>53752</v>
      </c>
      <c r="J257" s="8">
        <f t="shared" si="18"/>
        <v>488.27</v>
      </c>
      <c r="K257" s="8">
        <f t="shared" si="19"/>
        <v>4026.7300000000005</v>
      </c>
      <c r="L257" s="8">
        <f t="shared" si="20"/>
        <v>95705.77</v>
      </c>
      <c r="M257" s="9">
        <f t="shared" si="21"/>
        <v>4164.43</v>
      </c>
      <c r="N257" s="9">
        <f t="shared" si="22"/>
        <v>608294.23</v>
      </c>
      <c r="O257" s="9">
        <f t="shared" si="23"/>
        <v>568030.77</v>
      </c>
    </row>
    <row r="258" spans="8:15">
      <c r="H258" s="11">
        <f>IF(AND(L257&gt;0.005,H257&lt;&gt;""),256,"")</f>
        <v>256</v>
      </c>
      <c r="I258" s="12">
        <f>IF(H258&lt;&gt;"",EDATE(StartDate,255),"")</f>
        <v>53783</v>
      </c>
      <c r="J258" s="13">
        <f t="shared" si="18"/>
        <v>468.56</v>
      </c>
      <c r="K258" s="13">
        <f t="shared" si="19"/>
        <v>4046.4400000000005</v>
      </c>
      <c r="L258" s="13">
        <f t="shared" si="20"/>
        <v>91659.33</v>
      </c>
      <c r="M258" s="9">
        <f t="shared" si="21"/>
        <v>4164.43</v>
      </c>
      <c r="N258" s="9">
        <f t="shared" si="22"/>
        <v>612340.66999999993</v>
      </c>
      <c r="O258" s="9">
        <f t="shared" si="23"/>
        <v>568499.33000000007</v>
      </c>
    </row>
    <row r="259" spans="8:15">
      <c r="H259" s="6">
        <f>IF(AND(L258&gt;0.005,H258&lt;&gt;""),257,"")</f>
        <v>257</v>
      </c>
      <c r="I259" s="7">
        <f>IF(H259&lt;&gt;"",EDATE(StartDate,256),"")</f>
        <v>53813</v>
      </c>
      <c r="J259" s="8">
        <f t="shared" si="18"/>
        <v>448.75</v>
      </c>
      <c r="K259" s="8">
        <f t="shared" si="19"/>
        <v>4066.2500000000005</v>
      </c>
      <c r="L259" s="8">
        <f t="shared" si="20"/>
        <v>87593.08</v>
      </c>
      <c r="M259" s="9">
        <f t="shared" si="21"/>
        <v>4164.43</v>
      </c>
      <c r="N259" s="9">
        <f t="shared" si="22"/>
        <v>616406.91999999993</v>
      </c>
      <c r="O259" s="9">
        <f t="shared" si="23"/>
        <v>568948.08000000007</v>
      </c>
    </row>
    <row r="260" spans="8:15">
      <c r="H260" s="11">
        <f>IF(AND(L259&gt;0.005,H259&lt;&gt;""),258,"")</f>
        <v>258</v>
      </c>
      <c r="I260" s="12">
        <f>IF(H260&lt;&gt;"",EDATE(StartDate,257),"")</f>
        <v>53844</v>
      </c>
      <c r="J260" s="13">
        <f t="shared" ref="J260:J323" si="24">IF(H260&lt;&gt;"",ROUND(L259*AnnualRate/12,2),"")</f>
        <v>428.84</v>
      </c>
      <c r="K260" s="13">
        <f t="shared" ref="K260:K323" si="25">IF(H260&lt;&gt;"",MIN(L259,(M260-J260)+SUMPRODUCT(($B$22:$B$31&lt;&gt;"")*($B$22:$B$31&lt;=I260)*(($C$22:$C$31="")+($C$22:$C$31&lt;&gt;"")*($C$22:$C$31&gt;=I260))*($E$22:$E$31="Monthly")*$D$22:$D$31)+SUMPRODUCT(($B$22:$B$31&lt;&gt;"")*($B$22:$B$31&lt;=I260)*(($C$22:$C$31="")+($C$22:$C$31&lt;&gt;"")*($C$22:$C$31&gt;=I260))*($E$22:$E$31="Annual")*(MONTH($B$22:$B$31)=MONTH(I260))*$D$22:$D$31)+SUMPRODUCT(($B$35:$B$49&lt;&gt;"")*(YEAR($B$35:$B$49)=YEAR(I260))*(MONTH($B$35:$B$49)=MONTH(I260))*$C$35:$C$49)),"")</f>
        <v>4086.1600000000003</v>
      </c>
      <c r="L260" s="13">
        <f t="shared" ref="L260:L323" si="26">IF(H260&lt;&gt;"",ROUND(L259-K260,2),"")</f>
        <v>83506.92</v>
      </c>
      <c r="M260" s="9">
        <f t="shared" ref="M260:M323" si="27">IF(H260&lt;&gt;"",MIN(MonthlyPmt,L259+J260),"")</f>
        <v>4164.43</v>
      </c>
      <c r="N260" s="9">
        <f t="shared" ref="N260:N323" si="28">IF(H260&lt;&gt;"",N259+K260,"")</f>
        <v>620493.07999999996</v>
      </c>
      <c r="O260" s="9">
        <f t="shared" ref="O260:O323" si="29">IF(H260&lt;&gt;"",O259+J260,"")</f>
        <v>569376.92000000004</v>
      </c>
    </row>
    <row r="261" spans="8:15">
      <c r="H261" s="6">
        <f>IF(AND(L260&gt;0.005,H260&lt;&gt;""),259,"")</f>
        <v>259</v>
      </c>
      <c r="I261" s="7">
        <f>IF(H261&lt;&gt;"",EDATE(StartDate,258),"")</f>
        <v>53874</v>
      </c>
      <c r="J261" s="8">
        <f t="shared" si="24"/>
        <v>408.84</v>
      </c>
      <c r="K261" s="8">
        <f t="shared" si="25"/>
        <v>4106.16</v>
      </c>
      <c r="L261" s="8">
        <f t="shared" si="26"/>
        <v>79400.759999999995</v>
      </c>
      <c r="M261" s="9">
        <f t="shared" si="27"/>
        <v>4164.43</v>
      </c>
      <c r="N261" s="9">
        <f t="shared" si="28"/>
        <v>624599.24</v>
      </c>
      <c r="O261" s="9">
        <f t="shared" si="29"/>
        <v>569785.76</v>
      </c>
    </row>
    <row r="262" spans="8:15">
      <c r="H262" s="11">
        <f>IF(AND(L261&gt;0.005,H261&lt;&gt;""),260,"")</f>
        <v>260</v>
      </c>
      <c r="I262" s="12">
        <f>IF(H262&lt;&gt;"",EDATE(StartDate,259),"")</f>
        <v>53905</v>
      </c>
      <c r="J262" s="13">
        <f t="shared" si="24"/>
        <v>388.73</v>
      </c>
      <c r="K262" s="13">
        <f t="shared" si="25"/>
        <v>4126.2700000000004</v>
      </c>
      <c r="L262" s="13">
        <f t="shared" si="26"/>
        <v>75274.490000000005</v>
      </c>
      <c r="M262" s="9">
        <f t="shared" si="27"/>
        <v>4164.43</v>
      </c>
      <c r="N262" s="9">
        <f t="shared" si="28"/>
        <v>628725.51</v>
      </c>
      <c r="O262" s="9">
        <f t="shared" si="29"/>
        <v>570174.49</v>
      </c>
    </row>
    <row r="263" spans="8:15">
      <c r="H263" s="6">
        <f>IF(AND(L262&gt;0.005,H262&lt;&gt;""),261,"")</f>
        <v>261</v>
      </c>
      <c r="I263" s="7">
        <f>IF(H263&lt;&gt;"",EDATE(StartDate,260),"")</f>
        <v>53936</v>
      </c>
      <c r="J263" s="8">
        <f t="shared" si="24"/>
        <v>368.53</v>
      </c>
      <c r="K263" s="8">
        <f t="shared" si="25"/>
        <v>4146.47</v>
      </c>
      <c r="L263" s="8">
        <f t="shared" si="26"/>
        <v>71128.02</v>
      </c>
      <c r="M263" s="9">
        <f t="shared" si="27"/>
        <v>4164.43</v>
      </c>
      <c r="N263" s="9">
        <f t="shared" si="28"/>
        <v>632871.98</v>
      </c>
      <c r="O263" s="9">
        <f t="shared" si="29"/>
        <v>570543.02</v>
      </c>
    </row>
    <row r="264" spans="8:15">
      <c r="H264" s="11">
        <f>IF(AND(L263&gt;0.005,H263&lt;&gt;""),262,"")</f>
        <v>262</v>
      </c>
      <c r="I264" s="12">
        <f>IF(H264&lt;&gt;"",EDATE(StartDate,261),"")</f>
        <v>53966</v>
      </c>
      <c r="J264" s="13">
        <f t="shared" si="24"/>
        <v>348.23</v>
      </c>
      <c r="K264" s="13">
        <f t="shared" si="25"/>
        <v>4166.7700000000004</v>
      </c>
      <c r="L264" s="13">
        <f t="shared" si="26"/>
        <v>66961.25</v>
      </c>
      <c r="M264" s="9">
        <f t="shared" si="27"/>
        <v>4164.43</v>
      </c>
      <c r="N264" s="9">
        <f t="shared" si="28"/>
        <v>637038.75</v>
      </c>
      <c r="O264" s="9">
        <f t="shared" si="29"/>
        <v>570891.25</v>
      </c>
    </row>
    <row r="265" spans="8:15">
      <c r="H265" s="6">
        <f>IF(AND(L264&gt;0.005,H264&lt;&gt;""),263,"")</f>
        <v>263</v>
      </c>
      <c r="I265" s="7">
        <f>IF(H265&lt;&gt;"",EDATE(StartDate,262),"")</f>
        <v>53997</v>
      </c>
      <c r="J265" s="8">
        <f t="shared" si="24"/>
        <v>327.83</v>
      </c>
      <c r="K265" s="8">
        <f t="shared" si="25"/>
        <v>4187.17</v>
      </c>
      <c r="L265" s="8">
        <f t="shared" si="26"/>
        <v>62774.080000000002</v>
      </c>
      <c r="M265" s="9">
        <f t="shared" si="27"/>
        <v>4164.43</v>
      </c>
      <c r="N265" s="9">
        <f t="shared" si="28"/>
        <v>641225.92000000004</v>
      </c>
      <c r="O265" s="9">
        <f t="shared" si="29"/>
        <v>571219.07999999996</v>
      </c>
    </row>
    <row r="266" spans="8:15">
      <c r="H266" s="11">
        <f>IF(AND(L265&gt;0.005,H265&lt;&gt;""),264,"")</f>
        <v>264</v>
      </c>
      <c r="I266" s="12">
        <f>IF(H266&lt;&gt;"",EDATE(StartDate,263),"")</f>
        <v>54027</v>
      </c>
      <c r="J266" s="13">
        <f t="shared" si="24"/>
        <v>307.33</v>
      </c>
      <c r="K266" s="13">
        <f t="shared" si="25"/>
        <v>4207.67</v>
      </c>
      <c r="L266" s="13">
        <f t="shared" si="26"/>
        <v>58566.41</v>
      </c>
      <c r="M266" s="9">
        <f t="shared" si="27"/>
        <v>4164.43</v>
      </c>
      <c r="N266" s="9">
        <f t="shared" si="28"/>
        <v>645433.59000000008</v>
      </c>
      <c r="O266" s="9">
        <f t="shared" si="29"/>
        <v>571526.40999999992</v>
      </c>
    </row>
    <row r="267" spans="8:15">
      <c r="H267" s="6">
        <f>IF(AND(L266&gt;0.005,H266&lt;&gt;""),265,"")</f>
        <v>265</v>
      </c>
      <c r="I267" s="7">
        <f>IF(H267&lt;&gt;"",EDATE(StartDate,264),"")</f>
        <v>54058</v>
      </c>
      <c r="J267" s="8">
        <f t="shared" si="24"/>
        <v>286.73</v>
      </c>
      <c r="K267" s="8">
        <f t="shared" si="25"/>
        <v>4228.2700000000004</v>
      </c>
      <c r="L267" s="8">
        <f t="shared" si="26"/>
        <v>54338.14</v>
      </c>
      <c r="M267" s="9">
        <f t="shared" si="27"/>
        <v>4164.43</v>
      </c>
      <c r="N267" s="9">
        <f t="shared" si="28"/>
        <v>649661.8600000001</v>
      </c>
      <c r="O267" s="9">
        <f t="shared" si="29"/>
        <v>571813.1399999999</v>
      </c>
    </row>
    <row r="268" spans="8:15">
      <c r="H268" s="11">
        <f>IF(AND(L267&gt;0.005,H267&lt;&gt;""),266,"")</f>
        <v>266</v>
      </c>
      <c r="I268" s="12">
        <f>IF(H268&lt;&gt;"",EDATE(StartDate,265),"")</f>
        <v>54089</v>
      </c>
      <c r="J268" s="13">
        <f t="shared" si="24"/>
        <v>266.02999999999997</v>
      </c>
      <c r="K268" s="13">
        <f t="shared" si="25"/>
        <v>4248.97</v>
      </c>
      <c r="L268" s="13">
        <f t="shared" si="26"/>
        <v>50089.17</v>
      </c>
      <c r="M268" s="9">
        <f t="shared" si="27"/>
        <v>4164.43</v>
      </c>
      <c r="N268" s="9">
        <f t="shared" si="28"/>
        <v>653910.83000000007</v>
      </c>
      <c r="O268" s="9">
        <f t="shared" si="29"/>
        <v>572079.16999999993</v>
      </c>
    </row>
    <row r="269" spans="8:15">
      <c r="H269" s="6">
        <f>IF(AND(L268&gt;0.005,H268&lt;&gt;""),267,"")</f>
        <v>267</v>
      </c>
      <c r="I269" s="7">
        <f>IF(H269&lt;&gt;"",EDATE(StartDate,266),"")</f>
        <v>54118</v>
      </c>
      <c r="J269" s="8">
        <f t="shared" si="24"/>
        <v>245.23</v>
      </c>
      <c r="K269" s="8">
        <f t="shared" si="25"/>
        <v>4269.7700000000004</v>
      </c>
      <c r="L269" s="8">
        <f t="shared" si="26"/>
        <v>45819.4</v>
      </c>
      <c r="M269" s="9">
        <f t="shared" si="27"/>
        <v>4164.43</v>
      </c>
      <c r="N269" s="9">
        <f t="shared" si="28"/>
        <v>658180.60000000009</v>
      </c>
      <c r="O269" s="9">
        <f t="shared" si="29"/>
        <v>572324.39999999991</v>
      </c>
    </row>
    <row r="270" spans="8:15">
      <c r="H270" s="11">
        <f>IF(AND(L269&gt;0.005,H269&lt;&gt;""),268,"")</f>
        <v>268</v>
      </c>
      <c r="I270" s="12">
        <f>IF(H270&lt;&gt;"",EDATE(StartDate,267),"")</f>
        <v>54149</v>
      </c>
      <c r="J270" s="13">
        <f t="shared" si="24"/>
        <v>224.32</v>
      </c>
      <c r="K270" s="13">
        <f t="shared" si="25"/>
        <v>4290.68</v>
      </c>
      <c r="L270" s="13">
        <f t="shared" si="26"/>
        <v>41528.720000000001</v>
      </c>
      <c r="M270" s="9">
        <f t="shared" si="27"/>
        <v>4164.43</v>
      </c>
      <c r="N270" s="9">
        <f t="shared" si="28"/>
        <v>662471.28000000014</v>
      </c>
      <c r="O270" s="9">
        <f t="shared" si="29"/>
        <v>572548.71999999986</v>
      </c>
    </row>
    <row r="271" spans="8:15">
      <c r="H271" s="6">
        <f>IF(AND(L270&gt;0.005,H270&lt;&gt;""),269,"")</f>
        <v>269</v>
      </c>
      <c r="I271" s="7">
        <f>IF(H271&lt;&gt;"",EDATE(StartDate,268),"")</f>
        <v>54179</v>
      </c>
      <c r="J271" s="8">
        <f t="shared" si="24"/>
        <v>203.32</v>
      </c>
      <c r="K271" s="8">
        <f t="shared" si="25"/>
        <v>4311.68</v>
      </c>
      <c r="L271" s="8">
        <f t="shared" si="26"/>
        <v>37217.040000000001</v>
      </c>
      <c r="M271" s="9">
        <f t="shared" si="27"/>
        <v>4164.43</v>
      </c>
      <c r="N271" s="9">
        <f t="shared" si="28"/>
        <v>666782.9600000002</v>
      </c>
      <c r="O271" s="9">
        <f t="shared" si="29"/>
        <v>572752.0399999998</v>
      </c>
    </row>
    <row r="272" spans="8:15">
      <c r="H272" s="11">
        <f>IF(AND(L271&gt;0.005,H271&lt;&gt;""),270,"")</f>
        <v>270</v>
      </c>
      <c r="I272" s="12">
        <f>IF(H272&lt;&gt;"",EDATE(StartDate,269),"")</f>
        <v>54210</v>
      </c>
      <c r="J272" s="13">
        <f t="shared" si="24"/>
        <v>182.21</v>
      </c>
      <c r="K272" s="13">
        <f t="shared" si="25"/>
        <v>4332.79</v>
      </c>
      <c r="L272" s="13">
        <f t="shared" si="26"/>
        <v>32884.25</v>
      </c>
      <c r="M272" s="9">
        <f t="shared" si="27"/>
        <v>4164.43</v>
      </c>
      <c r="N272" s="9">
        <f t="shared" si="28"/>
        <v>671115.75000000023</v>
      </c>
      <c r="O272" s="9">
        <f t="shared" si="29"/>
        <v>572934.24999999977</v>
      </c>
    </row>
    <row r="273" spans="8:15">
      <c r="H273" s="6">
        <f>IF(AND(L272&gt;0.005,H272&lt;&gt;""),271,"")</f>
        <v>271</v>
      </c>
      <c r="I273" s="7">
        <f>IF(H273&lt;&gt;"",EDATE(StartDate,270),"")</f>
        <v>54240</v>
      </c>
      <c r="J273" s="8">
        <f t="shared" si="24"/>
        <v>161</v>
      </c>
      <c r="K273" s="8">
        <f t="shared" si="25"/>
        <v>4354</v>
      </c>
      <c r="L273" s="8">
        <f t="shared" si="26"/>
        <v>28530.25</v>
      </c>
      <c r="M273" s="9">
        <f t="shared" si="27"/>
        <v>4164.43</v>
      </c>
      <c r="N273" s="9">
        <f t="shared" si="28"/>
        <v>675469.75000000023</v>
      </c>
      <c r="O273" s="9">
        <f t="shared" si="29"/>
        <v>573095.24999999977</v>
      </c>
    </row>
    <row r="274" spans="8:15">
      <c r="H274" s="11">
        <f>IF(AND(L273&gt;0.005,H273&lt;&gt;""),272,"")</f>
        <v>272</v>
      </c>
      <c r="I274" s="12">
        <f>IF(H274&lt;&gt;"",EDATE(StartDate,271),"")</f>
        <v>54271</v>
      </c>
      <c r="J274" s="13">
        <f t="shared" si="24"/>
        <v>139.68</v>
      </c>
      <c r="K274" s="13">
        <f t="shared" si="25"/>
        <v>4375.3200000000006</v>
      </c>
      <c r="L274" s="13">
        <f t="shared" si="26"/>
        <v>24154.93</v>
      </c>
      <c r="M274" s="9">
        <f t="shared" si="27"/>
        <v>4164.43</v>
      </c>
      <c r="N274" s="9">
        <f t="shared" si="28"/>
        <v>679845.07000000018</v>
      </c>
      <c r="O274" s="9">
        <f t="shared" si="29"/>
        <v>573234.92999999982</v>
      </c>
    </row>
    <row r="275" spans="8:15">
      <c r="H275" s="6">
        <f>IF(AND(L274&gt;0.005,H274&lt;&gt;""),273,"")</f>
        <v>273</v>
      </c>
      <c r="I275" s="7">
        <f>IF(H275&lt;&gt;"",EDATE(StartDate,272),"")</f>
        <v>54302</v>
      </c>
      <c r="J275" s="8">
        <f t="shared" si="24"/>
        <v>118.26</v>
      </c>
      <c r="K275" s="8">
        <f t="shared" si="25"/>
        <v>4396.74</v>
      </c>
      <c r="L275" s="8">
        <f t="shared" si="26"/>
        <v>19758.189999999999</v>
      </c>
      <c r="M275" s="9">
        <f t="shared" si="27"/>
        <v>4164.43</v>
      </c>
      <c r="N275" s="9">
        <f t="shared" si="28"/>
        <v>684241.81000000017</v>
      </c>
      <c r="O275" s="9">
        <f t="shared" si="29"/>
        <v>573353.18999999983</v>
      </c>
    </row>
    <row r="276" spans="8:15">
      <c r="H276" s="11">
        <f>IF(AND(L275&gt;0.005,H275&lt;&gt;""),274,"")</f>
        <v>274</v>
      </c>
      <c r="I276" s="12">
        <f>IF(H276&lt;&gt;"",EDATE(StartDate,273),"")</f>
        <v>54332</v>
      </c>
      <c r="J276" s="13">
        <f t="shared" si="24"/>
        <v>96.73</v>
      </c>
      <c r="K276" s="13">
        <f t="shared" si="25"/>
        <v>4418.2700000000004</v>
      </c>
      <c r="L276" s="13">
        <f t="shared" si="26"/>
        <v>15339.92</v>
      </c>
      <c r="M276" s="9">
        <f t="shared" si="27"/>
        <v>4164.43</v>
      </c>
      <c r="N276" s="9">
        <f t="shared" si="28"/>
        <v>688660.08000000019</v>
      </c>
      <c r="O276" s="9">
        <f t="shared" si="29"/>
        <v>573449.91999999981</v>
      </c>
    </row>
    <row r="277" spans="8:15">
      <c r="H277" s="6">
        <f>IF(AND(L276&gt;0.005,H276&lt;&gt;""),275,"")</f>
        <v>275</v>
      </c>
      <c r="I277" s="7">
        <f>IF(H277&lt;&gt;"",EDATE(StartDate,274),"")</f>
        <v>54363</v>
      </c>
      <c r="J277" s="8">
        <f t="shared" si="24"/>
        <v>75.099999999999994</v>
      </c>
      <c r="K277" s="8">
        <f t="shared" si="25"/>
        <v>4439.9000000000005</v>
      </c>
      <c r="L277" s="8">
        <f t="shared" si="26"/>
        <v>10900.02</v>
      </c>
      <c r="M277" s="9">
        <f t="shared" si="27"/>
        <v>4164.43</v>
      </c>
      <c r="N277" s="9">
        <f t="shared" si="28"/>
        <v>693099.98000000021</v>
      </c>
      <c r="O277" s="9">
        <f t="shared" si="29"/>
        <v>573525.01999999979</v>
      </c>
    </row>
    <row r="278" spans="8:15">
      <c r="H278" s="11">
        <f>IF(AND(L277&gt;0.005,H277&lt;&gt;""),276,"")</f>
        <v>276</v>
      </c>
      <c r="I278" s="12">
        <f>IF(H278&lt;&gt;"",EDATE(StartDate,275),"")</f>
        <v>54393</v>
      </c>
      <c r="J278" s="13">
        <f t="shared" si="24"/>
        <v>53.36</v>
      </c>
      <c r="K278" s="13">
        <f t="shared" si="25"/>
        <v>4461.6400000000003</v>
      </c>
      <c r="L278" s="13">
        <f t="shared" si="26"/>
        <v>6438.38</v>
      </c>
      <c r="M278" s="9">
        <f t="shared" si="27"/>
        <v>4164.43</v>
      </c>
      <c r="N278" s="9">
        <f t="shared" si="28"/>
        <v>697561.62000000023</v>
      </c>
      <c r="O278" s="9">
        <f t="shared" si="29"/>
        <v>573578.37999999977</v>
      </c>
    </row>
    <row r="279" spans="8:15">
      <c r="H279" s="6">
        <f>IF(AND(L278&gt;0.005,H278&lt;&gt;""),277,"")</f>
        <v>277</v>
      </c>
      <c r="I279" s="7">
        <f>IF(H279&lt;&gt;"",EDATE(StartDate,276),"")</f>
        <v>54424</v>
      </c>
      <c r="J279" s="8">
        <f t="shared" si="24"/>
        <v>31.52</v>
      </c>
      <c r="K279" s="8">
        <f t="shared" si="25"/>
        <v>4483.4799999999996</v>
      </c>
      <c r="L279" s="8">
        <f t="shared" si="26"/>
        <v>1954.9</v>
      </c>
      <c r="M279" s="9">
        <f t="shared" si="27"/>
        <v>4164.43</v>
      </c>
      <c r="N279" s="9">
        <f t="shared" si="28"/>
        <v>702045.10000000021</v>
      </c>
      <c r="O279" s="9">
        <f t="shared" si="29"/>
        <v>573609.89999999979</v>
      </c>
    </row>
    <row r="280" spans="8:15">
      <c r="H280" s="11">
        <f>IF(AND(L279&gt;0.005,H279&lt;&gt;""),278,"")</f>
        <v>278</v>
      </c>
      <c r="I280" s="12">
        <f>IF(H280&lt;&gt;"",EDATE(StartDate,277),"")</f>
        <v>54455</v>
      </c>
      <c r="J280" s="13">
        <f t="shared" si="24"/>
        <v>9.57</v>
      </c>
      <c r="K280" s="13">
        <f t="shared" si="25"/>
        <v>1954.9</v>
      </c>
      <c r="L280" s="13">
        <f t="shared" si="26"/>
        <v>0</v>
      </c>
      <c r="M280" s="9">
        <f t="shared" si="27"/>
        <v>1964.47</v>
      </c>
      <c r="N280" s="9">
        <f t="shared" si="28"/>
        <v>704000.00000000023</v>
      </c>
      <c r="O280" s="9">
        <f t="shared" si="29"/>
        <v>573619.46999999974</v>
      </c>
    </row>
    <row r="281" spans="8:15">
      <c r="H281" s="6" t="str">
        <f>IF(AND(L280&gt;0.005,H280&lt;&gt;""),279,"")</f>
        <v/>
      </c>
      <c r="I281" s="7" t="str">
        <f>IF(H281&lt;&gt;"",EDATE(StartDate,278),"")</f>
        <v/>
      </c>
      <c r="J281" s="8" t="str">
        <f t="shared" si="24"/>
        <v/>
      </c>
      <c r="K281" s="8" t="str">
        <f t="shared" si="25"/>
        <v/>
      </c>
      <c r="L281" s="8" t="str">
        <f t="shared" si="26"/>
        <v/>
      </c>
      <c r="M281" s="9" t="str">
        <f t="shared" si="27"/>
        <v/>
      </c>
      <c r="N281" s="9" t="str">
        <f t="shared" si="28"/>
        <v/>
      </c>
      <c r="O281" s="9" t="str">
        <f t="shared" si="29"/>
        <v/>
      </c>
    </row>
    <row r="282" spans="8:15">
      <c r="H282" s="11" t="str">
        <f>IF(AND(L281&gt;0.005,H281&lt;&gt;""),280,"")</f>
        <v/>
      </c>
      <c r="I282" s="12" t="str">
        <f>IF(H282&lt;&gt;"",EDATE(StartDate,279),"")</f>
        <v/>
      </c>
      <c r="J282" s="13" t="str">
        <f t="shared" si="24"/>
        <v/>
      </c>
      <c r="K282" s="13" t="str">
        <f t="shared" si="25"/>
        <v/>
      </c>
      <c r="L282" s="13" t="str">
        <f t="shared" si="26"/>
        <v/>
      </c>
      <c r="M282" s="9" t="str">
        <f t="shared" si="27"/>
        <v/>
      </c>
      <c r="N282" s="9" t="str">
        <f t="shared" si="28"/>
        <v/>
      </c>
      <c r="O282" s="9" t="str">
        <f t="shared" si="29"/>
        <v/>
      </c>
    </row>
    <row r="283" spans="8:15">
      <c r="H283" s="6" t="str">
        <f>IF(AND(L282&gt;0.005,H282&lt;&gt;""),281,"")</f>
        <v/>
      </c>
      <c r="I283" s="7" t="str">
        <f>IF(H283&lt;&gt;"",EDATE(StartDate,280),"")</f>
        <v/>
      </c>
      <c r="J283" s="8" t="str">
        <f t="shared" si="24"/>
        <v/>
      </c>
      <c r="K283" s="8" t="str">
        <f t="shared" si="25"/>
        <v/>
      </c>
      <c r="L283" s="8" t="str">
        <f t="shared" si="26"/>
        <v/>
      </c>
      <c r="M283" s="9" t="str">
        <f t="shared" si="27"/>
        <v/>
      </c>
      <c r="N283" s="9" t="str">
        <f t="shared" si="28"/>
        <v/>
      </c>
      <c r="O283" s="9" t="str">
        <f t="shared" si="29"/>
        <v/>
      </c>
    </row>
    <row r="284" spans="8:15">
      <c r="H284" s="11" t="str">
        <f>IF(AND(L283&gt;0.005,H283&lt;&gt;""),282,"")</f>
        <v/>
      </c>
      <c r="I284" s="12" t="str">
        <f>IF(H284&lt;&gt;"",EDATE(StartDate,281),"")</f>
        <v/>
      </c>
      <c r="J284" s="13" t="str">
        <f t="shared" si="24"/>
        <v/>
      </c>
      <c r="K284" s="13" t="str">
        <f t="shared" si="25"/>
        <v/>
      </c>
      <c r="L284" s="13" t="str">
        <f t="shared" si="26"/>
        <v/>
      </c>
      <c r="M284" s="9" t="str">
        <f t="shared" si="27"/>
        <v/>
      </c>
      <c r="N284" s="9" t="str">
        <f t="shared" si="28"/>
        <v/>
      </c>
      <c r="O284" s="9" t="str">
        <f t="shared" si="29"/>
        <v/>
      </c>
    </row>
    <row r="285" spans="8:15">
      <c r="H285" s="6" t="str">
        <f>IF(AND(L284&gt;0.005,H284&lt;&gt;""),283,"")</f>
        <v/>
      </c>
      <c r="I285" s="7" t="str">
        <f>IF(H285&lt;&gt;"",EDATE(StartDate,282),"")</f>
        <v/>
      </c>
      <c r="J285" s="8" t="str">
        <f t="shared" si="24"/>
        <v/>
      </c>
      <c r="K285" s="8" t="str">
        <f t="shared" si="25"/>
        <v/>
      </c>
      <c r="L285" s="8" t="str">
        <f t="shared" si="26"/>
        <v/>
      </c>
      <c r="M285" s="9" t="str">
        <f t="shared" si="27"/>
        <v/>
      </c>
      <c r="N285" s="9" t="str">
        <f t="shared" si="28"/>
        <v/>
      </c>
      <c r="O285" s="9" t="str">
        <f t="shared" si="29"/>
        <v/>
      </c>
    </row>
    <row r="286" spans="8:15">
      <c r="H286" s="11" t="str">
        <f>IF(AND(L285&gt;0.005,H285&lt;&gt;""),284,"")</f>
        <v/>
      </c>
      <c r="I286" s="12" t="str">
        <f>IF(H286&lt;&gt;"",EDATE(StartDate,283),"")</f>
        <v/>
      </c>
      <c r="J286" s="13" t="str">
        <f t="shared" si="24"/>
        <v/>
      </c>
      <c r="K286" s="13" t="str">
        <f t="shared" si="25"/>
        <v/>
      </c>
      <c r="L286" s="13" t="str">
        <f t="shared" si="26"/>
        <v/>
      </c>
      <c r="M286" s="9" t="str">
        <f t="shared" si="27"/>
        <v/>
      </c>
      <c r="N286" s="9" t="str">
        <f t="shared" si="28"/>
        <v/>
      </c>
      <c r="O286" s="9" t="str">
        <f t="shared" si="29"/>
        <v/>
      </c>
    </row>
    <row r="287" spans="8:15">
      <c r="H287" s="6" t="str">
        <f>IF(AND(L286&gt;0.005,H286&lt;&gt;""),285,"")</f>
        <v/>
      </c>
      <c r="I287" s="7" t="str">
        <f>IF(H287&lt;&gt;"",EDATE(StartDate,284),"")</f>
        <v/>
      </c>
      <c r="J287" s="8" t="str">
        <f t="shared" si="24"/>
        <v/>
      </c>
      <c r="K287" s="8" t="str">
        <f t="shared" si="25"/>
        <v/>
      </c>
      <c r="L287" s="8" t="str">
        <f t="shared" si="26"/>
        <v/>
      </c>
      <c r="M287" s="9" t="str">
        <f t="shared" si="27"/>
        <v/>
      </c>
      <c r="N287" s="9" t="str">
        <f t="shared" si="28"/>
        <v/>
      </c>
      <c r="O287" s="9" t="str">
        <f t="shared" si="29"/>
        <v/>
      </c>
    </row>
    <row r="288" spans="8:15">
      <c r="H288" s="11" t="str">
        <f>IF(AND(L287&gt;0.005,H287&lt;&gt;""),286,"")</f>
        <v/>
      </c>
      <c r="I288" s="12" t="str">
        <f>IF(H288&lt;&gt;"",EDATE(StartDate,285),"")</f>
        <v/>
      </c>
      <c r="J288" s="13" t="str">
        <f t="shared" si="24"/>
        <v/>
      </c>
      <c r="K288" s="13" t="str">
        <f t="shared" si="25"/>
        <v/>
      </c>
      <c r="L288" s="13" t="str">
        <f t="shared" si="26"/>
        <v/>
      </c>
      <c r="M288" s="9" t="str">
        <f t="shared" si="27"/>
        <v/>
      </c>
      <c r="N288" s="9" t="str">
        <f t="shared" si="28"/>
        <v/>
      </c>
      <c r="O288" s="9" t="str">
        <f t="shared" si="29"/>
        <v/>
      </c>
    </row>
    <row r="289" spans="8:15">
      <c r="H289" s="6" t="str">
        <f>IF(AND(L288&gt;0.005,H288&lt;&gt;""),287,"")</f>
        <v/>
      </c>
      <c r="I289" s="7" t="str">
        <f>IF(H289&lt;&gt;"",EDATE(StartDate,286),"")</f>
        <v/>
      </c>
      <c r="J289" s="8" t="str">
        <f t="shared" si="24"/>
        <v/>
      </c>
      <c r="K289" s="8" t="str">
        <f t="shared" si="25"/>
        <v/>
      </c>
      <c r="L289" s="8" t="str">
        <f t="shared" si="26"/>
        <v/>
      </c>
      <c r="M289" s="9" t="str">
        <f t="shared" si="27"/>
        <v/>
      </c>
      <c r="N289" s="9" t="str">
        <f t="shared" si="28"/>
        <v/>
      </c>
      <c r="O289" s="9" t="str">
        <f t="shared" si="29"/>
        <v/>
      </c>
    </row>
    <row r="290" spans="8:15">
      <c r="H290" s="11" t="str">
        <f>IF(AND(L289&gt;0.005,H289&lt;&gt;""),288,"")</f>
        <v/>
      </c>
      <c r="I290" s="12" t="str">
        <f>IF(H290&lt;&gt;"",EDATE(StartDate,287),"")</f>
        <v/>
      </c>
      <c r="J290" s="13" t="str">
        <f t="shared" si="24"/>
        <v/>
      </c>
      <c r="K290" s="13" t="str">
        <f t="shared" si="25"/>
        <v/>
      </c>
      <c r="L290" s="13" t="str">
        <f t="shared" si="26"/>
        <v/>
      </c>
      <c r="M290" s="9" t="str">
        <f t="shared" si="27"/>
        <v/>
      </c>
      <c r="N290" s="9" t="str">
        <f t="shared" si="28"/>
        <v/>
      </c>
      <c r="O290" s="9" t="str">
        <f t="shared" si="29"/>
        <v/>
      </c>
    </row>
    <row r="291" spans="8:15">
      <c r="H291" s="6" t="str">
        <f>IF(AND(L290&gt;0.005,H290&lt;&gt;""),289,"")</f>
        <v/>
      </c>
      <c r="I291" s="7" t="str">
        <f>IF(H291&lt;&gt;"",EDATE(StartDate,288),"")</f>
        <v/>
      </c>
      <c r="J291" s="8" t="str">
        <f t="shared" si="24"/>
        <v/>
      </c>
      <c r="K291" s="8" t="str">
        <f t="shared" si="25"/>
        <v/>
      </c>
      <c r="L291" s="8" t="str">
        <f t="shared" si="26"/>
        <v/>
      </c>
      <c r="M291" s="9" t="str">
        <f t="shared" si="27"/>
        <v/>
      </c>
      <c r="N291" s="9" t="str">
        <f t="shared" si="28"/>
        <v/>
      </c>
      <c r="O291" s="9" t="str">
        <f t="shared" si="29"/>
        <v/>
      </c>
    </row>
    <row r="292" spans="8:15">
      <c r="H292" s="11" t="str">
        <f>IF(AND(L291&gt;0.005,H291&lt;&gt;""),290,"")</f>
        <v/>
      </c>
      <c r="I292" s="12" t="str">
        <f>IF(H292&lt;&gt;"",EDATE(StartDate,289),"")</f>
        <v/>
      </c>
      <c r="J292" s="13" t="str">
        <f t="shared" si="24"/>
        <v/>
      </c>
      <c r="K292" s="13" t="str">
        <f t="shared" si="25"/>
        <v/>
      </c>
      <c r="L292" s="13" t="str">
        <f t="shared" si="26"/>
        <v/>
      </c>
      <c r="M292" s="9" t="str">
        <f t="shared" si="27"/>
        <v/>
      </c>
      <c r="N292" s="9" t="str">
        <f t="shared" si="28"/>
        <v/>
      </c>
      <c r="O292" s="9" t="str">
        <f t="shared" si="29"/>
        <v/>
      </c>
    </row>
    <row r="293" spans="8:15">
      <c r="H293" s="6" t="str">
        <f>IF(AND(L292&gt;0.005,H292&lt;&gt;""),291,"")</f>
        <v/>
      </c>
      <c r="I293" s="7" t="str">
        <f>IF(H293&lt;&gt;"",EDATE(StartDate,290),"")</f>
        <v/>
      </c>
      <c r="J293" s="8" t="str">
        <f t="shared" si="24"/>
        <v/>
      </c>
      <c r="K293" s="8" t="str">
        <f t="shared" si="25"/>
        <v/>
      </c>
      <c r="L293" s="8" t="str">
        <f t="shared" si="26"/>
        <v/>
      </c>
      <c r="M293" s="9" t="str">
        <f t="shared" si="27"/>
        <v/>
      </c>
      <c r="N293" s="9" t="str">
        <f t="shared" si="28"/>
        <v/>
      </c>
      <c r="O293" s="9" t="str">
        <f t="shared" si="29"/>
        <v/>
      </c>
    </row>
    <row r="294" spans="8:15">
      <c r="H294" s="11" t="str">
        <f>IF(AND(L293&gt;0.005,H293&lt;&gt;""),292,"")</f>
        <v/>
      </c>
      <c r="I294" s="12" t="str">
        <f>IF(H294&lt;&gt;"",EDATE(StartDate,291),"")</f>
        <v/>
      </c>
      <c r="J294" s="13" t="str">
        <f t="shared" si="24"/>
        <v/>
      </c>
      <c r="K294" s="13" t="str">
        <f t="shared" si="25"/>
        <v/>
      </c>
      <c r="L294" s="13" t="str">
        <f t="shared" si="26"/>
        <v/>
      </c>
      <c r="M294" s="9" t="str">
        <f t="shared" si="27"/>
        <v/>
      </c>
      <c r="N294" s="9" t="str">
        <f t="shared" si="28"/>
        <v/>
      </c>
      <c r="O294" s="9" t="str">
        <f t="shared" si="29"/>
        <v/>
      </c>
    </row>
    <row r="295" spans="8:15">
      <c r="H295" s="6" t="str">
        <f>IF(AND(L294&gt;0.005,H294&lt;&gt;""),293,"")</f>
        <v/>
      </c>
      <c r="I295" s="7" t="str">
        <f>IF(H295&lt;&gt;"",EDATE(StartDate,292),"")</f>
        <v/>
      </c>
      <c r="J295" s="8" t="str">
        <f t="shared" si="24"/>
        <v/>
      </c>
      <c r="K295" s="8" t="str">
        <f t="shared" si="25"/>
        <v/>
      </c>
      <c r="L295" s="8" t="str">
        <f t="shared" si="26"/>
        <v/>
      </c>
      <c r="M295" s="9" t="str">
        <f t="shared" si="27"/>
        <v/>
      </c>
      <c r="N295" s="9" t="str">
        <f t="shared" si="28"/>
        <v/>
      </c>
      <c r="O295" s="9" t="str">
        <f t="shared" si="29"/>
        <v/>
      </c>
    </row>
    <row r="296" spans="8:15">
      <c r="H296" s="11" t="str">
        <f>IF(AND(L295&gt;0.005,H295&lt;&gt;""),294,"")</f>
        <v/>
      </c>
      <c r="I296" s="12" t="str">
        <f>IF(H296&lt;&gt;"",EDATE(StartDate,293),"")</f>
        <v/>
      </c>
      <c r="J296" s="13" t="str">
        <f t="shared" si="24"/>
        <v/>
      </c>
      <c r="K296" s="13" t="str">
        <f t="shared" si="25"/>
        <v/>
      </c>
      <c r="L296" s="13" t="str">
        <f t="shared" si="26"/>
        <v/>
      </c>
      <c r="M296" s="9" t="str">
        <f t="shared" si="27"/>
        <v/>
      </c>
      <c r="N296" s="9" t="str">
        <f t="shared" si="28"/>
        <v/>
      </c>
      <c r="O296" s="9" t="str">
        <f t="shared" si="29"/>
        <v/>
      </c>
    </row>
    <row r="297" spans="8:15">
      <c r="H297" s="6" t="str">
        <f>IF(AND(L296&gt;0.005,H296&lt;&gt;""),295,"")</f>
        <v/>
      </c>
      <c r="I297" s="7" t="str">
        <f>IF(H297&lt;&gt;"",EDATE(StartDate,294),"")</f>
        <v/>
      </c>
      <c r="J297" s="8" t="str">
        <f t="shared" si="24"/>
        <v/>
      </c>
      <c r="K297" s="8" t="str">
        <f t="shared" si="25"/>
        <v/>
      </c>
      <c r="L297" s="8" t="str">
        <f t="shared" si="26"/>
        <v/>
      </c>
      <c r="M297" s="9" t="str">
        <f t="shared" si="27"/>
        <v/>
      </c>
      <c r="N297" s="9" t="str">
        <f t="shared" si="28"/>
        <v/>
      </c>
      <c r="O297" s="9" t="str">
        <f t="shared" si="29"/>
        <v/>
      </c>
    </row>
    <row r="298" spans="8:15">
      <c r="H298" s="11" t="str">
        <f>IF(AND(L297&gt;0.005,H297&lt;&gt;""),296,"")</f>
        <v/>
      </c>
      <c r="I298" s="12" t="str">
        <f>IF(H298&lt;&gt;"",EDATE(StartDate,295),"")</f>
        <v/>
      </c>
      <c r="J298" s="13" t="str">
        <f t="shared" si="24"/>
        <v/>
      </c>
      <c r="K298" s="13" t="str">
        <f t="shared" si="25"/>
        <v/>
      </c>
      <c r="L298" s="13" t="str">
        <f t="shared" si="26"/>
        <v/>
      </c>
      <c r="M298" s="9" t="str">
        <f t="shared" si="27"/>
        <v/>
      </c>
      <c r="N298" s="9" t="str">
        <f t="shared" si="28"/>
        <v/>
      </c>
      <c r="O298" s="9" t="str">
        <f t="shared" si="29"/>
        <v/>
      </c>
    </row>
    <row r="299" spans="8:15">
      <c r="H299" s="6" t="str">
        <f>IF(AND(L298&gt;0.005,H298&lt;&gt;""),297,"")</f>
        <v/>
      </c>
      <c r="I299" s="7" t="str">
        <f>IF(H299&lt;&gt;"",EDATE(StartDate,296),"")</f>
        <v/>
      </c>
      <c r="J299" s="8" t="str">
        <f t="shared" si="24"/>
        <v/>
      </c>
      <c r="K299" s="8" t="str">
        <f t="shared" si="25"/>
        <v/>
      </c>
      <c r="L299" s="8" t="str">
        <f t="shared" si="26"/>
        <v/>
      </c>
      <c r="M299" s="9" t="str">
        <f t="shared" si="27"/>
        <v/>
      </c>
      <c r="N299" s="9" t="str">
        <f t="shared" si="28"/>
        <v/>
      </c>
      <c r="O299" s="9" t="str">
        <f t="shared" si="29"/>
        <v/>
      </c>
    </row>
    <row r="300" spans="8:15">
      <c r="H300" s="11" t="str">
        <f>IF(AND(L299&gt;0.005,H299&lt;&gt;""),298,"")</f>
        <v/>
      </c>
      <c r="I300" s="12" t="str">
        <f>IF(H300&lt;&gt;"",EDATE(StartDate,297),"")</f>
        <v/>
      </c>
      <c r="J300" s="13" t="str">
        <f t="shared" si="24"/>
        <v/>
      </c>
      <c r="K300" s="13" t="str">
        <f t="shared" si="25"/>
        <v/>
      </c>
      <c r="L300" s="13" t="str">
        <f t="shared" si="26"/>
        <v/>
      </c>
      <c r="M300" s="9" t="str">
        <f t="shared" si="27"/>
        <v/>
      </c>
      <c r="N300" s="9" t="str">
        <f t="shared" si="28"/>
        <v/>
      </c>
      <c r="O300" s="9" t="str">
        <f t="shared" si="29"/>
        <v/>
      </c>
    </row>
    <row r="301" spans="8:15">
      <c r="H301" s="6" t="str">
        <f>IF(AND(L300&gt;0.005,H300&lt;&gt;""),299,"")</f>
        <v/>
      </c>
      <c r="I301" s="7" t="str">
        <f>IF(H301&lt;&gt;"",EDATE(StartDate,298),"")</f>
        <v/>
      </c>
      <c r="J301" s="8" t="str">
        <f t="shared" si="24"/>
        <v/>
      </c>
      <c r="K301" s="8" t="str">
        <f t="shared" si="25"/>
        <v/>
      </c>
      <c r="L301" s="8" t="str">
        <f t="shared" si="26"/>
        <v/>
      </c>
      <c r="M301" s="9" t="str">
        <f t="shared" si="27"/>
        <v/>
      </c>
      <c r="N301" s="9" t="str">
        <f t="shared" si="28"/>
        <v/>
      </c>
      <c r="O301" s="9" t="str">
        <f t="shared" si="29"/>
        <v/>
      </c>
    </row>
    <row r="302" spans="8:15">
      <c r="H302" s="11" t="str">
        <f>IF(AND(L301&gt;0.005,H301&lt;&gt;""),300,"")</f>
        <v/>
      </c>
      <c r="I302" s="12" t="str">
        <f>IF(H302&lt;&gt;"",EDATE(StartDate,299),"")</f>
        <v/>
      </c>
      <c r="J302" s="13" t="str">
        <f t="shared" si="24"/>
        <v/>
      </c>
      <c r="K302" s="13" t="str">
        <f t="shared" si="25"/>
        <v/>
      </c>
      <c r="L302" s="13" t="str">
        <f t="shared" si="26"/>
        <v/>
      </c>
      <c r="M302" s="9" t="str">
        <f t="shared" si="27"/>
        <v/>
      </c>
      <c r="N302" s="9" t="str">
        <f t="shared" si="28"/>
        <v/>
      </c>
      <c r="O302" s="9" t="str">
        <f t="shared" si="29"/>
        <v/>
      </c>
    </row>
    <row r="303" spans="8:15">
      <c r="H303" s="6" t="str">
        <f>IF(AND(L302&gt;0.005,H302&lt;&gt;""),301,"")</f>
        <v/>
      </c>
      <c r="I303" s="7" t="str">
        <f>IF(H303&lt;&gt;"",EDATE(StartDate,300),"")</f>
        <v/>
      </c>
      <c r="J303" s="8" t="str">
        <f t="shared" si="24"/>
        <v/>
      </c>
      <c r="K303" s="8" t="str">
        <f t="shared" si="25"/>
        <v/>
      </c>
      <c r="L303" s="8" t="str">
        <f t="shared" si="26"/>
        <v/>
      </c>
      <c r="M303" s="9" t="str">
        <f t="shared" si="27"/>
        <v/>
      </c>
      <c r="N303" s="9" t="str">
        <f t="shared" si="28"/>
        <v/>
      </c>
      <c r="O303" s="9" t="str">
        <f t="shared" si="29"/>
        <v/>
      </c>
    </row>
    <row r="304" spans="8:15">
      <c r="H304" s="11" t="str">
        <f>IF(AND(L303&gt;0.005,H303&lt;&gt;""),302,"")</f>
        <v/>
      </c>
      <c r="I304" s="12" t="str">
        <f>IF(H304&lt;&gt;"",EDATE(StartDate,301),"")</f>
        <v/>
      </c>
      <c r="J304" s="13" t="str">
        <f t="shared" si="24"/>
        <v/>
      </c>
      <c r="K304" s="13" t="str">
        <f t="shared" si="25"/>
        <v/>
      </c>
      <c r="L304" s="13" t="str">
        <f t="shared" si="26"/>
        <v/>
      </c>
      <c r="M304" s="9" t="str">
        <f t="shared" si="27"/>
        <v/>
      </c>
      <c r="N304" s="9" t="str">
        <f t="shared" si="28"/>
        <v/>
      </c>
      <c r="O304" s="9" t="str">
        <f t="shared" si="29"/>
        <v/>
      </c>
    </row>
    <row r="305" spans="8:15">
      <c r="H305" s="6" t="str">
        <f>IF(AND(L304&gt;0.005,H304&lt;&gt;""),303,"")</f>
        <v/>
      </c>
      <c r="I305" s="7" t="str">
        <f>IF(H305&lt;&gt;"",EDATE(StartDate,302),"")</f>
        <v/>
      </c>
      <c r="J305" s="8" t="str">
        <f t="shared" si="24"/>
        <v/>
      </c>
      <c r="K305" s="8" t="str">
        <f t="shared" si="25"/>
        <v/>
      </c>
      <c r="L305" s="8" t="str">
        <f t="shared" si="26"/>
        <v/>
      </c>
      <c r="M305" s="9" t="str">
        <f t="shared" si="27"/>
        <v/>
      </c>
      <c r="N305" s="9" t="str">
        <f t="shared" si="28"/>
        <v/>
      </c>
      <c r="O305" s="9" t="str">
        <f t="shared" si="29"/>
        <v/>
      </c>
    </row>
    <row r="306" spans="8:15">
      <c r="H306" s="11" t="str">
        <f>IF(AND(L305&gt;0.005,H305&lt;&gt;""),304,"")</f>
        <v/>
      </c>
      <c r="I306" s="12" t="str">
        <f>IF(H306&lt;&gt;"",EDATE(StartDate,303),"")</f>
        <v/>
      </c>
      <c r="J306" s="13" t="str">
        <f t="shared" si="24"/>
        <v/>
      </c>
      <c r="K306" s="13" t="str">
        <f t="shared" si="25"/>
        <v/>
      </c>
      <c r="L306" s="13" t="str">
        <f t="shared" si="26"/>
        <v/>
      </c>
      <c r="M306" s="9" t="str">
        <f t="shared" si="27"/>
        <v/>
      </c>
      <c r="N306" s="9" t="str">
        <f t="shared" si="28"/>
        <v/>
      </c>
      <c r="O306" s="9" t="str">
        <f t="shared" si="29"/>
        <v/>
      </c>
    </row>
    <row r="307" spans="8:15">
      <c r="H307" s="6" t="str">
        <f>IF(AND(L306&gt;0.005,H306&lt;&gt;""),305,"")</f>
        <v/>
      </c>
      <c r="I307" s="7" t="str">
        <f>IF(H307&lt;&gt;"",EDATE(StartDate,304),"")</f>
        <v/>
      </c>
      <c r="J307" s="8" t="str">
        <f t="shared" si="24"/>
        <v/>
      </c>
      <c r="K307" s="8" t="str">
        <f t="shared" si="25"/>
        <v/>
      </c>
      <c r="L307" s="8" t="str">
        <f t="shared" si="26"/>
        <v/>
      </c>
      <c r="M307" s="9" t="str">
        <f t="shared" si="27"/>
        <v/>
      </c>
      <c r="N307" s="9" t="str">
        <f t="shared" si="28"/>
        <v/>
      </c>
      <c r="O307" s="9" t="str">
        <f t="shared" si="29"/>
        <v/>
      </c>
    </row>
    <row r="308" spans="8:15">
      <c r="H308" s="11" t="str">
        <f>IF(AND(L307&gt;0.005,H307&lt;&gt;""),306,"")</f>
        <v/>
      </c>
      <c r="I308" s="12" t="str">
        <f>IF(H308&lt;&gt;"",EDATE(StartDate,305),"")</f>
        <v/>
      </c>
      <c r="J308" s="13" t="str">
        <f t="shared" si="24"/>
        <v/>
      </c>
      <c r="K308" s="13" t="str">
        <f t="shared" si="25"/>
        <v/>
      </c>
      <c r="L308" s="13" t="str">
        <f t="shared" si="26"/>
        <v/>
      </c>
      <c r="M308" s="9" t="str">
        <f t="shared" si="27"/>
        <v/>
      </c>
      <c r="N308" s="9" t="str">
        <f t="shared" si="28"/>
        <v/>
      </c>
      <c r="O308" s="9" t="str">
        <f t="shared" si="29"/>
        <v/>
      </c>
    </row>
    <row r="309" spans="8:15">
      <c r="H309" s="6" t="str">
        <f>IF(AND(L308&gt;0.005,H308&lt;&gt;""),307,"")</f>
        <v/>
      </c>
      <c r="I309" s="7" t="str">
        <f>IF(H309&lt;&gt;"",EDATE(StartDate,306),"")</f>
        <v/>
      </c>
      <c r="J309" s="8" t="str">
        <f t="shared" si="24"/>
        <v/>
      </c>
      <c r="K309" s="8" t="str">
        <f t="shared" si="25"/>
        <v/>
      </c>
      <c r="L309" s="8" t="str">
        <f t="shared" si="26"/>
        <v/>
      </c>
      <c r="M309" s="9" t="str">
        <f t="shared" si="27"/>
        <v/>
      </c>
      <c r="N309" s="9" t="str">
        <f t="shared" si="28"/>
        <v/>
      </c>
      <c r="O309" s="9" t="str">
        <f t="shared" si="29"/>
        <v/>
      </c>
    </row>
    <row r="310" spans="8:15">
      <c r="H310" s="11" t="str">
        <f>IF(AND(L309&gt;0.005,H309&lt;&gt;""),308,"")</f>
        <v/>
      </c>
      <c r="I310" s="12" t="str">
        <f>IF(H310&lt;&gt;"",EDATE(StartDate,307),"")</f>
        <v/>
      </c>
      <c r="J310" s="13" t="str">
        <f t="shared" si="24"/>
        <v/>
      </c>
      <c r="K310" s="13" t="str">
        <f t="shared" si="25"/>
        <v/>
      </c>
      <c r="L310" s="13" t="str">
        <f t="shared" si="26"/>
        <v/>
      </c>
      <c r="M310" s="9" t="str">
        <f t="shared" si="27"/>
        <v/>
      </c>
      <c r="N310" s="9" t="str">
        <f t="shared" si="28"/>
        <v/>
      </c>
      <c r="O310" s="9" t="str">
        <f t="shared" si="29"/>
        <v/>
      </c>
    </row>
    <row r="311" spans="8:15">
      <c r="H311" s="6" t="str">
        <f>IF(AND(L310&gt;0.005,H310&lt;&gt;""),309,"")</f>
        <v/>
      </c>
      <c r="I311" s="7" t="str">
        <f>IF(H311&lt;&gt;"",EDATE(StartDate,308),"")</f>
        <v/>
      </c>
      <c r="J311" s="8" t="str">
        <f t="shared" si="24"/>
        <v/>
      </c>
      <c r="K311" s="8" t="str">
        <f t="shared" si="25"/>
        <v/>
      </c>
      <c r="L311" s="8" t="str">
        <f t="shared" si="26"/>
        <v/>
      </c>
      <c r="M311" s="9" t="str">
        <f t="shared" si="27"/>
        <v/>
      </c>
      <c r="N311" s="9" t="str">
        <f t="shared" si="28"/>
        <v/>
      </c>
      <c r="O311" s="9" t="str">
        <f t="shared" si="29"/>
        <v/>
      </c>
    </row>
    <row r="312" spans="8:15">
      <c r="H312" s="11" t="str">
        <f>IF(AND(L311&gt;0.005,H311&lt;&gt;""),310,"")</f>
        <v/>
      </c>
      <c r="I312" s="12" t="str">
        <f>IF(H312&lt;&gt;"",EDATE(StartDate,309),"")</f>
        <v/>
      </c>
      <c r="J312" s="13" t="str">
        <f t="shared" si="24"/>
        <v/>
      </c>
      <c r="K312" s="13" t="str">
        <f t="shared" si="25"/>
        <v/>
      </c>
      <c r="L312" s="13" t="str">
        <f t="shared" si="26"/>
        <v/>
      </c>
      <c r="M312" s="9" t="str">
        <f t="shared" si="27"/>
        <v/>
      </c>
      <c r="N312" s="9" t="str">
        <f t="shared" si="28"/>
        <v/>
      </c>
      <c r="O312" s="9" t="str">
        <f t="shared" si="29"/>
        <v/>
      </c>
    </row>
    <row r="313" spans="8:15">
      <c r="H313" s="6" t="str">
        <f>IF(AND(L312&gt;0.005,H312&lt;&gt;""),311,"")</f>
        <v/>
      </c>
      <c r="I313" s="7" t="str">
        <f>IF(H313&lt;&gt;"",EDATE(StartDate,310),"")</f>
        <v/>
      </c>
      <c r="J313" s="8" t="str">
        <f t="shared" si="24"/>
        <v/>
      </c>
      <c r="K313" s="8" t="str">
        <f t="shared" si="25"/>
        <v/>
      </c>
      <c r="L313" s="8" t="str">
        <f t="shared" si="26"/>
        <v/>
      </c>
      <c r="M313" s="9" t="str">
        <f t="shared" si="27"/>
        <v/>
      </c>
      <c r="N313" s="9" t="str">
        <f t="shared" si="28"/>
        <v/>
      </c>
      <c r="O313" s="9" t="str">
        <f t="shared" si="29"/>
        <v/>
      </c>
    </row>
    <row r="314" spans="8:15">
      <c r="H314" s="11" t="str">
        <f>IF(AND(L313&gt;0.005,H313&lt;&gt;""),312,"")</f>
        <v/>
      </c>
      <c r="I314" s="12" t="str">
        <f>IF(H314&lt;&gt;"",EDATE(StartDate,311),"")</f>
        <v/>
      </c>
      <c r="J314" s="13" t="str">
        <f t="shared" si="24"/>
        <v/>
      </c>
      <c r="K314" s="13" t="str">
        <f t="shared" si="25"/>
        <v/>
      </c>
      <c r="L314" s="13" t="str">
        <f t="shared" si="26"/>
        <v/>
      </c>
      <c r="M314" s="9" t="str">
        <f t="shared" si="27"/>
        <v/>
      </c>
      <c r="N314" s="9" t="str">
        <f t="shared" si="28"/>
        <v/>
      </c>
      <c r="O314" s="9" t="str">
        <f t="shared" si="29"/>
        <v/>
      </c>
    </row>
    <row r="315" spans="8:15">
      <c r="H315" s="6" t="str">
        <f>IF(AND(L314&gt;0.005,H314&lt;&gt;""),313,"")</f>
        <v/>
      </c>
      <c r="I315" s="7" t="str">
        <f>IF(H315&lt;&gt;"",EDATE(StartDate,312),"")</f>
        <v/>
      </c>
      <c r="J315" s="8" t="str">
        <f t="shared" si="24"/>
        <v/>
      </c>
      <c r="K315" s="8" t="str">
        <f t="shared" si="25"/>
        <v/>
      </c>
      <c r="L315" s="8" t="str">
        <f t="shared" si="26"/>
        <v/>
      </c>
      <c r="M315" s="9" t="str">
        <f t="shared" si="27"/>
        <v/>
      </c>
      <c r="N315" s="9" t="str">
        <f t="shared" si="28"/>
        <v/>
      </c>
      <c r="O315" s="9" t="str">
        <f t="shared" si="29"/>
        <v/>
      </c>
    </row>
    <row r="316" spans="8:15">
      <c r="H316" s="11" t="str">
        <f>IF(AND(L315&gt;0.005,H315&lt;&gt;""),314,"")</f>
        <v/>
      </c>
      <c r="I316" s="12" t="str">
        <f>IF(H316&lt;&gt;"",EDATE(StartDate,313),"")</f>
        <v/>
      </c>
      <c r="J316" s="13" t="str">
        <f t="shared" si="24"/>
        <v/>
      </c>
      <c r="K316" s="13" t="str">
        <f t="shared" si="25"/>
        <v/>
      </c>
      <c r="L316" s="13" t="str">
        <f t="shared" si="26"/>
        <v/>
      </c>
      <c r="M316" s="9" t="str">
        <f t="shared" si="27"/>
        <v/>
      </c>
      <c r="N316" s="9" t="str">
        <f t="shared" si="28"/>
        <v/>
      </c>
      <c r="O316" s="9" t="str">
        <f t="shared" si="29"/>
        <v/>
      </c>
    </row>
    <row r="317" spans="8:15">
      <c r="H317" s="6" t="str">
        <f>IF(AND(L316&gt;0.005,H316&lt;&gt;""),315,"")</f>
        <v/>
      </c>
      <c r="I317" s="7" t="str">
        <f>IF(H317&lt;&gt;"",EDATE(StartDate,314),"")</f>
        <v/>
      </c>
      <c r="J317" s="8" t="str">
        <f t="shared" si="24"/>
        <v/>
      </c>
      <c r="K317" s="8" t="str">
        <f t="shared" si="25"/>
        <v/>
      </c>
      <c r="L317" s="8" t="str">
        <f t="shared" si="26"/>
        <v/>
      </c>
      <c r="M317" s="9" t="str">
        <f t="shared" si="27"/>
        <v/>
      </c>
      <c r="N317" s="9" t="str">
        <f t="shared" si="28"/>
        <v/>
      </c>
      <c r="O317" s="9" t="str">
        <f t="shared" si="29"/>
        <v/>
      </c>
    </row>
    <row r="318" spans="8:15">
      <c r="H318" s="11" t="str">
        <f>IF(AND(L317&gt;0.005,H317&lt;&gt;""),316,"")</f>
        <v/>
      </c>
      <c r="I318" s="12" t="str">
        <f>IF(H318&lt;&gt;"",EDATE(StartDate,315),"")</f>
        <v/>
      </c>
      <c r="J318" s="13" t="str">
        <f t="shared" si="24"/>
        <v/>
      </c>
      <c r="K318" s="13" t="str">
        <f t="shared" si="25"/>
        <v/>
      </c>
      <c r="L318" s="13" t="str">
        <f t="shared" si="26"/>
        <v/>
      </c>
      <c r="M318" s="9" t="str">
        <f t="shared" si="27"/>
        <v/>
      </c>
      <c r="N318" s="9" t="str">
        <f t="shared" si="28"/>
        <v/>
      </c>
      <c r="O318" s="9" t="str">
        <f t="shared" si="29"/>
        <v/>
      </c>
    </row>
    <row r="319" spans="8:15">
      <c r="H319" s="6" t="str">
        <f>IF(AND(L318&gt;0.005,H318&lt;&gt;""),317,"")</f>
        <v/>
      </c>
      <c r="I319" s="7" t="str">
        <f>IF(H319&lt;&gt;"",EDATE(StartDate,316),"")</f>
        <v/>
      </c>
      <c r="J319" s="8" t="str">
        <f t="shared" si="24"/>
        <v/>
      </c>
      <c r="K319" s="8" t="str">
        <f t="shared" si="25"/>
        <v/>
      </c>
      <c r="L319" s="8" t="str">
        <f t="shared" si="26"/>
        <v/>
      </c>
      <c r="M319" s="9" t="str">
        <f t="shared" si="27"/>
        <v/>
      </c>
      <c r="N319" s="9" t="str">
        <f t="shared" si="28"/>
        <v/>
      </c>
      <c r="O319" s="9" t="str">
        <f t="shared" si="29"/>
        <v/>
      </c>
    </row>
    <row r="320" spans="8:15">
      <c r="H320" s="11" t="str">
        <f>IF(AND(L319&gt;0.005,H319&lt;&gt;""),318,"")</f>
        <v/>
      </c>
      <c r="I320" s="12" t="str">
        <f>IF(H320&lt;&gt;"",EDATE(StartDate,317),"")</f>
        <v/>
      </c>
      <c r="J320" s="13" t="str">
        <f t="shared" si="24"/>
        <v/>
      </c>
      <c r="K320" s="13" t="str">
        <f t="shared" si="25"/>
        <v/>
      </c>
      <c r="L320" s="13" t="str">
        <f t="shared" si="26"/>
        <v/>
      </c>
      <c r="M320" s="9" t="str">
        <f t="shared" si="27"/>
        <v/>
      </c>
      <c r="N320" s="9" t="str">
        <f t="shared" si="28"/>
        <v/>
      </c>
      <c r="O320" s="9" t="str">
        <f t="shared" si="29"/>
        <v/>
      </c>
    </row>
    <row r="321" spans="8:15">
      <c r="H321" s="6" t="str">
        <f>IF(AND(L320&gt;0.005,H320&lt;&gt;""),319,"")</f>
        <v/>
      </c>
      <c r="I321" s="7" t="str">
        <f>IF(H321&lt;&gt;"",EDATE(StartDate,318),"")</f>
        <v/>
      </c>
      <c r="J321" s="8" t="str">
        <f t="shared" si="24"/>
        <v/>
      </c>
      <c r="K321" s="8" t="str">
        <f t="shared" si="25"/>
        <v/>
      </c>
      <c r="L321" s="8" t="str">
        <f t="shared" si="26"/>
        <v/>
      </c>
      <c r="M321" s="9" t="str">
        <f t="shared" si="27"/>
        <v/>
      </c>
      <c r="N321" s="9" t="str">
        <f t="shared" si="28"/>
        <v/>
      </c>
      <c r="O321" s="9" t="str">
        <f t="shared" si="29"/>
        <v/>
      </c>
    </row>
    <row r="322" spans="8:15">
      <c r="H322" s="11" t="str">
        <f>IF(AND(L321&gt;0.005,H321&lt;&gt;""),320,"")</f>
        <v/>
      </c>
      <c r="I322" s="12" t="str">
        <f>IF(H322&lt;&gt;"",EDATE(StartDate,319),"")</f>
        <v/>
      </c>
      <c r="J322" s="13" t="str">
        <f t="shared" si="24"/>
        <v/>
      </c>
      <c r="K322" s="13" t="str">
        <f t="shared" si="25"/>
        <v/>
      </c>
      <c r="L322" s="13" t="str">
        <f t="shared" si="26"/>
        <v/>
      </c>
      <c r="M322" s="9" t="str">
        <f t="shared" si="27"/>
        <v/>
      </c>
      <c r="N322" s="9" t="str">
        <f t="shared" si="28"/>
        <v/>
      </c>
      <c r="O322" s="9" t="str">
        <f t="shared" si="29"/>
        <v/>
      </c>
    </row>
    <row r="323" spans="8:15">
      <c r="H323" s="6" t="str">
        <f>IF(AND(L322&gt;0.005,H322&lt;&gt;""),321,"")</f>
        <v/>
      </c>
      <c r="I323" s="7" t="str">
        <f>IF(H323&lt;&gt;"",EDATE(StartDate,320),"")</f>
        <v/>
      </c>
      <c r="J323" s="8" t="str">
        <f t="shared" si="24"/>
        <v/>
      </c>
      <c r="K323" s="8" t="str">
        <f t="shared" si="25"/>
        <v/>
      </c>
      <c r="L323" s="8" t="str">
        <f t="shared" si="26"/>
        <v/>
      </c>
      <c r="M323" s="9" t="str">
        <f t="shared" si="27"/>
        <v/>
      </c>
      <c r="N323" s="9" t="str">
        <f t="shared" si="28"/>
        <v/>
      </c>
      <c r="O323" s="9" t="str">
        <f t="shared" si="29"/>
        <v/>
      </c>
    </row>
    <row r="324" spans="8:15">
      <c r="H324" s="11" t="str">
        <f>IF(AND(L323&gt;0.005,H323&lt;&gt;""),322,"")</f>
        <v/>
      </c>
      <c r="I324" s="12" t="str">
        <f>IF(H324&lt;&gt;"",EDATE(StartDate,321),"")</f>
        <v/>
      </c>
      <c r="J324" s="13" t="str">
        <f t="shared" ref="J324:J362" si="30">IF(H324&lt;&gt;"",ROUND(L323*AnnualRate/12,2),"")</f>
        <v/>
      </c>
      <c r="K324" s="13" t="str">
        <f t="shared" ref="K324:K387" si="31">IF(H324&lt;&gt;"",MIN(L323,(M324-J324)+SUMPRODUCT(($B$22:$B$31&lt;&gt;"")*($B$22:$B$31&lt;=I324)*(($C$22:$C$31="")+($C$22:$C$31&lt;&gt;"")*($C$22:$C$31&gt;=I324))*($E$22:$E$31="Monthly")*$D$22:$D$31)+SUMPRODUCT(($B$22:$B$31&lt;&gt;"")*($B$22:$B$31&lt;=I324)*(($C$22:$C$31="")+($C$22:$C$31&lt;&gt;"")*($C$22:$C$31&gt;=I324))*($E$22:$E$31="Annual")*(MONTH($B$22:$B$31)=MONTH(I324))*$D$22:$D$31)+SUMPRODUCT(($B$35:$B$49&lt;&gt;"")*(YEAR($B$35:$B$49)=YEAR(I324))*(MONTH($B$35:$B$49)=MONTH(I324))*$C$35:$C$49)),"")</f>
        <v/>
      </c>
      <c r="L324" s="13" t="str">
        <f t="shared" ref="L324:L387" si="32">IF(H324&lt;&gt;"",ROUND(L323-K324,2),"")</f>
        <v/>
      </c>
      <c r="M324" s="9" t="str">
        <f t="shared" ref="M324:M362" si="33">IF(H324&lt;&gt;"",MIN(MonthlyPmt,L323+J324),"")</f>
        <v/>
      </c>
      <c r="N324" s="9" t="str">
        <f t="shared" ref="N324:N362" si="34">IF(H324&lt;&gt;"",N323+K324,"")</f>
        <v/>
      </c>
      <c r="O324" s="9" t="str">
        <f t="shared" ref="O324:O362" si="35">IF(H324&lt;&gt;"",O323+J324,"")</f>
        <v/>
      </c>
    </row>
    <row r="325" spans="8:15">
      <c r="H325" s="6" t="str">
        <f>IF(AND(L324&gt;0.005,H324&lt;&gt;""),323,"")</f>
        <v/>
      </c>
      <c r="I325" s="7" t="str">
        <f>IF(H325&lt;&gt;"",EDATE(StartDate,322),"")</f>
        <v/>
      </c>
      <c r="J325" s="8" t="str">
        <f t="shared" si="30"/>
        <v/>
      </c>
      <c r="K325" s="8" t="str">
        <f t="shared" si="31"/>
        <v/>
      </c>
      <c r="L325" s="8" t="str">
        <f t="shared" si="32"/>
        <v/>
      </c>
      <c r="M325" s="9" t="str">
        <f t="shared" si="33"/>
        <v/>
      </c>
      <c r="N325" s="9" t="str">
        <f t="shared" si="34"/>
        <v/>
      </c>
      <c r="O325" s="9" t="str">
        <f t="shared" si="35"/>
        <v/>
      </c>
    </row>
    <row r="326" spans="8:15">
      <c r="H326" s="11" t="str">
        <f>IF(AND(L325&gt;0.005,H325&lt;&gt;""),324,"")</f>
        <v/>
      </c>
      <c r="I326" s="12" t="str">
        <f>IF(H326&lt;&gt;"",EDATE(StartDate,323),"")</f>
        <v/>
      </c>
      <c r="J326" s="13" t="str">
        <f t="shared" si="30"/>
        <v/>
      </c>
      <c r="K326" s="13" t="str">
        <f t="shared" si="31"/>
        <v/>
      </c>
      <c r="L326" s="13" t="str">
        <f t="shared" si="32"/>
        <v/>
      </c>
      <c r="M326" s="9" t="str">
        <f t="shared" si="33"/>
        <v/>
      </c>
      <c r="N326" s="9" t="str">
        <f t="shared" si="34"/>
        <v/>
      </c>
      <c r="O326" s="9" t="str">
        <f t="shared" si="35"/>
        <v/>
      </c>
    </row>
    <row r="327" spans="8:15">
      <c r="H327" s="6" t="str">
        <f>IF(AND(L326&gt;0.005,H326&lt;&gt;""),325,"")</f>
        <v/>
      </c>
      <c r="I327" s="7" t="str">
        <f>IF(H327&lt;&gt;"",EDATE(StartDate,324),"")</f>
        <v/>
      </c>
      <c r="J327" s="8" t="str">
        <f t="shared" si="30"/>
        <v/>
      </c>
      <c r="K327" s="8" t="str">
        <f t="shared" si="31"/>
        <v/>
      </c>
      <c r="L327" s="8" t="str">
        <f t="shared" si="32"/>
        <v/>
      </c>
      <c r="M327" s="9" t="str">
        <f t="shared" si="33"/>
        <v/>
      </c>
      <c r="N327" s="9" t="str">
        <f t="shared" si="34"/>
        <v/>
      </c>
      <c r="O327" s="9" t="str">
        <f t="shared" si="35"/>
        <v/>
      </c>
    </row>
    <row r="328" spans="8:15">
      <c r="H328" s="11" t="str">
        <f>IF(AND(L327&gt;0.005,H327&lt;&gt;""),326,"")</f>
        <v/>
      </c>
      <c r="I328" s="12" t="str">
        <f>IF(H328&lt;&gt;"",EDATE(StartDate,325),"")</f>
        <v/>
      </c>
      <c r="J328" s="13" t="str">
        <f t="shared" si="30"/>
        <v/>
      </c>
      <c r="K328" s="13" t="str">
        <f t="shared" si="31"/>
        <v/>
      </c>
      <c r="L328" s="13" t="str">
        <f t="shared" si="32"/>
        <v/>
      </c>
      <c r="M328" s="9" t="str">
        <f t="shared" si="33"/>
        <v/>
      </c>
      <c r="N328" s="9" t="str">
        <f t="shared" si="34"/>
        <v/>
      </c>
      <c r="O328" s="9" t="str">
        <f t="shared" si="35"/>
        <v/>
      </c>
    </row>
    <row r="329" spans="8:15">
      <c r="H329" s="6" t="str">
        <f>IF(AND(L328&gt;0.005,H328&lt;&gt;""),327,"")</f>
        <v/>
      </c>
      <c r="I329" s="7" t="str">
        <f>IF(H329&lt;&gt;"",EDATE(StartDate,326),"")</f>
        <v/>
      </c>
      <c r="J329" s="8" t="str">
        <f t="shared" si="30"/>
        <v/>
      </c>
      <c r="K329" s="8" t="str">
        <f t="shared" si="31"/>
        <v/>
      </c>
      <c r="L329" s="8" t="str">
        <f t="shared" si="32"/>
        <v/>
      </c>
      <c r="M329" s="9" t="str">
        <f t="shared" si="33"/>
        <v/>
      </c>
      <c r="N329" s="9" t="str">
        <f t="shared" si="34"/>
        <v/>
      </c>
      <c r="O329" s="9" t="str">
        <f t="shared" si="35"/>
        <v/>
      </c>
    </row>
    <row r="330" spans="8:15">
      <c r="H330" s="11" t="str">
        <f>IF(AND(L329&gt;0.005,H329&lt;&gt;""),328,"")</f>
        <v/>
      </c>
      <c r="I330" s="12" t="str">
        <f>IF(H330&lt;&gt;"",EDATE(StartDate,327),"")</f>
        <v/>
      </c>
      <c r="J330" s="13" t="str">
        <f t="shared" si="30"/>
        <v/>
      </c>
      <c r="K330" s="13" t="str">
        <f t="shared" si="31"/>
        <v/>
      </c>
      <c r="L330" s="13" t="str">
        <f t="shared" si="32"/>
        <v/>
      </c>
      <c r="M330" s="9" t="str">
        <f t="shared" si="33"/>
        <v/>
      </c>
      <c r="N330" s="9" t="str">
        <f t="shared" si="34"/>
        <v/>
      </c>
      <c r="O330" s="9" t="str">
        <f t="shared" si="35"/>
        <v/>
      </c>
    </row>
    <row r="331" spans="8:15">
      <c r="H331" s="6" t="str">
        <f>IF(AND(L330&gt;0.005,H330&lt;&gt;""),329,"")</f>
        <v/>
      </c>
      <c r="I331" s="7" t="str">
        <f>IF(H331&lt;&gt;"",EDATE(StartDate,328),"")</f>
        <v/>
      </c>
      <c r="J331" s="8" t="str">
        <f t="shared" si="30"/>
        <v/>
      </c>
      <c r="K331" s="8" t="str">
        <f t="shared" si="31"/>
        <v/>
      </c>
      <c r="L331" s="8" t="str">
        <f t="shared" si="32"/>
        <v/>
      </c>
      <c r="M331" s="9" t="str">
        <f t="shared" si="33"/>
        <v/>
      </c>
      <c r="N331" s="9" t="str">
        <f t="shared" si="34"/>
        <v/>
      </c>
      <c r="O331" s="9" t="str">
        <f t="shared" si="35"/>
        <v/>
      </c>
    </row>
    <row r="332" spans="8:15">
      <c r="H332" s="11" t="str">
        <f>IF(AND(L331&gt;0.005,H331&lt;&gt;""),330,"")</f>
        <v/>
      </c>
      <c r="I332" s="12" t="str">
        <f>IF(H332&lt;&gt;"",EDATE(StartDate,329),"")</f>
        <v/>
      </c>
      <c r="J332" s="13" t="str">
        <f t="shared" si="30"/>
        <v/>
      </c>
      <c r="K332" s="13" t="str">
        <f t="shared" si="31"/>
        <v/>
      </c>
      <c r="L332" s="13" t="str">
        <f t="shared" si="32"/>
        <v/>
      </c>
      <c r="M332" s="9" t="str">
        <f t="shared" si="33"/>
        <v/>
      </c>
      <c r="N332" s="9" t="str">
        <f t="shared" si="34"/>
        <v/>
      </c>
      <c r="O332" s="9" t="str">
        <f t="shared" si="35"/>
        <v/>
      </c>
    </row>
    <row r="333" spans="8:15">
      <c r="H333" s="6" t="str">
        <f>IF(AND(L332&gt;0.005,H332&lt;&gt;""),331,"")</f>
        <v/>
      </c>
      <c r="I333" s="7" t="str">
        <f>IF(H333&lt;&gt;"",EDATE(StartDate,330),"")</f>
        <v/>
      </c>
      <c r="J333" s="8" t="str">
        <f t="shared" si="30"/>
        <v/>
      </c>
      <c r="K333" s="8" t="str">
        <f t="shared" si="31"/>
        <v/>
      </c>
      <c r="L333" s="8" t="str">
        <f t="shared" si="32"/>
        <v/>
      </c>
      <c r="M333" s="9" t="str">
        <f t="shared" si="33"/>
        <v/>
      </c>
      <c r="N333" s="9" t="str">
        <f t="shared" si="34"/>
        <v/>
      </c>
      <c r="O333" s="9" t="str">
        <f t="shared" si="35"/>
        <v/>
      </c>
    </row>
    <row r="334" spans="8:15">
      <c r="H334" s="11" t="str">
        <f>IF(AND(L333&gt;0.005,H333&lt;&gt;""),332,"")</f>
        <v/>
      </c>
      <c r="I334" s="12" t="str">
        <f>IF(H334&lt;&gt;"",EDATE(StartDate,331),"")</f>
        <v/>
      </c>
      <c r="J334" s="13" t="str">
        <f t="shared" si="30"/>
        <v/>
      </c>
      <c r="K334" s="13" t="str">
        <f t="shared" si="31"/>
        <v/>
      </c>
      <c r="L334" s="13" t="str">
        <f t="shared" si="32"/>
        <v/>
      </c>
      <c r="M334" s="9" t="str">
        <f t="shared" si="33"/>
        <v/>
      </c>
      <c r="N334" s="9" t="str">
        <f t="shared" si="34"/>
        <v/>
      </c>
      <c r="O334" s="9" t="str">
        <f t="shared" si="35"/>
        <v/>
      </c>
    </row>
    <row r="335" spans="8:15">
      <c r="H335" s="6" t="str">
        <f>IF(AND(L334&gt;0.005,H334&lt;&gt;""),333,"")</f>
        <v/>
      </c>
      <c r="I335" s="7" t="str">
        <f>IF(H335&lt;&gt;"",EDATE(StartDate,332),"")</f>
        <v/>
      </c>
      <c r="J335" s="8" t="str">
        <f t="shared" si="30"/>
        <v/>
      </c>
      <c r="K335" s="8" t="str">
        <f t="shared" si="31"/>
        <v/>
      </c>
      <c r="L335" s="8" t="str">
        <f t="shared" si="32"/>
        <v/>
      </c>
      <c r="M335" s="9" t="str">
        <f t="shared" si="33"/>
        <v/>
      </c>
      <c r="N335" s="9" t="str">
        <f t="shared" si="34"/>
        <v/>
      </c>
      <c r="O335" s="9" t="str">
        <f t="shared" si="35"/>
        <v/>
      </c>
    </row>
    <row r="336" spans="8:15">
      <c r="H336" s="11" t="str">
        <f>IF(AND(L335&gt;0.005,H335&lt;&gt;""),334,"")</f>
        <v/>
      </c>
      <c r="I336" s="12" t="str">
        <f>IF(H336&lt;&gt;"",EDATE(StartDate,333),"")</f>
        <v/>
      </c>
      <c r="J336" s="13" t="str">
        <f t="shared" si="30"/>
        <v/>
      </c>
      <c r="K336" s="13" t="str">
        <f t="shared" si="31"/>
        <v/>
      </c>
      <c r="L336" s="13" t="str">
        <f t="shared" si="32"/>
        <v/>
      </c>
      <c r="M336" s="9" t="str">
        <f t="shared" si="33"/>
        <v/>
      </c>
      <c r="N336" s="9" t="str">
        <f t="shared" si="34"/>
        <v/>
      </c>
      <c r="O336" s="9" t="str">
        <f t="shared" si="35"/>
        <v/>
      </c>
    </row>
    <row r="337" spans="8:15">
      <c r="H337" s="6" t="str">
        <f>IF(AND(L336&gt;0.005,H336&lt;&gt;""),335,"")</f>
        <v/>
      </c>
      <c r="I337" s="7" t="str">
        <f>IF(H337&lt;&gt;"",EDATE(StartDate,334),"")</f>
        <v/>
      </c>
      <c r="J337" s="8" t="str">
        <f t="shared" si="30"/>
        <v/>
      </c>
      <c r="K337" s="8" t="str">
        <f t="shared" si="31"/>
        <v/>
      </c>
      <c r="L337" s="8" t="str">
        <f t="shared" si="32"/>
        <v/>
      </c>
      <c r="M337" s="9" t="str">
        <f t="shared" si="33"/>
        <v/>
      </c>
      <c r="N337" s="9" t="str">
        <f t="shared" si="34"/>
        <v/>
      </c>
      <c r="O337" s="9" t="str">
        <f t="shared" si="35"/>
        <v/>
      </c>
    </row>
    <row r="338" spans="8:15">
      <c r="H338" s="11" t="str">
        <f>IF(AND(L337&gt;0.005,H337&lt;&gt;""),336,"")</f>
        <v/>
      </c>
      <c r="I338" s="12" t="str">
        <f>IF(H338&lt;&gt;"",EDATE(StartDate,335),"")</f>
        <v/>
      </c>
      <c r="J338" s="13" t="str">
        <f t="shared" si="30"/>
        <v/>
      </c>
      <c r="K338" s="13" t="str">
        <f t="shared" si="31"/>
        <v/>
      </c>
      <c r="L338" s="13" t="str">
        <f t="shared" si="32"/>
        <v/>
      </c>
      <c r="M338" s="9" t="str">
        <f t="shared" si="33"/>
        <v/>
      </c>
      <c r="N338" s="9" t="str">
        <f t="shared" si="34"/>
        <v/>
      </c>
      <c r="O338" s="9" t="str">
        <f t="shared" si="35"/>
        <v/>
      </c>
    </row>
    <row r="339" spans="8:15">
      <c r="H339" s="6" t="str">
        <f>IF(AND(L338&gt;0.005,H338&lt;&gt;""),337,"")</f>
        <v/>
      </c>
      <c r="I339" s="7" t="str">
        <f>IF(H339&lt;&gt;"",EDATE(StartDate,336),"")</f>
        <v/>
      </c>
      <c r="J339" s="8" t="str">
        <f t="shared" si="30"/>
        <v/>
      </c>
      <c r="K339" s="8" t="str">
        <f t="shared" si="31"/>
        <v/>
      </c>
      <c r="L339" s="8" t="str">
        <f t="shared" si="32"/>
        <v/>
      </c>
      <c r="M339" s="9" t="str">
        <f t="shared" si="33"/>
        <v/>
      </c>
      <c r="N339" s="9" t="str">
        <f t="shared" si="34"/>
        <v/>
      </c>
      <c r="O339" s="9" t="str">
        <f t="shared" si="35"/>
        <v/>
      </c>
    </row>
    <row r="340" spans="8:15">
      <c r="H340" s="11" t="str">
        <f>IF(AND(L339&gt;0.005,H339&lt;&gt;""),338,"")</f>
        <v/>
      </c>
      <c r="I340" s="12" t="str">
        <f>IF(H340&lt;&gt;"",EDATE(StartDate,337),"")</f>
        <v/>
      </c>
      <c r="J340" s="13" t="str">
        <f t="shared" si="30"/>
        <v/>
      </c>
      <c r="K340" s="13" t="str">
        <f t="shared" si="31"/>
        <v/>
      </c>
      <c r="L340" s="13" t="str">
        <f t="shared" si="32"/>
        <v/>
      </c>
      <c r="M340" s="9" t="str">
        <f t="shared" si="33"/>
        <v/>
      </c>
      <c r="N340" s="9" t="str">
        <f t="shared" si="34"/>
        <v/>
      </c>
      <c r="O340" s="9" t="str">
        <f t="shared" si="35"/>
        <v/>
      </c>
    </row>
    <row r="341" spans="8:15">
      <c r="H341" s="6" t="str">
        <f>IF(AND(L340&gt;0.005,H340&lt;&gt;""),339,"")</f>
        <v/>
      </c>
      <c r="I341" s="7" t="str">
        <f>IF(H341&lt;&gt;"",EDATE(StartDate,338),"")</f>
        <v/>
      </c>
      <c r="J341" s="8" t="str">
        <f t="shared" si="30"/>
        <v/>
      </c>
      <c r="K341" s="8" t="str">
        <f t="shared" si="31"/>
        <v/>
      </c>
      <c r="L341" s="8" t="str">
        <f t="shared" si="32"/>
        <v/>
      </c>
      <c r="M341" s="9" t="str">
        <f t="shared" si="33"/>
        <v/>
      </c>
      <c r="N341" s="9" t="str">
        <f t="shared" si="34"/>
        <v/>
      </c>
      <c r="O341" s="9" t="str">
        <f t="shared" si="35"/>
        <v/>
      </c>
    </row>
    <row r="342" spans="8:15">
      <c r="H342" s="11" t="str">
        <f>IF(AND(L341&gt;0.005,H341&lt;&gt;""),340,"")</f>
        <v/>
      </c>
      <c r="I342" s="12" t="str">
        <f>IF(H342&lt;&gt;"",EDATE(StartDate,339),"")</f>
        <v/>
      </c>
      <c r="J342" s="13" t="str">
        <f t="shared" si="30"/>
        <v/>
      </c>
      <c r="K342" s="13" t="str">
        <f t="shared" si="31"/>
        <v/>
      </c>
      <c r="L342" s="13" t="str">
        <f t="shared" si="32"/>
        <v/>
      </c>
      <c r="M342" s="9" t="str">
        <f t="shared" si="33"/>
        <v/>
      </c>
      <c r="N342" s="9" t="str">
        <f t="shared" si="34"/>
        <v/>
      </c>
      <c r="O342" s="9" t="str">
        <f t="shared" si="35"/>
        <v/>
      </c>
    </row>
    <row r="343" spans="8:15">
      <c r="H343" s="6" t="str">
        <f>IF(AND(L342&gt;0.005,H342&lt;&gt;""),341,"")</f>
        <v/>
      </c>
      <c r="I343" s="7" t="str">
        <f>IF(H343&lt;&gt;"",EDATE(StartDate,340),"")</f>
        <v/>
      </c>
      <c r="J343" s="8" t="str">
        <f t="shared" si="30"/>
        <v/>
      </c>
      <c r="K343" s="8" t="str">
        <f t="shared" si="31"/>
        <v/>
      </c>
      <c r="L343" s="8" t="str">
        <f t="shared" si="32"/>
        <v/>
      </c>
      <c r="M343" s="9" t="str">
        <f t="shared" si="33"/>
        <v/>
      </c>
      <c r="N343" s="9" t="str">
        <f t="shared" si="34"/>
        <v/>
      </c>
      <c r="O343" s="9" t="str">
        <f t="shared" si="35"/>
        <v/>
      </c>
    </row>
    <row r="344" spans="8:15">
      <c r="H344" s="11" t="str">
        <f>IF(AND(L343&gt;0.005,H343&lt;&gt;""),342,"")</f>
        <v/>
      </c>
      <c r="I344" s="12" t="str">
        <f>IF(H344&lt;&gt;"",EDATE(StartDate,341),"")</f>
        <v/>
      </c>
      <c r="J344" s="13" t="str">
        <f t="shared" si="30"/>
        <v/>
      </c>
      <c r="K344" s="13" t="str">
        <f t="shared" si="31"/>
        <v/>
      </c>
      <c r="L344" s="13" t="str">
        <f t="shared" si="32"/>
        <v/>
      </c>
      <c r="M344" s="9" t="str">
        <f t="shared" si="33"/>
        <v/>
      </c>
      <c r="N344" s="9" t="str">
        <f t="shared" si="34"/>
        <v/>
      </c>
      <c r="O344" s="9" t="str">
        <f t="shared" si="35"/>
        <v/>
      </c>
    </row>
    <row r="345" spans="8:15">
      <c r="H345" s="6" t="str">
        <f>IF(AND(L344&gt;0.005,H344&lt;&gt;""),343,"")</f>
        <v/>
      </c>
      <c r="I345" s="7" t="str">
        <f>IF(H345&lt;&gt;"",EDATE(StartDate,342),"")</f>
        <v/>
      </c>
      <c r="J345" s="8" t="str">
        <f t="shared" si="30"/>
        <v/>
      </c>
      <c r="K345" s="8" t="str">
        <f t="shared" si="31"/>
        <v/>
      </c>
      <c r="L345" s="8" t="str">
        <f t="shared" si="32"/>
        <v/>
      </c>
      <c r="M345" s="9" t="str">
        <f t="shared" si="33"/>
        <v/>
      </c>
      <c r="N345" s="9" t="str">
        <f t="shared" si="34"/>
        <v/>
      </c>
      <c r="O345" s="9" t="str">
        <f t="shared" si="35"/>
        <v/>
      </c>
    </row>
    <row r="346" spans="8:15">
      <c r="H346" s="11" t="str">
        <f>IF(AND(L345&gt;0.005,H345&lt;&gt;""),344,"")</f>
        <v/>
      </c>
      <c r="I346" s="12" t="str">
        <f>IF(H346&lt;&gt;"",EDATE(StartDate,343),"")</f>
        <v/>
      </c>
      <c r="J346" s="13" t="str">
        <f t="shared" si="30"/>
        <v/>
      </c>
      <c r="K346" s="13" t="str">
        <f t="shared" si="31"/>
        <v/>
      </c>
      <c r="L346" s="13" t="str">
        <f t="shared" si="32"/>
        <v/>
      </c>
      <c r="M346" s="9" t="str">
        <f t="shared" si="33"/>
        <v/>
      </c>
      <c r="N346" s="9" t="str">
        <f t="shared" si="34"/>
        <v/>
      </c>
      <c r="O346" s="9" t="str">
        <f t="shared" si="35"/>
        <v/>
      </c>
    </row>
    <row r="347" spans="8:15">
      <c r="H347" s="6" t="str">
        <f>IF(AND(L346&gt;0.005,H346&lt;&gt;""),345,"")</f>
        <v/>
      </c>
      <c r="I347" s="7" t="str">
        <f>IF(H347&lt;&gt;"",EDATE(StartDate,344),"")</f>
        <v/>
      </c>
      <c r="J347" s="8" t="str">
        <f t="shared" si="30"/>
        <v/>
      </c>
      <c r="K347" s="8" t="str">
        <f t="shared" si="31"/>
        <v/>
      </c>
      <c r="L347" s="8" t="str">
        <f t="shared" si="32"/>
        <v/>
      </c>
      <c r="M347" s="9" t="str">
        <f t="shared" si="33"/>
        <v/>
      </c>
      <c r="N347" s="9" t="str">
        <f t="shared" si="34"/>
        <v/>
      </c>
      <c r="O347" s="9" t="str">
        <f t="shared" si="35"/>
        <v/>
      </c>
    </row>
    <row r="348" spans="8:15">
      <c r="H348" s="11" t="str">
        <f>IF(AND(L347&gt;0.005,H347&lt;&gt;""),346,"")</f>
        <v/>
      </c>
      <c r="I348" s="12" t="str">
        <f>IF(H348&lt;&gt;"",EDATE(StartDate,345),"")</f>
        <v/>
      </c>
      <c r="J348" s="13" t="str">
        <f t="shared" si="30"/>
        <v/>
      </c>
      <c r="K348" s="13" t="str">
        <f t="shared" si="31"/>
        <v/>
      </c>
      <c r="L348" s="13" t="str">
        <f t="shared" si="32"/>
        <v/>
      </c>
      <c r="M348" s="9" t="str">
        <f t="shared" si="33"/>
        <v/>
      </c>
      <c r="N348" s="9" t="str">
        <f t="shared" si="34"/>
        <v/>
      </c>
      <c r="O348" s="9" t="str">
        <f t="shared" si="35"/>
        <v/>
      </c>
    </row>
    <row r="349" spans="8:15">
      <c r="H349" s="6" t="str">
        <f>IF(AND(L348&gt;0.005,H348&lt;&gt;""),347,"")</f>
        <v/>
      </c>
      <c r="I349" s="7" t="str">
        <f>IF(H349&lt;&gt;"",EDATE(StartDate,346),"")</f>
        <v/>
      </c>
      <c r="J349" s="8" t="str">
        <f t="shared" si="30"/>
        <v/>
      </c>
      <c r="K349" s="8" t="str">
        <f t="shared" si="31"/>
        <v/>
      </c>
      <c r="L349" s="8" t="str">
        <f t="shared" si="32"/>
        <v/>
      </c>
      <c r="M349" s="9" t="str">
        <f t="shared" si="33"/>
        <v/>
      </c>
      <c r="N349" s="9" t="str">
        <f t="shared" si="34"/>
        <v/>
      </c>
      <c r="O349" s="9" t="str">
        <f t="shared" si="35"/>
        <v/>
      </c>
    </row>
    <row r="350" spans="8:15">
      <c r="H350" s="11" t="str">
        <f>IF(AND(L349&gt;0.005,H349&lt;&gt;""),348,"")</f>
        <v/>
      </c>
      <c r="I350" s="12" t="str">
        <f>IF(H350&lt;&gt;"",EDATE(StartDate,347),"")</f>
        <v/>
      </c>
      <c r="J350" s="13" t="str">
        <f t="shared" si="30"/>
        <v/>
      </c>
      <c r="K350" s="13" t="str">
        <f t="shared" si="31"/>
        <v/>
      </c>
      <c r="L350" s="13" t="str">
        <f t="shared" si="32"/>
        <v/>
      </c>
      <c r="M350" s="9" t="str">
        <f t="shared" si="33"/>
        <v/>
      </c>
      <c r="N350" s="9" t="str">
        <f t="shared" si="34"/>
        <v/>
      </c>
      <c r="O350" s="9" t="str">
        <f t="shared" si="35"/>
        <v/>
      </c>
    </row>
    <row r="351" spans="8:15">
      <c r="H351" s="6" t="str">
        <f>IF(AND(L350&gt;0.005,H350&lt;&gt;""),349,"")</f>
        <v/>
      </c>
      <c r="I351" s="7" t="str">
        <f>IF(H351&lt;&gt;"",EDATE(StartDate,348),"")</f>
        <v/>
      </c>
      <c r="J351" s="8" t="str">
        <f t="shared" si="30"/>
        <v/>
      </c>
      <c r="K351" s="8" t="str">
        <f t="shared" si="31"/>
        <v/>
      </c>
      <c r="L351" s="8" t="str">
        <f t="shared" si="32"/>
        <v/>
      </c>
      <c r="M351" s="9" t="str">
        <f t="shared" si="33"/>
        <v/>
      </c>
      <c r="N351" s="9" t="str">
        <f t="shared" si="34"/>
        <v/>
      </c>
      <c r="O351" s="9" t="str">
        <f t="shared" si="35"/>
        <v/>
      </c>
    </row>
    <row r="352" spans="8:15">
      <c r="H352" s="11" t="str">
        <f>IF(AND(L351&gt;0.005,H351&lt;&gt;""),350,"")</f>
        <v/>
      </c>
      <c r="I352" s="12" t="str">
        <f>IF(H352&lt;&gt;"",EDATE(StartDate,349),"")</f>
        <v/>
      </c>
      <c r="J352" s="13" t="str">
        <f t="shared" si="30"/>
        <v/>
      </c>
      <c r="K352" s="13" t="str">
        <f t="shared" si="31"/>
        <v/>
      </c>
      <c r="L352" s="13" t="str">
        <f t="shared" si="32"/>
        <v/>
      </c>
      <c r="M352" s="9" t="str">
        <f t="shared" si="33"/>
        <v/>
      </c>
      <c r="N352" s="9" t="str">
        <f t="shared" si="34"/>
        <v/>
      </c>
      <c r="O352" s="9" t="str">
        <f t="shared" si="35"/>
        <v/>
      </c>
    </row>
    <row r="353" spans="8:15">
      <c r="H353" s="6" t="str">
        <f>IF(AND(L352&gt;0.005,H352&lt;&gt;""),351,"")</f>
        <v/>
      </c>
      <c r="I353" s="7" t="str">
        <f>IF(H353&lt;&gt;"",EDATE(StartDate,350),"")</f>
        <v/>
      </c>
      <c r="J353" s="8" t="str">
        <f t="shared" si="30"/>
        <v/>
      </c>
      <c r="K353" s="8" t="str">
        <f t="shared" si="31"/>
        <v/>
      </c>
      <c r="L353" s="8" t="str">
        <f t="shared" si="32"/>
        <v/>
      </c>
      <c r="M353" s="9" t="str">
        <f t="shared" si="33"/>
        <v/>
      </c>
      <c r="N353" s="9" t="str">
        <f t="shared" si="34"/>
        <v/>
      </c>
      <c r="O353" s="9" t="str">
        <f t="shared" si="35"/>
        <v/>
      </c>
    </row>
    <row r="354" spans="8:15">
      <c r="H354" s="11" t="str">
        <f>IF(AND(L353&gt;0.005,H353&lt;&gt;""),352,"")</f>
        <v/>
      </c>
      <c r="I354" s="12" t="str">
        <f>IF(H354&lt;&gt;"",EDATE(StartDate,351),"")</f>
        <v/>
      </c>
      <c r="J354" s="13" t="str">
        <f t="shared" si="30"/>
        <v/>
      </c>
      <c r="K354" s="13" t="str">
        <f t="shared" si="31"/>
        <v/>
      </c>
      <c r="L354" s="13" t="str">
        <f t="shared" si="32"/>
        <v/>
      </c>
      <c r="M354" s="9" t="str">
        <f t="shared" si="33"/>
        <v/>
      </c>
      <c r="N354" s="9" t="str">
        <f t="shared" si="34"/>
        <v/>
      </c>
      <c r="O354" s="9" t="str">
        <f t="shared" si="35"/>
        <v/>
      </c>
    </row>
    <row r="355" spans="8:15">
      <c r="H355" s="6" t="str">
        <f>IF(AND(L354&gt;0.005,H354&lt;&gt;""),353,"")</f>
        <v/>
      </c>
      <c r="I355" s="7" t="str">
        <f>IF(H355&lt;&gt;"",EDATE(StartDate,352),"")</f>
        <v/>
      </c>
      <c r="J355" s="8" t="str">
        <f t="shared" si="30"/>
        <v/>
      </c>
      <c r="K355" s="8" t="str">
        <f t="shared" si="31"/>
        <v/>
      </c>
      <c r="L355" s="8" t="str">
        <f t="shared" si="32"/>
        <v/>
      </c>
      <c r="M355" s="9" t="str">
        <f t="shared" si="33"/>
        <v/>
      </c>
      <c r="N355" s="9" t="str">
        <f t="shared" si="34"/>
        <v/>
      </c>
      <c r="O355" s="9" t="str">
        <f t="shared" si="35"/>
        <v/>
      </c>
    </row>
    <row r="356" spans="8:15">
      <c r="H356" s="11" t="str">
        <f>IF(AND(L355&gt;0.005,H355&lt;&gt;""),354,"")</f>
        <v/>
      </c>
      <c r="I356" s="12" t="str">
        <f>IF(H356&lt;&gt;"",EDATE(StartDate,353),"")</f>
        <v/>
      </c>
      <c r="J356" s="13" t="str">
        <f t="shared" si="30"/>
        <v/>
      </c>
      <c r="K356" s="13" t="str">
        <f t="shared" si="31"/>
        <v/>
      </c>
      <c r="L356" s="13" t="str">
        <f t="shared" si="32"/>
        <v/>
      </c>
      <c r="M356" s="9" t="str">
        <f t="shared" si="33"/>
        <v/>
      </c>
      <c r="N356" s="9" t="str">
        <f t="shared" si="34"/>
        <v/>
      </c>
      <c r="O356" s="9" t="str">
        <f t="shared" si="35"/>
        <v/>
      </c>
    </row>
    <row r="357" spans="8:15">
      <c r="H357" s="6" t="str">
        <f>IF(AND(L356&gt;0.005,H356&lt;&gt;""),355,"")</f>
        <v/>
      </c>
      <c r="I357" s="7" t="str">
        <f>IF(H357&lt;&gt;"",EDATE(StartDate,354),"")</f>
        <v/>
      </c>
      <c r="J357" s="8" t="str">
        <f t="shared" si="30"/>
        <v/>
      </c>
      <c r="K357" s="8" t="str">
        <f t="shared" si="31"/>
        <v/>
      </c>
      <c r="L357" s="8" t="str">
        <f t="shared" si="32"/>
        <v/>
      </c>
      <c r="M357" s="9" t="str">
        <f t="shared" si="33"/>
        <v/>
      </c>
      <c r="N357" s="9" t="str">
        <f t="shared" si="34"/>
        <v/>
      </c>
      <c r="O357" s="9" t="str">
        <f t="shared" si="35"/>
        <v/>
      </c>
    </row>
    <row r="358" spans="8:15">
      <c r="H358" s="11" t="str">
        <f>IF(AND(L357&gt;0.005,H357&lt;&gt;""),356,"")</f>
        <v/>
      </c>
      <c r="I358" s="12" t="str">
        <f>IF(H358&lt;&gt;"",EDATE(StartDate,355),"")</f>
        <v/>
      </c>
      <c r="J358" s="13" t="str">
        <f t="shared" si="30"/>
        <v/>
      </c>
      <c r="K358" s="13" t="str">
        <f t="shared" si="31"/>
        <v/>
      </c>
      <c r="L358" s="13" t="str">
        <f t="shared" si="32"/>
        <v/>
      </c>
      <c r="M358" s="9" t="str">
        <f t="shared" si="33"/>
        <v/>
      </c>
      <c r="N358" s="9" t="str">
        <f t="shared" si="34"/>
        <v/>
      </c>
      <c r="O358" s="9" t="str">
        <f t="shared" si="35"/>
        <v/>
      </c>
    </row>
    <row r="359" spans="8:15">
      <c r="H359" s="6" t="str">
        <f>IF(AND(L358&gt;0.005,H358&lt;&gt;""),357,"")</f>
        <v/>
      </c>
      <c r="I359" s="7" t="str">
        <f>IF(H359&lt;&gt;"",EDATE(StartDate,356),"")</f>
        <v/>
      </c>
      <c r="J359" s="8" t="str">
        <f t="shared" si="30"/>
        <v/>
      </c>
      <c r="K359" s="8" t="str">
        <f t="shared" si="31"/>
        <v/>
      </c>
      <c r="L359" s="8" t="str">
        <f t="shared" si="32"/>
        <v/>
      </c>
      <c r="M359" s="9" t="str">
        <f t="shared" si="33"/>
        <v/>
      </c>
      <c r="N359" s="9" t="str">
        <f t="shared" si="34"/>
        <v/>
      </c>
      <c r="O359" s="9" t="str">
        <f t="shared" si="35"/>
        <v/>
      </c>
    </row>
    <row r="360" spans="8:15">
      <c r="H360" s="11" t="str">
        <f>IF(AND(L359&gt;0.005,H359&lt;&gt;""),358,"")</f>
        <v/>
      </c>
      <c r="I360" s="12" t="str">
        <f>IF(H360&lt;&gt;"",EDATE(StartDate,357),"")</f>
        <v/>
      </c>
      <c r="J360" s="13" t="str">
        <f t="shared" si="30"/>
        <v/>
      </c>
      <c r="K360" s="13" t="str">
        <f t="shared" si="31"/>
        <v/>
      </c>
      <c r="L360" s="13" t="str">
        <f t="shared" si="32"/>
        <v/>
      </c>
      <c r="M360" s="9" t="str">
        <f t="shared" si="33"/>
        <v/>
      </c>
      <c r="N360" s="9" t="str">
        <f t="shared" si="34"/>
        <v/>
      </c>
      <c r="O360" s="9" t="str">
        <f t="shared" si="35"/>
        <v/>
      </c>
    </row>
    <row r="361" spans="8:15">
      <c r="H361" s="6" t="str">
        <f>IF(AND(L360&gt;0.005,H360&lt;&gt;""),359,"")</f>
        <v/>
      </c>
      <c r="I361" s="7" t="str">
        <f>IF(H361&lt;&gt;"",EDATE(StartDate,358),"")</f>
        <v/>
      </c>
      <c r="J361" s="8" t="str">
        <f t="shared" si="30"/>
        <v/>
      </c>
      <c r="K361" s="8" t="str">
        <f t="shared" si="31"/>
        <v/>
      </c>
      <c r="L361" s="8" t="str">
        <f t="shared" si="32"/>
        <v/>
      </c>
      <c r="M361" s="9" t="str">
        <f t="shared" si="33"/>
        <v/>
      </c>
      <c r="N361" s="9" t="str">
        <f t="shared" si="34"/>
        <v/>
      </c>
      <c r="O361" s="9" t="str">
        <f t="shared" si="35"/>
        <v/>
      </c>
    </row>
    <row r="362" spans="8:15">
      <c r="H362" s="11" t="str">
        <f>IF(AND(L361&gt;0.005,H361&lt;&gt;""),360,"")</f>
        <v/>
      </c>
      <c r="I362" s="12" t="str">
        <f>IF(H362&lt;&gt;"",EDATE(StartDate,359),"")</f>
        <v/>
      </c>
      <c r="J362" s="13" t="str">
        <f t="shared" si="30"/>
        <v/>
      </c>
      <c r="K362" s="13" t="str">
        <f t="shared" si="31"/>
        <v/>
      </c>
      <c r="L362" s="13" t="str">
        <f t="shared" si="32"/>
        <v/>
      </c>
      <c r="M362" s="9" t="str">
        <f t="shared" si="33"/>
        <v/>
      </c>
      <c r="N362" s="9" t="str">
        <f t="shared" si="34"/>
        <v/>
      </c>
      <c r="O362" s="9" t="str">
        <f t="shared" si="35"/>
        <v/>
      </c>
    </row>
  </sheetData>
  <mergeCells count="5">
    <mergeCell ref="A33:C33"/>
    <mergeCell ref="A20:E20"/>
    <mergeCell ref="H1:L1"/>
    <mergeCell ref="A1:B1"/>
    <mergeCell ref="A9:B9"/>
  </mergeCells>
  <dataValidations count="1">
    <dataValidation type="list" allowBlank="1" showErrorMessage="1" errorTitle="Invalid Frequency" error="Please select Monthly or Annual" sqref="E22:E31" xr:uid="{00000000-0002-0000-0000-000000000000}">
      <formula1>"Monthly,Annual"</formula1>
    </dataValidation>
  </dataValidations>
  <pageMargins left="0.75" right="0.75" top="1" bottom="1" header="0.5" footer="0.5"/>
  <headerFooter>
    <oddFooter>&amp;L_x000D_&amp;1#&amp;"Aptos"&amp;10&amp;K737373 Caterpillar: Confidential Green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Calculator</vt:lpstr>
      <vt:lpstr>AnnualRate</vt:lpstr>
      <vt:lpstr>LoanAmount</vt:lpstr>
      <vt:lpstr>MonthlyPmt</vt:lpstr>
      <vt:lpstr>StartDate</vt:lpstr>
      <vt:lpstr>TermYears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Narinder Singh</cp:lastModifiedBy>
  <dcterms:created xsi:type="dcterms:W3CDTF">2026-05-15T22:10:58Z</dcterms:created>
  <dcterms:modified xsi:type="dcterms:W3CDTF">2026-05-15T22:18:57Z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b5e2db6-eecf-4aa2-8fc3-174bf94bce19_Enabled">
    <vt:lpwstr>true</vt:lpwstr>
  </property>
  <property fmtid="{D5CDD505-2E9C-101B-9397-08002B2CF9AE}" pid="3" name="MSIP_Label_fb5e2db6-eecf-4aa2-8fc3-174bf94bce19_SetDate">
    <vt:lpwstr>2026-05-15T22:18:57Z</vt:lpwstr>
  </property>
  <property fmtid="{D5CDD505-2E9C-101B-9397-08002B2CF9AE}" pid="4" name="MSIP_Label_fb5e2db6-eecf-4aa2-8fc3-174bf94bce19_Method">
    <vt:lpwstr>Standard</vt:lpwstr>
  </property>
  <property fmtid="{D5CDD505-2E9C-101B-9397-08002B2CF9AE}" pid="5" name="MSIP_Label_fb5e2db6-eecf-4aa2-8fc3-174bf94bce19_Name">
    <vt:lpwstr>fb5e2db6-eecf-4aa2-8fc3-174bf94bce19</vt:lpwstr>
  </property>
  <property fmtid="{D5CDD505-2E9C-101B-9397-08002B2CF9AE}" pid="6" name="MSIP_Label_fb5e2db6-eecf-4aa2-8fc3-174bf94bce19_SiteId">
    <vt:lpwstr>ceb177bf-013b-49ab-8a9c-4abce32afc1e</vt:lpwstr>
  </property>
  <property fmtid="{D5CDD505-2E9C-101B-9397-08002B2CF9AE}" pid="7" name="MSIP_Label_fb5e2db6-eecf-4aa2-8fc3-174bf94bce19_ActionId">
    <vt:lpwstr>37d70c3e-5e75-47ab-be7d-7d1eeedfa133</vt:lpwstr>
  </property>
  <property fmtid="{D5CDD505-2E9C-101B-9397-08002B2CF9AE}" pid="8" name="MSIP_Label_fb5e2db6-eecf-4aa2-8fc3-174bf94bce19_ContentBits">
    <vt:lpwstr>2</vt:lpwstr>
  </property>
  <property fmtid="{D5CDD505-2E9C-101B-9397-08002B2CF9AE}" pid="9" name="MSIP_Label_fb5e2db6-eecf-4aa2-8fc3-174bf94bce19_Tag">
    <vt:lpwstr>50, 3, 0, 1</vt:lpwstr>
  </property>
</Properties>
</file>